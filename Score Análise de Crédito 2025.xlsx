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as" sheetId="1" r:id="rId5"/>
    <sheet state="visible" name="AJUDA" sheetId="2" r:id="rId6"/>
    <sheet state="hidden" name="Calculo" sheetId="3" r:id="rId7"/>
    <sheet state="hidden" name="Parâmetros" sheetId="4" r:id="rId8"/>
  </sheets>
  <definedNames/>
  <calcPr/>
</workbook>
</file>

<file path=xl/sharedStrings.xml><?xml version="1.0" encoding="utf-8"?>
<sst xmlns="http://schemas.openxmlformats.org/spreadsheetml/2006/main" count="7391" uniqueCount="584">
  <si>
    <t>Tipo</t>
  </si>
  <si>
    <t>PED</t>
  </si>
  <si>
    <t>2-Empresa</t>
  </si>
  <si>
    <t>3-Cliente</t>
  </si>
  <si>
    <t>19-Idade</t>
  </si>
  <si>
    <t xml:space="preserve">4-Total Ped. R$ </t>
  </si>
  <si>
    <t>5-Faturado</t>
  </si>
  <si>
    <t>6-Entrada</t>
  </si>
  <si>
    <t>7-Muitos Itens</t>
  </si>
  <si>
    <t>8-Prod. Variados</t>
  </si>
  <si>
    <t>Armário ou Cofre &gt; 1800</t>
  </si>
  <si>
    <t>9-Pgtos Abertos</t>
  </si>
  <si>
    <t>10-Já Comprou e Pagou 2X ou +?</t>
  </si>
  <si>
    <t>10-Comprou e pagou +5X?</t>
  </si>
  <si>
    <t>11-Cadastro=Receita</t>
  </si>
  <si>
    <t>12-CNPJ Ativo</t>
  </si>
  <si>
    <t>13-Entrega=Cadastro</t>
  </si>
  <si>
    <t>UF do Cliente</t>
  </si>
  <si>
    <r>
      <rPr>
        <rFont val="Calibri"/>
        <color theme="1"/>
        <sz val="8.0"/>
      </rPr>
      <t xml:space="preserve">Se for </t>
    </r>
    <r>
      <rPr>
        <rFont val="Calibri"/>
        <b/>
        <color theme="1"/>
        <sz val="8.0"/>
      </rPr>
      <t>antecipado ou simples faturamento</t>
    </r>
    <r>
      <rPr>
        <rFont val="Calibri"/>
        <color theme="1"/>
        <sz val="8.0"/>
      </rPr>
      <t xml:space="preserve"> para recebermos antes de despachar, não precisa fazer análise. Se for pedido de </t>
    </r>
    <r>
      <rPr>
        <rFont val="Calibri"/>
        <b/>
        <color theme="1"/>
        <sz val="8.0"/>
      </rPr>
      <t>revendedor que compra direto</t>
    </r>
    <r>
      <rPr>
        <rFont val="Calibri"/>
        <color theme="1"/>
        <sz val="8.0"/>
      </rPr>
      <t>, não precisa fazer a consulta e preencher a planilha. Só bloqueie se tiver pagamentos em atraso. Coloca no follow: Cliente revenda conhecida, liberado sem análise.</t>
    </r>
  </si>
  <si>
    <t>Google Maps 0|5|10</t>
  </si>
  <si>
    <t>Consulta</t>
  </si>
  <si>
    <t>COD WEB</t>
  </si>
  <si>
    <t>S</t>
  </si>
  <si>
    <t>Registro.Br</t>
  </si>
  <si>
    <t>https://web2.bvsnet.com.br/transacional/login.php  Login: AC098902 | BW@2022 .... &gt; Pessoa Jurídica &gt;  Outros Produtos para Crédito &gt; Define Risco (Imagem======================================================&gt;&gt;&gt;</t>
  </si>
  <si>
    <t>N</t>
  </si>
  <si>
    <t>ScamAdvizer</t>
  </si>
  <si>
    <t>14-Casa/Sala/Conj no end.</t>
  </si>
  <si>
    <t>EmailSiteReceita=@corporativo?</t>
  </si>
  <si>
    <t>Existe Mail Financeiro Diferente?</t>
  </si>
  <si>
    <t>Número do pedido do Protheus</t>
  </si>
  <si>
    <t>Desconto Ped</t>
  </si>
  <si>
    <t>15-Mail gratuito</t>
  </si>
  <si>
    <t>AC098902</t>
  </si>
  <si>
    <t>7-Quant. Grande?</t>
  </si>
  <si>
    <t>8-Prod. Q Ñ Combinam?</t>
  </si>
  <si>
    <t>Armário ou Cofre &gt; 2.000</t>
  </si>
  <si>
    <t>Entrega=Cadastro</t>
  </si>
  <si>
    <t>16-Possui Site</t>
  </si>
  <si>
    <t>18-Fundação Matriz</t>
  </si>
  <si>
    <t>19-IdadeScore</t>
  </si>
  <si>
    <t>20-MUITO Grande /Conhecida</t>
  </si>
  <si>
    <t>21-Protestos</t>
  </si>
  <si>
    <t>Nossa empresa: BN, S4T, OW ou GS</t>
  </si>
  <si>
    <t>Código do Cliente</t>
  </si>
  <si>
    <t>22-Vlr Prot.</t>
  </si>
  <si>
    <t>Total do pedido com frete e tudo. Valor que aparece no pedido</t>
  </si>
  <si>
    <t>22-Prot.XCapit</t>
  </si>
  <si>
    <t>Idade</t>
  </si>
  <si>
    <t>Verificar se o vendedor respeitou o limite. Máx: 3% Faturado ou 6% antecipado. Dar um F3 em cima do código do produto. Revenda tem 10% de desconto.</t>
  </si>
  <si>
    <t>S | N - Se tiver algum pagamento depois de despacharmos o produto.</t>
  </si>
  <si>
    <t>S | N - Se tiver algum BA ou depósito antecipado.</t>
  </si>
  <si>
    <t>S | N - Se tiver + DE 10 Cofres, + DE 5 Armário Corta Fogo, + DE 5 Fragmentadoras ou acima de 30 pacotes/rolos de suprimentos</t>
  </si>
  <si>
    <t xml:space="preserve">S = sim tem ptrodutos que não combinam | N - não tem produto que não combinam. Exemplo: o cliente compra fragmentadoras e cofres. </t>
  </si>
  <si>
    <t>23-Ch s/ Fundo</t>
  </si>
  <si>
    <t>24-Pend. Fin.</t>
  </si>
  <si>
    <t>28 - SCORE Serasa</t>
  </si>
  <si>
    <t>pontos</t>
  </si>
  <si>
    <t>10-Comprou e pagou?</t>
  </si>
  <si>
    <t>S | N - Se tem algum produto que exija contrato de entrega.</t>
  </si>
  <si>
    <r>
      <rPr>
        <rFont val="Calibri"/>
        <color theme="1"/>
      </rPr>
      <t xml:space="preserve">S | N - Se for </t>
    </r>
    <r>
      <rPr>
        <rFont val="Calibri"/>
        <b/>
        <color theme="1"/>
      </rPr>
      <t>CLIENTE RETIRA = N</t>
    </r>
    <r>
      <rPr>
        <rFont val="Calibri"/>
        <color theme="1"/>
      </rPr>
      <t xml:space="preserve"> | Se constar endereço de entrega diferente na Obs da NF = N | Se não houver nenhuma informação na Mensagem pra Nota informando local diferente = S</t>
    </r>
  </si>
  <si>
    <t>29-Capital Soc.</t>
  </si>
  <si>
    <t>Preencher com a sigla do estado dele, exemplo: RJ ou SP ou PB... (sempre 2 letras MAIÚSCULAS).</t>
  </si>
  <si>
    <t>30-3 Boletos Conf.</t>
  </si>
  <si>
    <r>
      <rPr>
        <rFont val="Calibri"/>
        <color theme="1"/>
      </rPr>
      <t xml:space="preserve">0 | 5 | 10 - Se for </t>
    </r>
    <r>
      <rPr>
        <rFont val="Calibri"/>
        <b/>
        <color theme="1"/>
      </rPr>
      <t>CLIENTE RETIRA = 0</t>
    </r>
    <r>
      <rPr>
        <rFont val="Calibri"/>
        <color theme="1"/>
      </rPr>
      <t xml:space="preserve"> | Usar o endereço de entrega. Se não tiver end. de entrega usar o do cadastro mesmo. Se for um local ruim, 0, se for razoável 5 e se for um lugar muito bom 10, se não localizar coloca um TRAÇO </t>
    </r>
    <r>
      <rPr>
        <rFont val="Calibri"/>
        <b/>
        <color rgb="FFFF0000"/>
        <sz val="12.0"/>
      </rPr>
      <t>-</t>
    </r>
  </si>
  <si>
    <r>
      <rPr>
        <color rgb="FF1155CC"/>
        <u/>
      </rPr>
      <t>https://registro.br/tecnologia/ferramentas/whois/</t>
    </r>
    <r>
      <rPr>
        <color rgb="FF000000"/>
        <u/>
      </rPr>
      <t xml:space="preserve">  (endereço do site = CNPJ da empresa)</t>
    </r>
  </si>
  <si>
    <t>31-Ref. Comercial</t>
  </si>
  <si>
    <t>Situação Regular?</t>
  </si>
  <si>
    <t>33-RAZÃO E FGTS IGUAL?S/N</t>
  </si>
  <si>
    <t>34-Certid Trib Mobiliaros</t>
  </si>
  <si>
    <t xml:space="preserve">S | N - Na análise de crédito botão posição. </t>
  </si>
  <si>
    <t>Total Score</t>
  </si>
  <si>
    <t>14-Casa/Sala/Conj/Apart no end.</t>
  </si>
  <si>
    <t>S | N - Se já comprou e pagou pelo menos uma vez (se tiver algum título baixado)</t>
  </si>
  <si>
    <t>EMPRESINHA</t>
  </si>
  <si>
    <t xml:space="preserve">S | N - Se já comprou e pagou pelo menos 5x (se tiver 5 títulos baixados ou mais) </t>
  </si>
  <si>
    <t>GOLPE</t>
  </si>
  <si>
    <t>GRANDE-FALINDO</t>
  </si>
  <si>
    <t>Menor Valor</t>
  </si>
  <si>
    <t>Risco</t>
  </si>
  <si>
    <t>N/D</t>
  </si>
  <si>
    <t>S | N - Se é Retira então é N. No site da receita confirme se o endereço rua complemento e número é o mesmo que consta no CNPJ na receita</t>
  </si>
  <si>
    <t>S | N - Verificar se no campo Situação Cadastral está a palavra ATIVA ======================================================&gt;&gt;&gt;&gt;</t>
  </si>
  <si>
    <t>Sugestão</t>
  </si>
  <si>
    <t xml:space="preserve">S | N - Verificar se no complemento tem a palavra CASA, SALA ou CONJ </t>
  </si>
  <si>
    <t>20-Grande /Conhecida/Filiais</t>
  </si>
  <si>
    <t>GRANDE-FALINDO:</t>
  </si>
  <si>
    <t>Obs</t>
  </si>
  <si>
    <t>Retira e Faturado</t>
  </si>
  <si>
    <t>Cadastro = Receita</t>
  </si>
  <si>
    <t>Define Risco</t>
  </si>
  <si>
    <t>S | N - Verificar se no campo endereço eletrônico consta um @corporativo = ao do cadastro do Protheus.</t>
  </si>
  <si>
    <t>29-Capital Soc. (Matriz)</t>
  </si>
  <si>
    <t>SE FALINDO SÓ ANTECIPADO | SE GRANDE BUROCR PEGAR CONTATOS FINANCEIRO</t>
  </si>
  <si>
    <t>REFRENCIA-NF:</t>
  </si>
  <si>
    <t>VER E-MAIL CORPORATIVO SITE REFERENC COML OU NFE IGUAL AO ALTO VALOR FATURADO</t>
  </si>
  <si>
    <t>GRANDE-OU-FALINDO:</t>
  </si>
  <si>
    <t>S | N - Verifica se existe um e-mail específico para o setor financeiro. Se existe bom, se não existe piora o Score.</t>
  </si>
  <si>
    <t>S | N - Verifica se no cadastro do Protheus o e-mail é gratuito exemplos: gmail, hotmail, ig, Estes aqui são pagos: UOL, outlook, globo, terra</t>
  </si>
  <si>
    <t>S | N - No cadadstro do cliente no campo Home Page ou se o cliente tem um e-mail corporativo coloca sim</t>
  </si>
  <si>
    <t>17-Scamadviser.com</t>
  </si>
  <si>
    <t>25-SalvarPDFConsltRede</t>
  </si>
  <si>
    <t>SEM-RISCO</t>
  </si>
  <si>
    <t>LIBERADO</t>
  </si>
  <si>
    <t>ENTRADA OU A VISTA</t>
  </si>
  <si>
    <r>
      <rPr>
        <color rgb="FF1155CC"/>
        <u/>
      </rPr>
      <t>https://www.scamadviser.com/</t>
    </r>
    <r>
      <rPr/>
      <t xml:space="preserve"> (coloca endereço do site e pesquisa) Indere o número do resultado de confiança | Se aparecer "Sorry, ... (error code 404) então coloca 0</t>
    </r>
  </si>
  <si>
    <t>24-PFIN S ou N</t>
  </si>
  <si>
    <t>VER E-MAIL CORPORATIVO SITE REFERENC COML NFE 3S ALTO VALOR FATURADO</t>
  </si>
  <si>
    <t>Rel. Básico PJ</t>
  </si>
  <si>
    <t>dd/mm/aa - Copia e cola do site da Receita</t>
  </si>
  <si>
    <t>21-Protestos S ou N</t>
  </si>
  <si>
    <t>Preenchimento automático</t>
  </si>
  <si>
    <t>S | N - Se for empresas conhecidas, como Ministérios, Itaú, Petrobras, Fiat, Laboratórios Fleury, etc</t>
  </si>
  <si>
    <t>22-Vlr Prot. (número)</t>
  </si>
  <si>
    <r>
      <rPr>
        <rFont val="Calibri"/>
        <color theme="1"/>
      </rPr>
      <t xml:space="preserve">0000,00 - coloca o valor caso esteja disponível em </t>
    </r>
    <r>
      <rPr>
        <rFont val="Calibri"/>
        <b/>
        <color theme="1"/>
      </rPr>
      <t>QSA no site da receita</t>
    </r>
    <r>
      <rPr>
        <rFont val="Calibri"/>
        <color theme="1"/>
      </rPr>
      <t>. As vezes localizo no Google buscando cnpj do cliente + Capital Social</t>
    </r>
  </si>
  <si>
    <t>Nome que consta na consulta REGULARIDADE DO FGTS</t>
  </si>
  <si>
    <t>Fazer a consulta no Boa Vista e salva a consulta na rede dentro de G:\Drives compartilhados\Financeiro Consulta\Consultas salve com o nome da empresa sem / e se for repetido, coloque a data no final 2021-04-30</t>
  </si>
  <si>
    <t>24-PFIN</t>
  </si>
  <si>
    <r>
      <rPr>
        <rFont val="Calibri"/>
        <color theme="1"/>
      </rPr>
      <t xml:space="preserve">S | N - Na consulta Boa Vista mostra  </t>
    </r>
    <r>
      <rPr>
        <rFont val="Calibri"/>
        <color rgb="FFFF0000"/>
      </rPr>
      <t>(em 23.06.2023 CONSULTAMOS ATUALMENTE PELO SERASA. LOGON É=76582187 E SENHA É=Bwe@2022 )</t>
    </r>
    <r>
      <rPr>
        <rFont val="Calibri"/>
        <color theme="1"/>
      </rPr>
      <t>https://empresas.serasaexperian.com.br/meus-produtos/login</t>
    </r>
  </si>
  <si>
    <t>https://web2.bvsnet.com.br/transacional/login.php</t>
  </si>
  <si>
    <t>34-Tem Certid Trib Mobiliar.?</t>
  </si>
  <si>
    <t>Capital Social:</t>
  </si>
  <si>
    <t>S | N - Na consulta Boa Vista mostra</t>
  </si>
  <si>
    <t>Coloca o valor total dos protestos em R$</t>
  </si>
  <si>
    <t>30-3 NF Conf.</t>
  </si>
  <si>
    <t xml:space="preserve">Coloca o Score que a consulta do Serasa dá. Se aparecer Default coloca 0. </t>
  </si>
  <si>
    <t>Nome que consta na REGULARIDADE DO FGTS</t>
  </si>
  <si>
    <t>31 - Conta de Luz</t>
  </si>
  <si>
    <r>
      <rPr>
        <color rgb="FF000000"/>
        <u/>
      </rPr>
      <t xml:space="preserve">Cole o nome que aparece no site - Acesse o site  </t>
    </r>
    <r>
      <rPr>
        <color rgb="FF0563C1"/>
        <u/>
      </rPr>
      <t>https://consulta-crf.caixa.gov.br/consultacrf/pages/consultaEmpregador.jsf</t>
    </r>
    <r>
      <rPr>
        <color rgb="FF000000"/>
        <u/>
      </rPr>
      <t xml:space="preserve">  &gt; Coloque o CNPJ sem números e preencha o Captcha. </t>
    </r>
  </si>
  <si>
    <t>OBS</t>
  </si>
  <si>
    <t>Final: Lib/Entrada/Bloqu. só AV</t>
  </si>
  <si>
    <t>S | N - Se constar: "A EMPRESA abaixo identificada está REGULAR" = S. Mas se constar: "As informações disponíveis não são suficientes para a comprovação..." = N "EMPREGADOR NÃO CADASTRADO" = N</t>
  </si>
  <si>
    <t>Data</t>
  </si>
  <si>
    <t>S | N - O nome que aparece está igual ao do cadastro do Protheus?</t>
  </si>
  <si>
    <t>34-Certid Trib Federais</t>
  </si>
  <si>
    <r>
      <rPr/>
      <t xml:space="preserve">S (Sim emitiu e não constam debitos | N (Não foi possível emitir)  | D (Emitiu mas constam Débitos)- </t>
    </r>
    <r>
      <rPr>
        <color rgb="FF1155CC"/>
        <u/>
      </rPr>
      <t>http://servicos.receita.fazenda.gov.br/Servicos/certidaointernet/PJ/Emitir</t>
    </r>
  </si>
  <si>
    <t>Obs:</t>
  </si>
  <si>
    <t>Contratato Entrega</t>
  </si>
  <si>
    <t>Perigo de Golpe</t>
  </si>
  <si>
    <t>Use em caso de cliente que está próximo ao score 0 ou que vc desconfie que é golpe. Solicite uma Nfe recente de valor igual ou maior ao pedido que ele esta fazendo.</t>
  </si>
  <si>
    <t>-</t>
  </si>
  <si>
    <t xml:space="preserve">Use em caso que vc desconfie que é golpe. Solicite uma conta recente de luz do endereço de entrega. Se for apresentdo uma conta com valor baixo = golpe. </t>
  </si>
  <si>
    <t>Metalpleno</t>
  </si>
  <si>
    <t>034331</t>
  </si>
  <si>
    <t>Coloque aqui por exemplo: Pedi uma Nf, liberado só se... avisei o vendedor..., etc</t>
  </si>
  <si>
    <t>Coloque: Liberado | Entrada | Bloqueado onde Liberado OK, Entrada é só com entrada e Bloqueado é quando o cadastro é ruim mesmo.</t>
  </si>
  <si>
    <t>Data de hoje</t>
  </si>
  <si>
    <t>OK</t>
  </si>
  <si>
    <t>SC</t>
  </si>
  <si>
    <r>
      <rPr>
        <rFont val="Calibri"/>
        <color theme="1"/>
      </rPr>
      <t xml:space="preserve">Automático. Menor que 0 = Bloqueia ou pede entrada ou antecipado ou </t>
    </r>
    <r>
      <rPr>
        <rFont val="Calibri"/>
        <b/>
        <color theme="1"/>
      </rPr>
      <t>sugere link de pagamento</t>
    </r>
    <r>
      <rPr>
        <rFont val="Calibri"/>
        <color theme="1"/>
      </rPr>
      <t>. De 1 a 5 = Pede uma NF ou conta de luz. De 6 acima liberado. Cola as celulas amarelas no follow do pedido.</t>
    </r>
  </si>
  <si>
    <t>R$ 40.740.000,00</t>
  </si>
  <si>
    <t>FAST INDUSTRIA E COMERCIO LTDA</t>
  </si>
  <si>
    <t xml:space="preserve">A planilha vai lhe dizer o que ela acha. </t>
  </si>
  <si>
    <t>Ela vai lhe avise se é necessário pedir o PC pelo valor do pedido.</t>
  </si>
  <si>
    <t>Ela vai lhe avisar se é pra pedir Contrato de Entrega.</t>
  </si>
  <si>
    <t>D</t>
  </si>
  <si>
    <t>Transportadora Faoli transportes ok</t>
  </si>
  <si>
    <t>Ao terminar as análises, dá uma olhada em pedidos antigos e tenta empurrar, cobrando contratos de entregas, PC, depósitos e etc.</t>
  </si>
  <si>
    <t>Liberado</t>
  </si>
  <si>
    <t>Tela de análise, seleciona o pedido e sempre clica em Manual:</t>
  </si>
  <si>
    <t>Se o pedido vai ficar parado na análise, pois estamos esperando algo ou alguma resposta clica em Cancelar.</t>
  </si>
  <si>
    <t>Se o pedido não passou e não tem jeito, clica em Rejeitar</t>
  </si>
  <si>
    <t>Se o pedido passou na análise, clica em Lib. Todos.</t>
  </si>
  <si>
    <t>Nunca em OK</t>
  </si>
  <si>
    <t>141660</t>
  </si>
  <si>
    <t>RS</t>
  </si>
  <si>
    <t>R$ 29.200.000,00</t>
  </si>
  <si>
    <t>FARINA SA COMPONENTES AUTOMOTIVOS</t>
  </si>
  <si>
    <t>144468</t>
  </si>
  <si>
    <t>R$ 50.000,00</t>
  </si>
  <si>
    <t>NEW TECH INFORMATICA LTDA</t>
  </si>
  <si>
    <t>GsiBW</t>
  </si>
  <si>
    <t>021332</t>
  </si>
  <si>
    <t>SP</t>
  </si>
  <si>
    <t>R$ 42.171.656,00</t>
  </si>
  <si>
    <t>LEVITARE-INDUSTRIA E COMERCIO DE LATICINIOS LTDA</t>
  </si>
  <si>
    <t>Oaco</t>
  </si>
  <si>
    <t>144469</t>
  </si>
  <si>
    <t>PR</t>
  </si>
  <si>
    <t>R$ 5.000.000,00</t>
  </si>
  <si>
    <t>GF4 PARTICIPACOES LTDA</t>
  </si>
  <si>
    <t>Pedido cancelado</t>
  </si>
  <si>
    <t>144471</t>
  </si>
  <si>
    <t>R$ 184.120.000,00</t>
  </si>
  <si>
    <t>RG LOG LOGISTICA E TRANSPORTE LTDA</t>
  </si>
  <si>
    <t>Pré análise-Andrea</t>
  </si>
  <si>
    <t>144472</t>
  </si>
  <si>
    <t>RJ</t>
  </si>
  <si>
    <t>R$ 100.000,00</t>
  </si>
  <si>
    <t>ECOSI METAIS E ACESSORIOS LTDA</t>
  </si>
  <si>
    <t>Bloqueado</t>
  </si>
  <si>
    <t>144477</t>
  </si>
  <si>
    <t>R$ 879.784.955,67</t>
  </si>
  <si>
    <t>BOMBRIL S/A-EM RECUPERACAO JUDICIAL</t>
  </si>
  <si>
    <t>144481</t>
  </si>
  <si>
    <t>R$ 1.490.000,00</t>
  </si>
  <si>
    <t>TECNOR INDUSTRIA E COMERCIO DE MAQUINAS E EQUIPAMENTOS</t>
  </si>
  <si>
    <t>144480</t>
  </si>
  <si>
    <t>R$ 21.300,000,00</t>
  </si>
  <si>
    <t>ADF EMPRESAS REUNIDAS LTDA</t>
  </si>
  <si>
    <t>144485</t>
  </si>
  <si>
    <t>R$ 6.041.064,00</t>
  </si>
  <si>
    <t>MARQUESPAN ALIMENTOS LTDA</t>
  </si>
  <si>
    <t xml:space="preserve">MODULAR TRANSPORTES LTDA (SP)           </t>
  </si>
  <si>
    <t>033086</t>
  </si>
  <si>
    <t>R$ 437.323,00</t>
  </si>
  <si>
    <t>CYMZ CONSTRUCOES LTDA</t>
  </si>
  <si>
    <t>005031</t>
  </si>
  <si>
    <t>PA</t>
  </si>
  <si>
    <t>R$ 2.548.010.108,99</t>
  </si>
  <si>
    <t>SIDERURGICA NORTE BRASIL SA</t>
  </si>
  <si>
    <t>144489</t>
  </si>
  <si>
    <t>R$ 32.224.443,00</t>
  </si>
  <si>
    <t>SLEEVER INTERNATIONAL LTDA</t>
  </si>
  <si>
    <t>144490</t>
  </si>
  <si>
    <t>028293</t>
  </si>
  <si>
    <t>R$ 15.711.359.775,89</t>
  </si>
  <si>
    <t>REDE D'OR SAO LUIZ SA</t>
  </si>
  <si>
    <t>143634</t>
  </si>
  <si>
    <t>R$ 247.060.169,00</t>
  </si>
  <si>
    <t>JM LUBRIFICANTES E PECAS P VEICULOS LTDA</t>
  </si>
  <si>
    <t>144500</t>
  </si>
  <si>
    <t>GO</t>
  </si>
  <si>
    <t>R$ 5.000,00</t>
  </si>
  <si>
    <t>PREVINA CURSOS E EQUIPAMENTOS LTDA</t>
  </si>
  <si>
    <t>144343</t>
  </si>
  <si>
    <t>R$1.000.000,00</t>
  </si>
  <si>
    <t>CLINICA MEDICA DE NEFROLOGIA DE JUNDIAI LTDA</t>
  </si>
  <si>
    <t>144160</t>
  </si>
  <si>
    <t>MG</t>
  </si>
  <si>
    <t>R$ 150.000,00</t>
  </si>
  <si>
    <t>MD'ORE FERRAMENTAS E FIXACAO LTDA</t>
  </si>
  <si>
    <t>144504</t>
  </si>
  <si>
    <t>DF</t>
  </si>
  <si>
    <t>R$ 20.000,00</t>
  </si>
  <si>
    <t>INEB CLINICA MEDICA DE NEFROLOGIA LTDA</t>
  </si>
  <si>
    <t>R$ 8.000.000,00</t>
  </si>
  <si>
    <t>INFORMOV LTDA</t>
  </si>
  <si>
    <t>Pré análise Andrea</t>
  </si>
  <si>
    <t>016801</t>
  </si>
  <si>
    <t>R$ 39.249.899,97</t>
  </si>
  <si>
    <t xml:space="preserve">COMPANHIA MINUANO DE ALIMENTOS </t>
  </si>
  <si>
    <t>143436</t>
  </si>
  <si>
    <t>R$ 99.800,00</t>
  </si>
  <si>
    <t>NUTRIGENES INDUSTRIA DE PRODS NATURAIS E NUTRACEUTIC</t>
  </si>
  <si>
    <t>144512</t>
  </si>
  <si>
    <t>R$ 205.046.507,00</t>
  </si>
  <si>
    <t>CALZEDONIA BRASIL COMERCIO DE MODA E ACESSORIOS LTDA</t>
  </si>
  <si>
    <t>144513</t>
  </si>
  <si>
    <t>144520</t>
  </si>
  <si>
    <t>029288</t>
  </si>
  <si>
    <t>COOPERATIVA VEILING HOLAMBRA</t>
  </si>
  <si>
    <t>027081</t>
  </si>
  <si>
    <t>R$ 56.186.394,00</t>
  </si>
  <si>
    <t>CIMED INDUSTRIA SA</t>
  </si>
  <si>
    <t>143764</t>
  </si>
  <si>
    <t>CONSELHO NACIONAL DE SECRETARIOS DE SAUDE</t>
  </si>
  <si>
    <t>144527</t>
  </si>
  <si>
    <t>R$ 844.613.653,86</t>
  </si>
  <si>
    <t>COMPANHIA ESTADUAL DE AGUAS E ESGOTO CEDAE</t>
  </si>
  <si>
    <t>144552</t>
  </si>
  <si>
    <t>R$ 68.805.136,00</t>
  </si>
  <si>
    <t>BOM JARDIM ENERGIA EOLICA SA</t>
  </si>
  <si>
    <t>141469</t>
  </si>
  <si>
    <t>R$ 67.599.702,00</t>
  </si>
  <si>
    <t>AQUIBATA ENERGIA EOLICA SA</t>
  </si>
  <si>
    <t>144528</t>
  </si>
  <si>
    <t>R$ 34.403.499,00</t>
  </si>
  <si>
    <t>TRUMPF MAQUINAS INDUSTRIA E COMERCIO LTDA</t>
  </si>
  <si>
    <t>144306</t>
  </si>
  <si>
    <t>UNIMED DE ARARAQUARA COOPERATIVA DE TRABALHO MEDICO</t>
  </si>
  <si>
    <t>144199</t>
  </si>
  <si>
    <t>R$ 823.920.411,76</t>
  </si>
  <si>
    <t>LINS AGROINDUSTRIAL SA</t>
  </si>
  <si>
    <t>143127</t>
  </si>
  <si>
    <t>R$ 2.000,00</t>
  </si>
  <si>
    <t>JHV IMPORTACAO , EXPORTACAO INDUSTRIA E COMERCIO LTDA</t>
  </si>
  <si>
    <t>011678</t>
  </si>
  <si>
    <t>MARCHESAN IMPLEMENTOS E MAQUINAS AGRICOLAS TATU SA</t>
  </si>
  <si>
    <t>144532</t>
  </si>
  <si>
    <t>R$ 250.007.946,00</t>
  </si>
  <si>
    <t>BIONOW SA</t>
  </si>
  <si>
    <t>144536</t>
  </si>
  <si>
    <t>R$ 37.046.710,00</t>
  </si>
  <si>
    <t>INDUSTRIA MISSIATO DE BEBIDAS LTDA</t>
  </si>
  <si>
    <t>144537</t>
  </si>
  <si>
    <t>R$ 30.000,00</t>
  </si>
  <si>
    <t>ESTRELA DE OURO MATERIAIS ELETRICOS E HIDRAULICOS LTDA</t>
  </si>
  <si>
    <t>141474</t>
  </si>
  <si>
    <t>BA</t>
  </si>
  <si>
    <t>R$ 1.093.350.865,39</t>
  </si>
  <si>
    <t>LM TRANSPORTES INTERESTADUAIS SERVICOS E COMERCIO SA</t>
  </si>
  <si>
    <t>022550</t>
  </si>
  <si>
    <t>R$ 230.820.090,44</t>
  </si>
  <si>
    <t>SUL IMPORT VEICULOS E SERVICOS SUL SA</t>
  </si>
  <si>
    <t>141438</t>
  </si>
  <si>
    <t>R$ 18.600.000,00</t>
  </si>
  <si>
    <t>SEMINA INDUSTRIA E COMERCIO LTDA</t>
  </si>
  <si>
    <t>144544</t>
  </si>
  <si>
    <t>R$ 3.000.000,00</t>
  </si>
  <si>
    <t>INJEQUALY INDUSTRIA E COMERCIO LTDA</t>
  </si>
  <si>
    <t>144076</t>
  </si>
  <si>
    <t>ASSOCIACAO SAO LEOPOLDO MANDIC-SL MANDIC</t>
  </si>
  <si>
    <t>027891</t>
  </si>
  <si>
    <t>R$ 102.000,00</t>
  </si>
  <si>
    <t>LAR CONSTRUCOES E INCORPORACOES LTDA</t>
  </si>
  <si>
    <t>144163</t>
  </si>
  <si>
    <t>R$ 138.446.361,00</t>
  </si>
  <si>
    <t>ATLAS COPCO BRASIL LTDA</t>
  </si>
  <si>
    <t>030585</t>
  </si>
  <si>
    <t>MUSEU DE ARTE DE SAO PAULO ASSIS CHATEAUBRIAND-MASP</t>
  </si>
  <si>
    <t>143202</t>
  </si>
  <si>
    <t>R$ 140.000.000,00</t>
  </si>
  <si>
    <t>RAMIRO CAMPELO COMERCIO DE ATIVIDADES LTDA</t>
  </si>
  <si>
    <t>144562</t>
  </si>
  <si>
    <t>R$ 41.388.384,00</t>
  </si>
  <si>
    <t>HELISUL TAXI AEREO LTDA</t>
  </si>
  <si>
    <t>144378</t>
  </si>
  <si>
    <t>R$ 16.106.000,00</t>
  </si>
  <si>
    <t>SCHWAN COSMETICS DO BRASIL LTDA</t>
  </si>
  <si>
    <t>144566</t>
  </si>
  <si>
    <t>R$ 2.091.602.062,00</t>
  </si>
  <si>
    <t>FISERV DO BRASIL INSTITUICAO DE PAGAMENTO LTDA</t>
  </si>
  <si>
    <t>007661</t>
  </si>
  <si>
    <t>144568</t>
  </si>
  <si>
    <t>R$ 883.547.058,00</t>
  </si>
  <si>
    <t>SILGAN DISPENSING SYSTEMS DO BRASIL LTDA</t>
  </si>
  <si>
    <t>144570</t>
  </si>
  <si>
    <t>PETFIVE BRANDS BRASIL S.A</t>
  </si>
  <si>
    <t>036273</t>
  </si>
  <si>
    <t>R$ 202.394.961,06</t>
  </si>
  <si>
    <t>MADERO INDUSTRIA E COMERCIO S.A</t>
  </si>
  <si>
    <t>068591</t>
  </si>
  <si>
    <t>R$ 1.252.880,00</t>
  </si>
  <si>
    <t>55 FABRICA DE MOVEIS LTDA</t>
  </si>
  <si>
    <t>144579</t>
  </si>
  <si>
    <t>R$ 1.046.458.877,87</t>
  </si>
  <si>
    <t>DIMED SA DISTRIBUIDORA DE MEDICAMENTOS</t>
  </si>
  <si>
    <t>144580</t>
  </si>
  <si>
    <t>144585</t>
  </si>
  <si>
    <t>AMBAR AUTOMACAO LTDA</t>
  </si>
  <si>
    <t>144586</t>
  </si>
  <si>
    <t>R$ 105.579.160,85</t>
  </si>
  <si>
    <t>SAMEDIL-SERVICOS DE ATENDIMENTO MEDICO SA</t>
  </si>
  <si>
    <t>R$ 10.511.211,00</t>
  </si>
  <si>
    <t>ECOTAUBATE AMBIENTAL SA</t>
  </si>
  <si>
    <t>Pré-análise Andrea</t>
  </si>
  <si>
    <t>144589</t>
  </si>
  <si>
    <t>R$ 5.460.000,00</t>
  </si>
  <si>
    <t>FRIGOSTRELLA DO BRASIL IND DE REFRIGERACAO LTDA</t>
  </si>
  <si>
    <t>144590</t>
  </si>
  <si>
    <t>R$ 786.865.196,00</t>
  </si>
  <si>
    <t>PROSEGUR BRASIL SA TRANSPORTADORA DE VALORES E SEGURAN</t>
  </si>
  <si>
    <t>144591</t>
  </si>
  <si>
    <t>R$ 192.106.977,00</t>
  </si>
  <si>
    <t>MSC MEDITERRANEAN LOGISTICA LTDA</t>
  </si>
  <si>
    <t>144592</t>
  </si>
  <si>
    <t>R$ 30.000.000,00</t>
  </si>
  <si>
    <t>ALUCOMAXX BRASIL INDUSTRIA E COMERCIO DE REVESTIMENTO</t>
  </si>
  <si>
    <t>020698</t>
  </si>
  <si>
    <t>R$ 95.400,00</t>
  </si>
  <si>
    <t>MS SUPRIMENTOS LTDA</t>
  </si>
  <si>
    <t>144594</t>
  </si>
  <si>
    <t>R$169.466.620,00</t>
  </si>
  <si>
    <t>GREIF EMBALAGENS INDUSTRIAIS DO BRASIL LTDA</t>
  </si>
  <si>
    <t>144071</t>
  </si>
  <si>
    <t>R$ 1.134.339.481,70</t>
  </si>
  <si>
    <t>ARMAC LOCACAO, LOGISTICA E SERVICOS SA</t>
  </si>
  <si>
    <t>144598</t>
  </si>
  <si>
    <t>R$ 24.730.000,00</t>
  </si>
  <si>
    <t>MACRON INDUSTRIA GRAFICA LTDA</t>
  </si>
  <si>
    <t>139192</t>
  </si>
  <si>
    <t>R$ 370.483.000,00</t>
  </si>
  <si>
    <t>ARAGUAIA SA</t>
  </si>
  <si>
    <t>144604</t>
  </si>
  <si>
    <t>R$ 597.430.629,00</t>
  </si>
  <si>
    <t>GRABER SEGURANCA LTDA</t>
  </si>
  <si>
    <t>144605</t>
  </si>
  <si>
    <t>R$ 36.624.684,00</t>
  </si>
  <si>
    <t>BEONE MEDICINES BRASIL LTDA</t>
  </si>
  <si>
    <t>144607</t>
  </si>
  <si>
    <t>R$ 242.406,01</t>
  </si>
  <si>
    <t>LENNOX CONSTRUCOES E PINTURAS TECNICAS LTDA</t>
  </si>
  <si>
    <t>026262</t>
  </si>
  <si>
    <t>144612</t>
  </si>
  <si>
    <t>IC TRANSPORTES LTDA</t>
  </si>
  <si>
    <t>036260</t>
  </si>
  <si>
    <t>R$ 217.622.008,00</t>
  </si>
  <si>
    <t>TRANS KOTHE TRANSPORTES RODOVIARIOS SA</t>
  </si>
  <si>
    <t>015451</t>
  </si>
  <si>
    <t>SERVICO SOCIAL DA CONSTRUCAO CIVIL DO ESTADO DE SAO PAU</t>
  </si>
  <si>
    <t>144613</t>
  </si>
  <si>
    <t>R$ 110.000,00</t>
  </si>
  <si>
    <t>ROCKET CONSTRUCOES E INCORPORACOES LTDA</t>
  </si>
  <si>
    <t>143547</t>
  </si>
  <si>
    <t>R$ 525.724.114,00</t>
  </si>
  <si>
    <t>MIDEA INDUSTRIA E COMERCIO DO BRASIL LTDA</t>
  </si>
  <si>
    <t>050424</t>
  </si>
  <si>
    <t>R$ 95.100.731,45</t>
  </si>
  <si>
    <t>OKEAN ESTALEIRO SA</t>
  </si>
  <si>
    <t>144619</t>
  </si>
  <si>
    <t>R$ 99.068.656,00</t>
  </si>
  <si>
    <t>SGS GEOSOL LABORATORIOS SA</t>
  </si>
  <si>
    <t>029928</t>
  </si>
  <si>
    <t>FUNDACAO ARTHUR BERNARDES</t>
  </si>
  <si>
    <t>144622</t>
  </si>
  <si>
    <t>AM</t>
  </si>
  <si>
    <t>3P BRASIL- CONSULTORIA E PROJETOS DE INSTALACAO P</t>
  </si>
  <si>
    <t>035764</t>
  </si>
  <si>
    <t>JR2 COMERCIO DE VARIEDADES LTDA</t>
  </si>
  <si>
    <t>144625</t>
  </si>
  <si>
    <t>R$ 7.747.460,00</t>
  </si>
  <si>
    <t>HOSPITAL SAO LOURENCO LTDA</t>
  </si>
  <si>
    <t>005501</t>
  </si>
  <si>
    <t>UNIAO CENTRAL BRASILEIRA DA IGREJA DO SETIMO</t>
  </si>
  <si>
    <t>144628</t>
  </si>
  <si>
    <t>MS</t>
  </si>
  <si>
    <t>R$ 21.005.711.779,95</t>
  </si>
  <si>
    <t>ARAUCO CELULOSE DO BRASIL SA</t>
  </si>
  <si>
    <t>019694</t>
  </si>
  <si>
    <t>R$ 10.000,00</t>
  </si>
  <si>
    <t>PERFUMARIA YUJI LTDA</t>
  </si>
  <si>
    <t>144632</t>
  </si>
  <si>
    <t>FUNDACAO BANRISUL DE SEGURIDADE SOCIAL</t>
  </si>
  <si>
    <t>144643</t>
  </si>
  <si>
    <t>R$ 853.277,00</t>
  </si>
  <si>
    <t>VIV SAUDE MENTAL E EMOCIONAL RESILIENCIA LTDA</t>
  </si>
  <si>
    <t>144644</t>
  </si>
  <si>
    <t>R$ 448.355.286,00</t>
  </si>
  <si>
    <t>TIETE AGROINDUSTRIAL S.A</t>
  </si>
  <si>
    <t>144634</t>
  </si>
  <si>
    <t>R$ 1.600.000.000,00</t>
  </si>
  <si>
    <t>DASS NORDESTE CALCADOS E ARTIGOS ESPORTIVOS SA</t>
  </si>
  <si>
    <t>JOSE MARCOS LICERAS</t>
  </si>
  <si>
    <t>Pré-análise Luiz</t>
  </si>
  <si>
    <t>144635</t>
  </si>
  <si>
    <t>BORANY CONSTRUTORA LTDA</t>
  </si>
  <si>
    <t>144638</t>
  </si>
  <si>
    <t>MT</t>
  </si>
  <si>
    <t>R$ 3.655.113.070,00</t>
  </si>
  <si>
    <t>LONGPING HIGH TECH BIOTECNOLOGIA LTDA</t>
  </si>
  <si>
    <t>144639</t>
  </si>
  <si>
    <t>R$ 201.000,00</t>
  </si>
  <si>
    <t>AGA TREND LTDA</t>
  </si>
  <si>
    <t>035224</t>
  </si>
  <si>
    <t>144013</t>
  </si>
  <si>
    <t>R$ 255.080.851,00</t>
  </si>
  <si>
    <t>PREVENT SENIOR PRIVATE OPERADORA DE SAUDE LTDA</t>
  </si>
  <si>
    <t>Aprovado autorizado Diretoria</t>
  </si>
  <si>
    <t>144646</t>
  </si>
  <si>
    <t>ASSOCIACAO HOSPITALAR DE PROT INFANCIA DR RAUL CARNEIRO</t>
  </si>
  <si>
    <t>137363</t>
  </si>
  <si>
    <t>R$ 196.177.435,00</t>
  </si>
  <si>
    <t>AZUL CONECTA LTDA</t>
  </si>
  <si>
    <t>144649</t>
  </si>
  <si>
    <t>R$ 78.215.000,00</t>
  </si>
  <si>
    <t>MASTER INDUSTRIA E COMERCIO LTDA</t>
  </si>
  <si>
    <t>NAO FOI POSSIVEL CONSULTAR</t>
  </si>
  <si>
    <t>144650</t>
  </si>
  <si>
    <t>R$ 2.000.000,00</t>
  </si>
  <si>
    <t>EQUIPSEA EQUIPAMENTOS E SERVICOS INDUSTRIAIS LTDA</t>
  </si>
  <si>
    <t>AMG VIEIRA COMERCIO DE PECAS E ACESSORIOS LTDA</t>
  </si>
  <si>
    <t>144657</t>
  </si>
  <si>
    <t>R$ 472.242,00</t>
  </si>
  <si>
    <t>HOSPITAL AMERICAN COR LTDA</t>
  </si>
  <si>
    <t>Precisa confirmar entrada</t>
  </si>
  <si>
    <t>144660</t>
  </si>
  <si>
    <t>R$ 64.459.428,81</t>
  </si>
  <si>
    <t>RODOIL DISTRIBUIDORA DE COMBUSTIVEIS SA</t>
  </si>
  <si>
    <t>144661</t>
  </si>
  <si>
    <t>144662</t>
  </si>
  <si>
    <t>144663</t>
  </si>
  <si>
    <t>144664</t>
  </si>
  <si>
    <t>R$ 169.500.000,00</t>
  </si>
  <si>
    <t>MONTE BRAVO CORRETORA DE TITULOS E VALORES IMOBILIARIOS</t>
  </si>
  <si>
    <t>144669</t>
  </si>
  <si>
    <t>R$ 99.698.695,00</t>
  </si>
  <si>
    <t>FERRO+MINERACAO SA</t>
  </si>
  <si>
    <t>143505</t>
  </si>
  <si>
    <t>R$ 3.592.991,00</t>
  </si>
  <si>
    <t>IRBAS INDUSTRIA AUTOMOTIVA LTDA</t>
  </si>
  <si>
    <t>144676</t>
  </si>
  <si>
    <t>R$ 200.000,00</t>
  </si>
  <si>
    <t>HIDROLABOR LAB CONT QUAL LTDA</t>
  </si>
  <si>
    <t>144677</t>
  </si>
  <si>
    <t>002884</t>
  </si>
  <si>
    <t>R$ 32.000.000,00</t>
  </si>
  <si>
    <t>COMPANHIA THERMAS DO RIO QUENTE</t>
  </si>
  <si>
    <t>R$ 6.000.000,00</t>
  </si>
  <si>
    <t>SUMATEX PRODUTOS QUIMICOS LTDA-EM RECUPERACAO JUDICIAL</t>
  </si>
  <si>
    <t>142839</t>
  </si>
  <si>
    <t>R$ 552.620.212,00</t>
  </si>
  <si>
    <t>SEGURPRO VIGILANCIA PATRIMONIAL SA</t>
  </si>
  <si>
    <t>014021</t>
  </si>
  <si>
    <t>AP+ELETTRO LIGHT CONSULTORIA ,ENGENHARIA E CONSTRUCAO</t>
  </si>
  <si>
    <t>143229</t>
  </si>
  <si>
    <t>R$ 900.000,00</t>
  </si>
  <si>
    <t>FERRAZ SOLUCOES E SERVICOS LTDA</t>
  </si>
  <si>
    <t>144690</t>
  </si>
  <si>
    <t>R$ 800.000,00</t>
  </si>
  <si>
    <t>HYPERFARMA DISTRIBUICAO E SERVICOS LTDA</t>
  </si>
  <si>
    <t>144696</t>
  </si>
  <si>
    <t>ASSOCIACAO DOS FUNCIONARIOS PUBLICOS ESTADO DE SAO PAULO</t>
  </si>
  <si>
    <t>143898</t>
  </si>
  <si>
    <t>ABSOLUTA SOLUCOES E USINAGEM LTDA</t>
  </si>
  <si>
    <t>R$ 1.600.000,00</t>
  </si>
  <si>
    <t>007637</t>
  </si>
  <si>
    <t>ES</t>
  </si>
  <si>
    <t>K.V.GOMES LTDA</t>
  </si>
  <si>
    <t>012477</t>
  </si>
  <si>
    <t>R$ 6.000,00</t>
  </si>
  <si>
    <t>INJECTCENTER MANIPULACAO DE PRODUTOS FARMACEUTICOS LTDA</t>
  </si>
  <si>
    <t>144702</t>
  </si>
  <si>
    <t>NEFROLOGIA E DIALISE PINHEIROS-SERVICOS MEDICOS LTDA</t>
  </si>
  <si>
    <t>141880</t>
  </si>
  <si>
    <t>POTENZA CELANO-FERRAMENTAS LTDA</t>
  </si>
  <si>
    <t>144703</t>
  </si>
  <si>
    <t>144704</t>
  </si>
  <si>
    <t>E PRUDENCIO FILHO LTDA</t>
  </si>
  <si>
    <t>Aguardar confirmar entrada</t>
  </si>
  <si>
    <t>143617</t>
  </si>
  <si>
    <t>INFRAMASTER ENGENHARIA LTDA</t>
  </si>
  <si>
    <t>025869</t>
  </si>
  <si>
    <t>R$ 1.200.000,00</t>
  </si>
  <si>
    <t>WDM BRASIL ACOS LTDA</t>
  </si>
  <si>
    <t>144713</t>
  </si>
  <si>
    <t>144714</t>
  </si>
  <si>
    <t>142196</t>
  </si>
  <si>
    <t>SANTUARIO NACIONAL DE NOSSO SENHORA DA CONCEICAO APAREC</t>
  </si>
  <si>
    <t>144720</t>
  </si>
  <si>
    <t>BLUVAL COMERCIO E AUTOMACAO INDUSTRIAL LTDA</t>
  </si>
  <si>
    <t>144722</t>
  </si>
  <si>
    <t>PE</t>
  </si>
  <si>
    <t>R$ 10.000.000,00</t>
  </si>
  <si>
    <t>NEQ DISTRIBUIDORA E LOCADORA DE MAQUINAS E EQUIPAMENTOS</t>
  </si>
  <si>
    <t>144724</t>
  </si>
  <si>
    <t>144736</t>
  </si>
  <si>
    <t>R$ 32.008.662,00</t>
  </si>
  <si>
    <t>CLEAN BOTTLE INDUSTRIAL LTDA</t>
  </si>
  <si>
    <t>R$ 313.937.248,00</t>
  </si>
  <si>
    <t>ITAMBE MINAS COMERCIO E DISTRIBUICAO DE ALIMENTOS LTDA</t>
  </si>
  <si>
    <t>Autorizado Diretoria-pré análise</t>
  </si>
  <si>
    <t>144726</t>
  </si>
  <si>
    <t>R$ 700.000,00</t>
  </si>
  <si>
    <t>CAZI QUIMICA FARMACEUTICA INDUSTRIA E COMERCIO LTDA</t>
  </si>
  <si>
    <t>desconto autorizado Diretoria</t>
  </si>
  <si>
    <t>068430</t>
  </si>
  <si>
    <t>GOIAS COFRES &amp; CHAVES LTDA</t>
  </si>
  <si>
    <t>revenda desconto autoriz diretoria</t>
  </si>
  <si>
    <t>002721</t>
  </si>
  <si>
    <t>R$ 304.233.105,42</t>
  </si>
  <si>
    <t>STARA SA -INDUSTRIA DE IMPLEMENTOS AGRICOLAS</t>
  </si>
  <si>
    <t>036195</t>
  </si>
  <si>
    <t>R$ 47.773.578,00</t>
  </si>
  <si>
    <t>HOSPITAL POLICLINICA UNIMED LTDA</t>
  </si>
  <si>
    <t>028225</t>
  </si>
  <si>
    <t>143972</t>
  </si>
  <si>
    <t>R$ 540.000,00</t>
  </si>
  <si>
    <t>ABRASUL ABRASIVO EPI SOLDAS LTDA</t>
  </si>
  <si>
    <t>144733</t>
  </si>
  <si>
    <t>BIOCOLLAGEN LTDA</t>
  </si>
  <si>
    <t>144737</t>
  </si>
  <si>
    <t>R$ 250.000,00</t>
  </si>
  <si>
    <t>CVS INDUSTRIA,COMERCIO E ASSISTÊNCIA TECNICA LTDA</t>
  </si>
  <si>
    <t>017306</t>
  </si>
  <si>
    <t>R$ 720.753.241,00</t>
  </si>
  <si>
    <t>REFRESCOS BANDEIRANTES INDUSTRIA E COMERCIO LTDA</t>
  </si>
  <si>
    <t>007847</t>
  </si>
  <si>
    <t>SOCIEDADE BENEFICENTE SAO CAMILO</t>
  </si>
  <si>
    <t>144740</t>
  </si>
  <si>
    <t>ELETROFRAN COMERCIO E SERVICOS LTDA</t>
  </si>
  <si>
    <t>144741</t>
  </si>
  <si>
    <t>R$ 47.049.122,57</t>
  </si>
  <si>
    <t>AUTOMETAL SBC INJECAO E PINTURA DE PLASTICOS LTDA</t>
  </si>
  <si>
    <t>144742</t>
  </si>
  <si>
    <t>R$ 9.335.386,00</t>
  </si>
  <si>
    <t>OSSUR BRASIL LTDA</t>
  </si>
  <si>
    <t>035471</t>
  </si>
  <si>
    <t>CE</t>
  </si>
  <si>
    <t>R$ 715.164.188,00</t>
  </si>
  <si>
    <t>FRAPORT BRASIL SA -AEROPORTO DE FORTALEZA</t>
  </si>
  <si>
    <t>144750</t>
  </si>
  <si>
    <t>R$ 7.763.481,00</t>
  </si>
  <si>
    <t>FOCUS TECNOLOGIA DE PLASTICOS 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</si>
</sst>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yy"/>
    <numFmt numFmtId="166" formatCode="dd&quot;/&quot;mm&quot;/&quot;yy"/>
    <numFmt numFmtId="167" formatCode="dd/mm/yy"/>
    <numFmt numFmtId="168" formatCode="dd/mm/yyyy"/>
  </numFmts>
  <fonts count="26">
    <font>
      <sz val="9.0"/>
      <color rgb="FF000000"/>
      <name val="Calibri"/>
      <scheme val="minor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sz val="9.0"/>
      <color theme="1"/>
      <name val="Calibri"/>
      <scheme val="minor"/>
    </font>
    <font>
      <sz val="10.0"/>
      <color theme="1"/>
      <name val="Calibri"/>
    </font>
    <font>
      <sz val="9.0"/>
      <color theme="1"/>
      <name val="Calibri"/>
    </font>
    <font>
      <color theme="1"/>
      <name val="Calibri"/>
      <scheme val="minor"/>
    </font>
    <font>
      <b/>
      <sz val="10.0"/>
      <color theme="1"/>
      <name val="Calibri"/>
    </font>
    <font>
      <sz val="9.0"/>
      <color rgb="FF000000"/>
      <name val="Docs-Calibri"/>
    </font>
    <font>
      <b/>
      <u/>
      <sz val="10.0"/>
      <color rgb="FF0000FF"/>
      <name val="Calibri"/>
    </font>
    <font>
      <u/>
      <sz val="10.0"/>
      <color rgb="FF0000FF"/>
      <name val="Calibri"/>
    </font>
    <font>
      <b/>
      <sz val="9.0"/>
      <color theme="1"/>
      <name val="Calibri"/>
    </font>
    <font>
      <u/>
      <sz val="10.0"/>
      <color rgb="FF0563C1"/>
      <name val="Calibri"/>
    </font>
    <font>
      <u/>
      <color rgb="FF1155CC"/>
    </font>
    <font>
      <u/>
      <sz val="10.0"/>
      <color rgb="FF0000FF"/>
      <name val="Calibri"/>
    </font>
    <font>
      <sz val="8.0"/>
      <color rgb="FF000000"/>
      <name val="Docs-Calibri"/>
    </font>
    <font>
      <u/>
      <sz val="9.0"/>
      <color rgb="FF0000FF"/>
      <name val="Calibri"/>
    </font>
    <font>
      <u/>
      <sz val="10.0"/>
      <color rgb="FF0000FF"/>
      <name val="Calibri"/>
    </font>
    <font>
      <u/>
      <color rgb="FF0000FF"/>
    </font>
    <font>
      <u/>
      <sz val="10.0"/>
      <color rgb="FF0000FF"/>
      <name val="Calibri"/>
    </font>
    <font>
      <b/>
      <sz val="8.0"/>
      <color rgb="FF000000"/>
      <name val="Calibri"/>
    </font>
    <font>
      <u/>
      <color rgb="FF0000FF"/>
    </font>
    <font>
      <u/>
      <sz val="10.0"/>
      <color rgb="FF0000FF"/>
      <name val="Calibri"/>
    </font>
    <font>
      <sz val="9.0"/>
      <color rgb="FF000000"/>
      <name val="Calibri"/>
    </font>
    <font>
      <u/>
      <color rgb="FF0563C1"/>
    </font>
  </fonts>
  <fills count="19">
    <fill>
      <patternFill patternType="none"/>
    </fill>
    <fill>
      <patternFill patternType="lightGray"/>
    </fill>
    <fill>
      <patternFill patternType="solid">
        <fgColor rgb="FFEBF1DE"/>
        <bgColor rgb="FFEBF1DE"/>
      </patternFill>
    </fill>
    <fill>
      <patternFill patternType="solid">
        <fgColor rgb="FFE2F0D9"/>
        <bgColor rgb="FFE2F0D9"/>
      </patternFill>
    </fill>
    <fill>
      <patternFill patternType="solid">
        <fgColor rgb="FFFFC000"/>
        <bgColor rgb="FFFFC000"/>
      </patternFill>
    </fill>
    <fill>
      <patternFill patternType="solid">
        <fgColor rgb="FFB4C7E7"/>
        <bgColor rgb="FFB4C7E7"/>
      </patternFill>
    </fill>
    <fill>
      <patternFill patternType="solid">
        <fgColor rgb="FFDEEBF7"/>
        <bgColor rgb="FFDEEBF7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2D050"/>
        <bgColor rgb="FF92D050"/>
      </patternFill>
    </fill>
    <fill>
      <patternFill patternType="solid">
        <fgColor rgb="FFC3D69B"/>
        <bgColor rgb="FFC3D69B"/>
      </patternFill>
    </fill>
    <fill>
      <patternFill patternType="solid">
        <fgColor rgb="FFFF9900"/>
        <bgColor rgb="FFFF9900"/>
      </patternFill>
    </fill>
    <fill>
      <patternFill patternType="solid">
        <fgColor rgb="FFA9D18E"/>
        <bgColor rgb="FFA9D18E"/>
      </patternFill>
    </fill>
    <fill>
      <patternFill patternType="solid">
        <fgColor rgb="FF00B0F0"/>
        <bgColor rgb="FF00B0F0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FFFA6"/>
        <bgColor rgb="FFFFFFA6"/>
      </patternFill>
    </fill>
    <fill>
      <patternFill patternType="solid">
        <fgColor rgb="FFFFFFCC"/>
        <bgColor rgb="FFFFFFCC"/>
      </patternFill>
    </fill>
  </fills>
  <borders count="30">
    <border/>
    <border>
      <left style="medium">
        <color rgb="FF000000"/>
      </lef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B0F0"/>
      </left>
      <right/>
      <top style="thin">
        <color rgb="FF00B0F0"/>
      </top>
      <bottom style="thin">
        <color rgb="FF00B0F0"/>
      </bottom>
    </border>
    <border>
      <left/>
      <right/>
      <top style="thin">
        <color rgb="FF00B0F0"/>
      </top>
      <bottom style="thin">
        <color rgb="FF00B0F0"/>
      </bottom>
    </border>
    <border>
      <left/>
      <right style="thin">
        <color rgb="FF00B0F0"/>
      </right>
      <top style="thin">
        <color rgb="FF00B0F0"/>
      </top>
      <bottom style="thin">
        <color rgb="FF00B0F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B0F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center"/>
    </xf>
    <xf borderId="3" fillId="2" fontId="2" numFmtId="0" xfId="0" applyAlignment="1" applyBorder="1" applyFill="1" applyFont="1">
      <alignment horizontal="center"/>
    </xf>
    <xf borderId="3" fillId="2" fontId="2" numFmtId="49" xfId="0" applyAlignment="1" applyBorder="1" applyFill="1" applyFont="1" applyNumberFormat="1">
      <alignment horizontal="center"/>
    </xf>
    <xf borderId="3" fillId="2" fontId="1" numFmtId="3" xfId="0" applyAlignment="1" applyBorder="1" applyFill="1" applyFont="1" applyNumberFormat="1">
      <alignment horizontal="center" readingOrder="0"/>
    </xf>
    <xf borderId="3" fillId="2" fontId="1" numFmtId="4" xfId="0" applyAlignment="1" applyBorder="1" applyFill="1" applyFont="1" applyNumberFormat="1">
      <alignment horizontal="center"/>
    </xf>
    <xf borderId="3" fillId="2" fontId="1" numFmtId="0" xfId="0" applyAlignment="1" applyBorder="1" applyFill="1" applyFont="1">
      <alignment horizontal="center"/>
    </xf>
    <xf borderId="3" fillId="3" fontId="3" numFmtId="0" xfId="0" applyAlignment="1" applyBorder="1" applyFill="1" applyFont="1">
      <alignment horizontal="right"/>
    </xf>
    <xf borderId="3" fillId="4" fontId="2" numFmtId="0" xfId="0" applyAlignment="1" applyBorder="1" applyFill="1" applyFont="1">
      <alignment horizontal="left"/>
    </xf>
    <xf borderId="0" fillId="0" fontId="4" numFmtId="0" xfId="0" applyAlignment="1" applyFont="1">
      <alignment readingOrder="0"/>
    </xf>
    <xf borderId="3" fillId="2" fontId="5" numFmtId="0" xfId="0" applyAlignment="1" applyBorder="1" applyFill="1" applyFont="1">
      <alignment horizontal="center" readingOrder="0"/>
    </xf>
    <xf borderId="4" fillId="0" fontId="1" numFmtId="164" xfId="0" applyBorder="1" applyFont="1" applyNumberFormat="1"/>
    <xf borderId="5" fillId="5" fontId="2" numFmtId="0" xfId="0" applyAlignment="1" applyBorder="1" applyFill="1" applyFont="1">
      <alignment horizontal="center"/>
    </xf>
    <xf borderId="0" fillId="0" fontId="2" numFmtId="0" xfId="0" applyAlignment="1" applyFont="1">
      <alignment horizontal="left" readingOrder="0"/>
    </xf>
    <xf borderId="3" fillId="5" fontId="5" numFmtId="0" xfId="0" applyAlignment="1" applyBorder="1" applyFill="1" applyFont="1">
      <alignment horizontal="center"/>
    </xf>
    <xf borderId="4" fillId="0" fontId="1" numFmtId="0" xfId="0" applyBorder="1" applyFont="1"/>
    <xf borderId="6" fillId="6" fontId="2" numFmtId="0" xfId="0" applyAlignment="1" applyBorder="1" applyFill="1" applyFont="1">
      <alignment horizontal="center"/>
    </xf>
    <xf borderId="3" fillId="2" fontId="6" numFmtId="0" xfId="0" applyAlignment="1" applyBorder="1" applyFill="1" applyFont="1">
      <alignment horizontal="left"/>
    </xf>
    <xf borderId="3" fillId="5" fontId="5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horizontal="center"/>
    </xf>
    <xf borderId="7" fillId="6" fontId="2" numFmtId="0" xfId="0" applyAlignment="1" applyBorder="1" applyFill="1" applyFont="1">
      <alignment horizontal="center"/>
    </xf>
    <xf borderId="0" fillId="0" fontId="7" numFmtId="0" xfId="0" applyAlignment="1" applyFont="1">
      <alignment readingOrder="0"/>
    </xf>
    <xf borderId="3" fillId="5" fontId="5" numFmtId="49" xfId="0" applyAlignment="1" applyBorder="1" applyFill="1" applyFont="1" applyNumberFormat="1">
      <alignment horizontal="center"/>
    </xf>
    <xf borderId="8" fillId="0" fontId="1" numFmtId="0" xfId="0" applyAlignment="1" applyBorder="1" applyFont="1">
      <alignment horizontal="center"/>
    </xf>
    <xf borderId="3" fillId="7" fontId="2" numFmtId="0" xfId="0" applyAlignment="1" applyBorder="1" applyFill="1" applyFont="1">
      <alignment horizontal="left"/>
    </xf>
    <xf borderId="3" fillId="5" fontId="6" numFmtId="0" xfId="0" applyAlignment="1" applyBorder="1" applyFill="1" applyFont="1">
      <alignment horizontal="left"/>
    </xf>
    <xf borderId="3" fillId="5" fontId="5" numFmtId="4" xfId="0" applyAlignment="1" applyBorder="1" applyFill="1" applyFont="1" applyNumberFormat="1">
      <alignment horizontal="center"/>
    </xf>
    <xf borderId="9" fillId="0" fontId="1" numFmtId="0" xfId="0" applyBorder="1" applyFont="1"/>
    <xf borderId="3" fillId="7" fontId="1" numFmtId="0" xfId="0" applyAlignment="1" applyBorder="1" applyFill="1" applyFont="1">
      <alignment horizontal="center" readingOrder="0"/>
    </xf>
    <xf borderId="0" fillId="0" fontId="7" numFmtId="0" xfId="0" applyAlignment="1" applyFont="1">
      <alignment readingOrder="0"/>
    </xf>
    <xf borderId="3" fillId="5" fontId="8" numFmtId="4" xfId="0" applyAlignment="1" applyBorder="1" applyFill="1" applyFont="1" applyNumberFormat="1">
      <alignment horizontal="center"/>
    </xf>
    <xf borderId="10" fillId="5" fontId="5" numFmtId="0" xfId="0" applyAlignment="1" applyBorder="1" applyFill="1" applyFont="1">
      <alignment horizontal="center"/>
    </xf>
    <xf borderId="11" fillId="5" fontId="5" numFmtId="0" xfId="0" applyAlignment="1" applyBorder="1" applyFill="1" applyFont="1">
      <alignment horizontal="center" readingOrder="0"/>
    </xf>
    <xf borderId="5" fillId="5" fontId="8" numFmtId="0" xfId="0" applyAlignment="1" applyBorder="1" applyFill="1" applyFont="1">
      <alignment horizontal="center"/>
    </xf>
    <xf borderId="5" fillId="5" fontId="5" numFmtId="0" xfId="0" applyAlignment="1" applyBorder="1" applyFill="1" applyFont="1">
      <alignment horizontal="center"/>
    </xf>
    <xf borderId="0" fillId="0" fontId="1" numFmtId="4" xfId="0" applyAlignment="1" applyFont="1" applyNumberFormat="1">
      <alignment readingOrder="0"/>
    </xf>
    <xf borderId="3" fillId="7" fontId="1" numFmtId="0" xfId="0" applyAlignment="1" applyBorder="1" applyFill="1" applyFont="1">
      <alignment horizontal="center"/>
    </xf>
    <xf borderId="0" fillId="8" fontId="9" numFmtId="0" xfId="0" applyAlignment="1" applyFill="1" applyFont="1">
      <alignment horizontal="left" readingOrder="0"/>
    </xf>
    <xf borderId="0" fillId="0" fontId="1" numFmtId="0" xfId="0" applyFont="1"/>
    <xf borderId="3" fillId="5" fontId="6" numFmtId="49" xfId="0" applyAlignment="1" applyBorder="1" applyFill="1" applyFont="1" applyNumberFormat="1">
      <alignment horizontal="left"/>
    </xf>
    <xf borderId="6" fillId="6" fontId="10" numFmtId="0" xfId="0" applyAlignment="1" applyBorder="1" applyFill="1" applyFont="1">
      <alignment horizontal="center" readingOrder="0"/>
    </xf>
    <xf borderId="3" fillId="9" fontId="1" numFmtId="0" xfId="0" applyAlignment="1" applyBorder="1" applyFill="1" applyFont="1">
      <alignment horizontal="center"/>
    </xf>
    <xf borderId="12" fillId="0" fontId="1" numFmtId="0" xfId="0" applyAlignment="1" applyBorder="1" applyFont="1">
      <alignment horizontal="center"/>
    </xf>
    <xf borderId="3" fillId="5" fontId="6" numFmtId="4" xfId="0" applyAlignment="1" applyBorder="1" applyFill="1" applyFont="1" applyNumberFormat="1">
      <alignment horizontal="left"/>
    </xf>
    <xf borderId="3" fillId="9" fontId="1" numFmtId="4" xfId="0" applyAlignment="1" applyBorder="1" applyFill="1" applyFont="1" applyNumberFormat="1">
      <alignment horizontal="center"/>
    </xf>
    <xf borderId="7" fillId="6" fontId="11" numFmtId="0" xfId="0" applyAlignment="1" applyBorder="1" applyFill="1" applyFont="1">
      <alignment horizontal="center" readingOrder="0"/>
    </xf>
    <xf borderId="0" fillId="0" fontId="1" numFmtId="4" xfId="0" applyFont="1" applyNumberFormat="1"/>
    <xf borderId="3" fillId="5" fontId="12" numFmtId="4" xfId="0" applyAlignment="1" applyBorder="1" applyFill="1" applyFont="1" applyNumberFormat="1">
      <alignment horizontal="left"/>
    </xf>
    <xf borderId="7" fillId="6" fontId="13" numFmtId="0" xfId="0" applyAlignment="1" applyBorder="1" applyFill="1" applyFont="1">
      <alignment horizontal="center" readingOrder="0"/>
    </xf>
    <xf borderId="3" fillId="9" fontId="1" numFmtId="4" xfId="0" applyAlignment="1" applyBorder="1" applyFill="1" applyFont="1" applyNumberFormat="1">
      <alignment horizontal="center" readingOrder="0"/>
    </xf>
    <xf borderId="13" fillId="10" fontId="1" numFmtId="0" xfId="0" applyAlignment="1" applyBorder="1" applyFill="1" applyFont="1">
      <alignment horizontal="left" readingOrder="0"/>
    </xf>
    <xf borderId="14" fillId="10" fontId="1" numFmtId="0" xfId="0" applyAlignment="1" applyBorder="1" applyFill="1" applyFont="1">
      <alignment readingOrder="0"/>
    </xf>
    <xf borderId="2" fillId="3" fontId="5" numFmtId="0" xfId="0" applyAlignment="1" applyBorder="1" applyFill="1" applyFont="1">
      <alignment horizontal="center"/>
    </xf>
    <xf borderId="3" fillId="5" fontId="6" numFmtId="0" xfId="0" applyAlignment="1" applyBorder="1" applyFill="1" applyFont="1">
      <alignment horizontal="left" readingOrder="0"/>
    </xf>
    <xf borderId="3" fillId="9" fontId="1" numFmtId="0" xfId="0" applyAlignment="1" applyBorder="1" applyFill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3" fillId="3" fontId="5" numFmtId="0" xfId="0" applyAlignment="1" applyBorder="1" applyFill="1" applyFont="1">
      <alignment horizontal="center"/>
    </xf>
    <xf borderId="3" fillId="11" fontId="1" numFmtId="4" xfId="0" applyAlignment="1" applyBorder="1" applyFill="1" applyFont="1" applyNumberFormat="1">
      <alignment horizontal="center"/>
    </xf>
    <xf borderId="3" fillId="6" fontId="6" numFmtId="0" xfId="0" applyAlignment="1" applyBorder="1" applyFill="1" applyFont="1">
      <alignment horizontal="left"/>
    </xf>
    <xf borderId="15" fillId="0" fontId="1" numFmtId="0" xfId="0" applyAlignment="1" applyBorder="1" applyFont="1">
      <alignment horizontal="center" readingOrder="0"/>
    </xf>
    <xf borderId="3" fillId="3" fontId="8" numFmtId="0" xfId="0" applyAlignment="1" applyBorder="1" applyFill="1" applyFont="1">
      <alignment horizontal="right"/>
    </xf>
    <xf borderId="3" fillId="11" fontId="1" numFmtId="0" xfId="0" applyBorder="1" applyFill="1" applyFont="1"/>
    <xf borderId="0" fillId="0" fontId="1" numFmtId="0" xfId="0" applyAlignment="1" applyFont="1">
      <alignment readingOrder="0"/>
    </xf>
    <xf borderId="3" fillId="11" fontId="2" numFmtId="0" xfId="0" applyAlignment="1" applyBorder="1" applyFill="1" applyFont="1">
      <alignment horizontal="left" readingOrder="0"/>
    </xf>
    <xf borderId="0" fillId="0" fontId="14" numFmtId="0" xfId="0" applyAlignment="1" applyFont="1">
      <alignment readingOrder="0"/>
    </xf>
    <xf borderId="3" fillId="11" fontId="2" numFmtId="0" xfId="0" applyAlignment="1" applyBorder="1" applyFill="1" applyFont="1">
      <alignment horizontal="center"/>
    </xf>
    <xf borderId="3" fillId="4" fontId="15" numFmtId="0" xfId="0" applyAlignment="1" applyBorder="1" applyFill="1" applyFont="1">
      <alignment horizontal="left" readingOrder="0"/>
    </xf>
    <xf borderId="16" fillId="0" fontId="1" numFmtId="0" xfId="0" applyAlignment="1" applyBorder="1" applyFont="1">
      <alignment horizontal="center" readingOrder="0"/>
    </xf>
    <xf borderId="2" fillId="3" fontId="6" numFmtId="0" xfId="0" applyAlignment="1" applyBorder="1" applyFill="1" applyFont="1">
      <alignment horizontal="left"/>
    </xf>
    <xf borderId="0" fillId="12" fontId="16" numFmtId="0" xfId="0" applyAlignment="1" applyFill="1" applyFont="1">
      <alignment horizontal="left" readingOrder="0"/>
    </xf>
    <xf borderId="3" fillId="4" fontId="5" numFmtId="0" xfId="0" applyAlignment="1" applyBorder="1" applyFill="1" applyFont="1">
      <alignment horizontal="center"/>
    </xf>
    <xf borderId="17" fillId="0" fontId="1" numFmtId="0" xfId="0" applyAlignment="1" applyBorder="1" applyFont="1">
      <alignment horizontal="center" readingOrder="0"/>
    </xf>
    <xf borderId="3" fillId="3" fontId="6" numFmtId="0" xfId="0" applyAlignment="1" applyBorder="1" applyFill="1" applyFont="1">
      <alignment horizontal="left"/>
    </xf>
    <xf borderId="3" fillId="0" fontId="1" numFmtId="1" xfId="0" applyBorder="1" applyFont="1" applyNumberFormat="1"/>
    <xf borderId="3" fillId="4" fontId="5" numFmtId="0" xfId="0" applyAlignment="1" applyBorder="1" applyFill="1" applyFont="1">
      <alignment horizontal="left" readingOrder="0"/>
    </xf>
    <xf borderId="9" fillId="0" fontId="1" numFmtId="0" xfId="0" applyAlignment="1" applyBorder="1" applyFont="1">
      <alignment horizontal="center"/>
    </xf>
    <xf borderId="3" fillId="3" fontId="12" numFmtId="0" xfId="0" applyAlignment="1" applyBorder="1" applyFill="1" applyFont="1">
      <alignment horizontal="left"/>
    </xf>
    <xf borderId="0" fillId="0" fontId="1" numFmtId="1" xfId="0" applyAlignment="1" applyFont="1" applyNumberFormat="1">
      <alignment horizontal="center"/>
    </xf>
    <xf borderId="3" fillId="7" fontId="5" numFmtId="0" xfId="0" applyAlignment="1" applyBorder="1" applyFill="1" applyFont="1">
      <alignment horizontal="left"/>
    </xf>
    <xf borderId="3" fillId="7" fontId="5" numFmtId="0" xfId="0" applyAlignment="1" applyBorder="1" applyFill="1" applyFont="1">
      <alignment horizontal="left" readingOrder="0"/>
    </xf>
    <xf borderId="3" fillId="7" fontId="5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3" fillId="4" fontId="6" numFmtId="0" xfId="0" applyAlignment="1" applyBorder="1" applyFill="1" applyFont="1">
      <alignment horizontal="left"/>
    </xf>
    <xf borderId="3" fillId="13" fontId="5" numFmtId="165" xfId="0" applyAlignment="1" applyBorder="1" applyFill="1" applyFont="1" applyNumberFormat="1">
      <alignment horizontal="center"/>
    </xf>
    <xf borderId="18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3" fillId="7" fontId="6" numFmtId="0" xfId="0" applyAlignment="1" applyBorder="1" applyFill="1" applyFont="1">
      <alignment horizontal="left"/>
    </xf>
    <xf borderId="3" fillId="2" fontId="5" numFmtId="0" xfId="0" applyAlignment="1" applyBorder="1" applyFill="1" applyFont="1">
      <alignment horizontal="center"/>
    </xf>
    <xf borderId="9" fillId="0" fontId="1" numFmtId="1" xfId="0" applyAlignment="1" applyBorder="1" applyFont="1" applyNumberFormat="1">
      <alignment horizontal="left"/>
    </xf>
    <xf borderId="3" fillId="7" fontId="6" numFmtId="0" xfId="0" applyAlignment="1" applyBorder="1" applyFill="1" applyFont="1">
      <alignment horizontal="left" readingOrder="0"/>
    </xf>
    <xf borderId="19" fillId="0" fontId="1" numFmtId="1" xfId="0" applyAlignment="1" applyBorder="1" applyFont="1" applyNumberFormat="1">
      <alignment horizontal="left"/>
    </xf>
    <xf borderId="3" fillId="6" fontId="5" numFmtId="4" xfId="0" applyAlignment="1" applyBorder="1" applyFill="1" applyFont="1" applyNumberFormat="1">
      <alignment horizontal="center" readingOrder="0"/>
    </xf>
    <xf borderId="20" fillId="0" fontId="1" numFmtId="0" xfId="0" applyBorder="1" applyFont="1"/>
    <xf borderId="21" fillId="0" fontId="1" numFmtId="0" xfId="0" applyAlignment="1" applyBorder="1" applyFont="1">
      <alignment horizontal="center"/>
    </xf>
    <xf borderId="3" fillId="13" fontId="17" numFmtId="0" xfId="0" applyAlignment="1" applyBorder="1" applyFill="1" applyFont="1">
      <alignment horizontal="left" readingOrder="0"/>
    </xf>
    <xf borderId="0" fillId="0" fontId="1" numFmtId="49" xfId="0" applyAlignment="1" applyFont="1" applyNumberFormat="1">
      <alignment horizontal="center"/>
    </xf>
    <xf borderId="16" fillId="0" fontId="1" numFmtId="0" xfId="0" applyBorder="1" applyFont="1"/>
    <xf borderId="3" fillId="14" fontId="18" numFmtId="4" xfId="0" applyAlignment="1" applyBorder="1" applyFill="1" applyFont="1" applyNumberFormat="1">
      <alignment horizontal="center" readingOrder="0"/>
    </xf>
    <xf borderId="22" fillId="0" fontId="1" numFmtId="0" xfId="0" applyBorder="1" applyFont="1"/>
    <xf borderId="0" fillId="0" fontId="19" numFmtId="0" xfId="0" applyAlignment="1" applyFont="1">
      <alignment readingOrder="0"/>
    </xf>
    <xf borderId="3" fillId="14" fontId="8" numFmtId="0" xfId="0" applyAlignment="1" applyBorder="1" applyFill="1" applyFont="1">
      <alignment horizontal="center" readingOrder="0"/>
    </xf>
    <xf borderId="23" fillId="0" fontId="1" numFmtId="0" xfId="0" applyAlignment="1" applyBorder="1" applyFont="1">
      <alignment horizontal="center"/>
    </xf>
    <xf borderId="3" fillId="13" fontId="6" numFmtId="0" xfId="0" applyAlignment="1" applyBorder="1" applyFill="1" applyFont="1">
      <alignment horizontal="left"/>
    </xf>
    <xf borderId="0" fillId="0" fontId="1" numFmtId="3" xfId="0" applyAlignment="1" applyFont="1" applyNumberFormat="1">
      <alignment horizontal="center"/>
    </xf>
    <xf borderId="3" fillId="14" fontId="5" numFmtId="0" xfId="0" applyAlignment="1" applyBorder="1" applyFill="1" applyFont="1">
      <alignment horizontal="center"/>
    </xf>
    <xf borderId="9" fillId="0" fontId="1" numFmtId="0" xfId="0" applyAlignment="1" applyBorder="1" applyFont="1">
      <alignment readingOrder="0"/>
    </xf>
    <xf borderId="3" fillId="2" fontId="6" numFmtId="3" xfId="0" applyAlignment="1" applyBorder="1" applyFill="1" applyFont="1" applyNumberFormat="1">
      <alignment horizontal="left"/>
    </xf>
    <xf borderId="3" fillId="14" fontId="5" numFmtId="0" xfId="0" applyAlignment="1" applyBorder="1" applyFill="1" applyFont="1">
      <alignment horizontal="center" readingOrder="0"/>
    </xf>
    <xf borderId="11" fillId="0" fontId="1" numFmtId="0" xfId="0" applyBorder="1" applyFont="1"/>
    <xf borderId="3" fillId="6" fontId="6" numFmtId="4" xfId="0" applyAlignment="1" applyBorder="1" applyFill="1" applyFont="1" applyNumberFormat="1">
      <alignment horizontal="left"/>
    </xf>
    <xf borderId="3" fillId="14" fontId="5" numFmtId="4" xfId="0" applyAlignment="1" applyBorder="1" applyFill="1" applyFont="1" applyNumberFormat="1">
      <alignment horizontal="center" readingOrder="0"/>
    </xf>
    <xf borderId="24" fillId="0" fontId="1" numFmtId="0" xfId="0" applyAlignment="1" applyBorder="1" applyFont="1">
      <alignment horizontal="center"/>
    </xf>
    <xf borderId="3" fillId="14" fontId="6" numFmtId="4" xfId="0" applyAlignment="1" applyBorder="1" applyFill="1" applyFont="1" applyNumberFormat="1">
      <alignment horizontal="left"/>
    </xf>
    <xf borderId="11" fillId="11" fontId="20" numFmtId="0" xfId="0" applyAlignment="1" applyBorder="1" applyFill="1" applyFont="1">
      <alignment readingOrder="0"/>
    </xf>
    <xf borderId="0" fillId="11" fontId="5" numFmtId="0" xfId="0" applyAlignment="1" applyFill="1" applyFont="1">
      <alignment horizontal="center" readingOrder="0"/>
    </xf>
    <xf borderId="25" fillId="0" fontId="1" numFmtId="0" xfId="0" applyBorder="1" applyFont="1"/>
    <xf borderId="3" fillId="14" fontId="12" numFmtId="0" xfId="0" applyAlignment="1" applyBorder="1" applyFill="1" applyFont="1">
      <alignment horizontal="left"/>
    </xf>
    <xf borderId="3" fillId="11" fontId="5" numFmtId="0" xfId="0" applyAlignment="1" applyBorder="1" applyFill="1" applyFont="1">
      <alignment horizontal="center" readingOrder="0"/>
    </xf>
    <xf borderId="26" fillId="0" fontId="1" numFmtId="0" xfId="0" applyAlignment="1" applyBorder="1" applyFont="1">
      <alignment horizontal="center"/>
    </xf>
    <xf borderId="27" fillId="0" fontId="21" numFmtId="0" xfId="0" applyAlignment="1" applyBorder="1" applyFont="1">
      <alignment horizontal="center"/>
    </xf>
    <xf borderId="0" fillId="0" fontId="22" numFmtId="0" xfId="0" applyAlignment="1" applyFont="1">
      <alignment readingOrder="0"/>
    </xf>
    <xf borderId="28" fillId="0" fontId="1" numFmtId="4" xfId="0" applyAlignment="1" applyBorder="1" applyFont="1" applyNumberFormat="1">
      <alignment horizontal="center"/>
    </xf>
    <xf borderId="3" fillId="14" fontId="6" numFmtId="0" xfId="0" applyAlignment="1" applyBorder="1" applyFill="1" applyFont="1">
      <alignment horizontal="left"/>
    </xf>
    <xf borderId="28" fillId="0" fontId="7" numFmtId="4" xfId="0" applyAlignment="1" applyBorder="1" applyFont="1" applyNumberFormat="1">
      <alignment horizontal="center" readingOrder="0"/>
    </xf>
    <xf borderId="3" fillId="12" fontId="23" numFmtId="0" xfId="0" applyAlignment="1" applyBorder="1" applyFill="1" applyFont="1">
      <alignment horizontal="center" readingOrder="0"/>
    </xf>
    <xf borderId="3" fillId="14" fontId="6" numFmtId="0" xfId="0" applyAlignment="1" applyBorder="1" applyFill="1" applyFont="1">
      <alignment horizontal="left" readingOrder="0"/>
    </xf>
    <xf borderId="28" fillId="0" fontId="1" numFmtId="4" xfId="0" applyAlignment="1" applyBorder="1" applyFont="1" applyNumberFormat="1">
      <alignment horizontal="center" readingOrder="0"/>
    </xf>
    <xf borderId="3" fillId="15" fontId="5" numFmtId="0" xfId="0" applyAlignment="1" applyBorder="1" applyFill="1" applyFont="1">
      <alignment horizontal="center"/>
    </xf>
    <xf borderId="0" fillId="11" fontId="24" numFmtId="0" xfId="0" applyAlignment="1" applyFill="1" applyFont="1">
      <alignment horizontal="left" readingOrder="0"/>
    </xf>
    <xf borderId="29" fillId="0" fontId="1" numFmtId="4" xfId="0" applyAlignment="1" applyBorder="1" applyFont="1" applyNumberFormat="1">
      <alignment horizontal="center"/>
    </xf>
    <xf borderId="3" fillId="15" fontId="5" numFmtId="0" xfId="0" applyAlignment="1" applyBorder="1" applyFill="1" applyFont="1">
      <alignment horizontal="center" readingOrder="0"/>
    </xf>
    <xf borderId="0" fillId="0" fontId="25" numFmtId="0" xfId="0" applyAlignment="1" applyFont="1">
      <alignment readingOrder="0"/>
    </xf>
    <xf borderId="3" fillId="16" fontId="5" numFmtId="0" xfId="0" applyAlignment="1" applyBorder="1" applyFill="1" applyFont="1">
      <alignment horizontal="left"/>
    </xf>
    <xf borderId="3" fillId="11" fontId="6" numFmtId="0" xfId="0" applyAlignment="1" applyBorder="1" applyFill="1" applyFont="1">
      <alignment horizontal="left" readingOrder="0"/>
    </xf>
    <xf borderId="3" fillId="16" fontId="5" numFmtId="0" xfId="0" applyAlignment="1" applyBorder="1" applyFill="1" applyFont="1">
      <alignment horizontal="center"/>
    </xf>
    <xf borderId="3" fillId="11" fontId="6" numFmtId="0" xfId="0" applyAlignment="1" applyBorder="1" applyFill="1" applyFont="1">
      <alignment horizontal="left"/>
    </xf>
    <xf borderId="3" fillId="16" fontId="5" numFmtId="166" xfId="0" applyAlignment="1" applyBorder="1" applyFill="1" applyFont="1" applyNumberFormat="1">
      <alignment horizontal="center"/>
    </xf>
    <xf borderId="3" fillId="12" fontId="6" numFmtId="0" xfId="0" applyAlignment="1" applyBorder="1" applyFill="1" applyFont="1">
      <alignment horizontal="left" readingOrder="0"/>
    </xf>
    <xf borderId="3" fillId="17" fontId="5" numFmtId="0" xfId="0" applyAlignment="1" applyBorder="1" applyFill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0" xfId="0" applyFont="1"/>
    <xf borderId="0" fillId="0" fontId="5" numFmtId="0" xfId="0" applyAlignment="1" applyFont="1">
      <alignment horizontal="center" readingOrder="0"/>
    </xf>
    <xf borderId="3" fillId="15" fontId="6" numFmtId="0" xfId="0" applyAlignment="1" applyBorder="1" applyFill="1" applyFont="1">
      <alignment horizontal="left"/>
    </xf>
    <xf borderId="3" fillId="15" fontId="6" numFmtId="0" xfId="0" applyAlignment="1" applyBorder="1" applyFill="1" applyFont="1">
      <alignment horizontal="left" readingOrder="0"/>
    </xf>
    <xf borderId="3" fillId="0" fontId="5" numFmtId="0" xfId="0" applyAlignment="1" applyBorder="1" applyFont="1">
      <alignment horizontal="center" readingOrder="0"/>
    </xf>
    <xf borderId="0" fillId="0" fontId="1" numFmtId="17" xfId="0" applyAlignment="1" applyFont="1" applyNumberFormat="1">
      <alignment horizontal="center"/>
    </xf>
    <xf borderId="3" fillId="16" fontId="6" numFmtId="0" xfId="0" applyAlignment="1" applyBorder="1" applyFill="1" applyFont="1">
      <alignment horizontal="left"/>
    </xf>
    <xf borderId="3" fillId="0" fontId="5" numFmtId="49" xfId="0" applyAlignment="1" applyBorder="1" applyFont="1" applyNumberFormat="1">
      <alignment horizontal="center" readingOrder="0"/>
    </xf>
    <xf borderId="3" fillId="16" fontId="6" numFmtId="166" xfId="0" applyAlignment="1" applyBorder="1" applyFill="1" applyFont="1" applyNumberFormat="1">
      <alignment horizontal="left"/>
    </xf>
    <xf borderId="3" fillId="0" fontId="5" numFmtId="4" xfId="0" applyAlignment="1" applyBorder="1" applyFont="1" applyNumberFormat="1">
      <alignment horizontal="center" readingOrder="0"/>
    </xf>
    <xf borderId="3" fillId="16" fontId="24" numFmtId="0" xfId="0" applyAlignment="1" applyBorder="1" applyFill="1" applyFont="1">
      <alignment horizontal="left"/>
    </xf>
    <xf borderId="3" fillId="0" fontId="5" numFmtId="165" xfId="0" applyAlignment="1" applyBorder="1" applyFont="1" applyNumberFormat="1">
      <alignment horizontal="center" readingOrder="0"/>
    </xf>
    <xf borderId="3" fillId="0" fontId="24" numFmtId="0" xfId="0" applyAlignment="1" applyBorder="1" applyFont="1">
      <alignment horizontal="left"/>
    </xf>
    <xf borderId="3" fillId="0" fontId="5" numFmtId="4" xfId="0" applyAlignment="1" applyBorder="1" applyFont="1" applyNumberFormat="1">
      <alignment horizontal="left" readingOrder="0"/>
    </xf>
    <xf borderId="0" fillId="0" fontId="4" numFmtId="0" xfId="0" applyAlignment="1" applyFont="1">
      <alignment horizontal="left"/>
    </xf>
    <xf borderId="3" fillId="0" fontId="5" numFmtId="0" xfId="0" applyAlignment="1" applyBorder="1" applyFont="1">
      <alignment horizontal="left" readingOrder="0"/>
    </xf>
    <xf borderId="0" fillId="0" fontId="4" numFmtId="0" xfId="0" applyAlignment="1" applyFont="1">
      <alignment horizontal="left" readingOrder="0"/>
    </xf>
    <xf borderId="3" fillId="0" fontId="5" numFmtId="167" xfId="0" applyAlignment="1" applyBorder="1" applyFont="1" applyNumberFormat="1">
      <alignment horizontal="center" readingOrder="0"/>
    </xf>
    <xf borderId="3" fillId="17" fontId="5" numFmtId="1" xfId="0" applyAlignment="1" applyBorder="1" applyFill="1" applyFont="1" applyNumberFormat="1">
      <alignment horizontal="center"/>
    </xf>
    <xf borderId="3" fillId="18" fontId="5" numFmtId="0" xfId="0" applyAlignment="1" applyBorder="1" applyFill="1" applyFont="1">
      <alignment horizontal="center"/>
    </xf>
    <xf borderId="3" fillId="18" fontId="5" numFmtId="0" xfId="0" applyBorder="1" applyFill="1" applyFont="1"/>
    <xf borderId="0" fillId="0" fontId="5" numFmtId="0" xfId="0" applyFont="1"/>
    <xf borderId="3" fillId="0" fontId="5" numFmtId="0" xfId="0" applyAlignment="1" applyBorder="1" applyFont="1">
      <alignment horizontal="left"/>
    </xf>
    <xf borderId="3" fillId="0" fontId="1" numFmtId="1" xfId="0" applyAlignment="1" applyBorder="1" applyFont="1" applyNumberFormat="1">
      <alignment horizontal="center"/>
    </xf>
    <xf borderId="3" fillId="18" fontId="5" numFmtId="1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 readingOrder="0"/>
    </xf>
    <xf borderId="3" fillId="0" fontId="5" numFmtId="168" xfId="0" applyAlignment="1" applyBorder="1" applyFont="1" applyNumberFormat="1">
      <alignment horizontal="center" readingOrder="0"/>
    </xf>
    <xf borderId="0" fillId="0" fontId="5" numFmtId="4" xfId="0" applyFont="1" applyNumberFormat="1"/>
    <xf borderId="0" fillId="0" fontId="5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FF0000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gif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png"/><Relationship Id="rId10" Type="http://schemas.openxmlformats.org/officeDocument/2006/relationships/image" Target="../media/image5.png"/><Relationship Id="rId13" Type="http://schemas.openxmlformats.org/officeDocument/2006/relationships/image" Target="../media/image10.png"/><Relationship Id="rId12" Type="http://schemas.openxmlformats.org/officeDocument/2006/relationships/image" Target="../media/image6.png"/><Relationship Id="rId1" Type="http://schemas.openxmlformats.org/officeDocument/2006/relationships/image" Target="../media/image3.png"/><Relationship Id="rId2" Type="http://schemas.openxmlformats.org/officeDocument/2006/relationships/image" Target="../media/image13.png"/><Relationship Id="rId3" Type="http://schemas.openxmlformats.org/officeDocument/2006/relationships/image" Target="../media/image7.png"/><Relationship Id="rId4" Type="http://schemas.openxmlformats.org/officeDocument/2006/relationships/image" Target="../media/image14.png"/><Relationship Id="rId9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8.png"/><Relationship Id="rId7" Type="http://schemas.openxmlformats.org/officeDocument/2006/relationships/image" Target="../media/image11.png"/><Relationship Id="rId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781050</xdr:colOff>
      <xdr:row>1</xdr:row>
      <xdr:rowOff>28575</xdr:rowOff>
    </xdr:from>
    <xdr:ext cx="0" cy="0"/>
    <xdr:pic>
      <xdr:nvPicPr>
        <xdr:cNvPr id="0" name="image9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781050</xdr:colOff>
      <xdr:row>1</xdr:row>
      <xdr:rowOff>28575</xdr:rowOff>
    </xdr:from>
    <xdr:ext cx="0" cy="0"/>
    <xdr:pic>
      <xdr:nvPicPr>
        <xdr:cNvPr id="0" name="image9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6</xdr:row>
      <xdr:rowOff>0</xdr:rowOff>
    </xdr:from>
    <xdr:ext cx="1866900" cy="5524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</xdr:colOff>
      <xdr:row>1</xdr:row>
      <xdr:rowOff>47625</xdr:rowOff>
    </xdr:from>
    <xdr:ext cx="4267200" cy="4000500"/>
    <xdr:pic>
      <xdr:nvPicPr>
        <xdr:cNvPr id="0" name="image1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7486650</xdr:colOff>
      <xdr:row>20</xdr:row>
      <xdr:rowOff>133350</xdr:rowOff>
    </xdr:from>
    <xdr:ext cx="2609850" cy="257175"/>
    <xdr:pic>
      <xdr:nvPicPr>
        <xdr:cNvPr id="0" name="image7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21</xdr:row>
      <xdr:rowOff>171450</xdr:rowOff>
    </xdr:from>
    <xdr:ext cx="2400300" cy="190500"/>
    <xdr:pic>
      <xdr:nvPicPr>
        <xdr:cNvPr id="0" name="image1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26</xdr:row>
      <xdr:rowOff>190500</xdr:rowOff>
    </xdr:from>
    <xdr:ext cx="1352550" cy="304800"/>
    <xdr:pic>
      <xdr:nvPicPr>
        <xdr:cNvPr id="0" name="image1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362450" cy="1781175"/>
    <xdr:pic>
      <xdr:nvPicPr>
        <xdr:cNvPr id="0" name="image8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5895975" cy="3219450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1447800</xdr:colOff>
      <xdr:row>16</xdr:row>
      <xdr:rowOff>76200</xdr:rowOff>
    </xdr:from>
    <xdr:ext cx="733425" cy="247650"/>
    <xdr:pic>
      <xdr:nvPicPr>
        <xdr:cNvPr id="0" name="image12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1476375</xdr:colOff>
      <xdr:row>3</xdr:row>
      <xdr:rowOff>114300</xdr:rowOff>
    </xdr:from>
    <xdr:ext cx="685800" cy="257175"/>
    <xdr:pic>
      <xdr:nvPicPr>
        <xdr:cNvPr id="0" name="image4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1524000</xdr:colOff>
      <xdr:row>23</xdr:row>
      <xdr:rowOff>161925</xdr:rowOff>
    </xdr:from>
    <xdr:ext cx="590550" cy="257175"/>
    <xdr:pic>
      <xdr:nvPicPr>
        <xdr:cNvPr id="0" name="image5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1323975</xdr:colOff>
      <xdr:row>19</xdr:row>
      <xdr:rowOff>47625</xdr:rowOff>
    </xdr:from>
    <xdr:ext cx="838200" cy="257175"/>
    <xdr:pic>
      <xdr:nvPicPr>
        <xdr:cNvPr id="0" name="image2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28</xdr:row>
      <xdr:rowOff>123825</xdr:rowOff>
    </xdr:from>
    <xdr:ext cx="3152775" cy="371475"/>
    <xdr:pic>
      <xdr:nvPicPr>
        <xdr:cNvPr id="0" name="image6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19</xdr:row>
      <xdr:rowOff>104775</xdr:rowOff>
    </xdr:from>
    <xdr:ext cx="1200150" cy="190500"/>
    <xdr:pic>
      <xdr:nvPicPr>
        <xdr:cNvPr id="0" name="image10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" TargetMode="External"/><Relationship Id="rId2" Type="http://schemas.openxmlformats.org/officeDocument/2006/relationships/hyperlink" Target="https://registro.br/tecnologia/ferramentas/whois/" TargetMode="External"/><Relationship Id="rId3" Type="http://schemas.openxmlformats.org/officeDocument/2006/relationships/hyperlink" Target="https://www.scamadviser.com/" TargetMode="External"/><Relationship Id="rId4" Type="http://schemas.openxmlformats.org/officeDocument/2006/relationships/hyperlink" Target="https://solucoes.receita.fazenda.gov.br/Servicos/cnpjreva/cnpjreva_Solicitacao.asp" TargetMode="External"/><Relationship Id="rId5" Type="http://schemas.openxmlformats.org/officeDocument/2006/relationships/hyperlink" Target="https://sitenet.serasa.com.br/Logon/" TargetMode="External"/><Relationship Id="rId6" Type="http://schemas.openxmlformats.org/officeDocument/2006/relationships/hyperlink" Target="https://consulta-crf.caixa.gov.br/consultacrf/pages/consultaEmpregador.jsf" TargetMode="External"/><Relationship Id="rId7" Type="http://schemas.openxmlformats.org/officeDocument/2006/relationships/hyperlink" Target="https://duc.prefeitura.sp.gov.br/certidoes/forms_anonimo/frmConsultaEmissaoCertificado.aspx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gistro.br/tecnologia/ferramentas/whois/" TargetMode="External"/><Relationship Id="rId2" Type="http://schemas.openxmlformats.org/officeDocument/2006/relationships/hyperlink" Target="http://17-scamadviser.com/" TargetMode="External"/><Relationship Id="rId3" Type="http://schemas.openxmlformats.org/officeDocument/2006/relationships/hyperlink" Target="https://www.scamadviser.com/" TargetMode="External"/><Relationship Id="rId4" Type="http://schemas.openxmlformats.org/officeDocument/2006/relationships/hyperlink" Target="https://web2.bvsnet.com.br/transacional/login.php" TargetMode="External"/><Relationship Id="rId5" Type="http://schemas.openxmlformats.org/officeDocument/2006/relationships/hyperlink" Target="https://consulta-crf.caixa.gov.br/consultacrf/pages/consultaEmpregador.jsf" TargetMode="External"/><Relationship Id="rId6" Type="http://schemas.openxmlformats.org/officeDocument/2006/relationships/hyperlink" Target="http://servicos.receita.fazenda.gov.br/Servicos/certidaointernet/PJ/Emitir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7.14"/>
    <col customWidth="1" min="3" max="3" width="8.71"/>
    <col customWidth="1" min="4" max="4" width="17.0"/>
    <col customWidth="1" min="5" max="5" width="7.71"/>
    <col customWidth="1" min="6" max="6" width="10.71"/>
    <col customWidth="1" min="7" max="7" width="12.0"/>
    <col customWidth="1" min="8" max="9" width="9.29"/>
    <col customWidth="1" min="10" max="10" width="15.0"/>
    <col customWidth="1" min="11" max="11" width="19.86"/>
    <col customWidth="1" min="12" max="12" width="20.71"/>
    <col customWidth="1" min="13" max="13" width="13.57"/>
    <col customWidth="1" min="14" max="14" width="10.0"/>
    <col customWidth="1" min="15" max="15" width="17.43"/>
    <col customWidth="1" min="16" max="16" width="9.86"/>
    <col customWidth="1" min="17" max="17" width="9.29"/>
    <col customWidth="1" min="18" max="18" width="13.43"/>
    <col customWidth="1" min="19" max="19" width="14.86"/>
    <col customWidth="1" min="20" max="20" width="18.43"/>
    <col customWidth="1" min="21" max="21" width="17.14"/>
    <col customWidth="1" min="22" max="22" width="11.71"/>
    <col customWidth="1" min="23" max="23" width="26.57"/>
    <col customWidth="1" min="24" max="24" width="26.29"/>
    <col customWidth="1" min="25" max="25" width="23.43"/>
    <col customWidth="1" min="26" max="26" width="13.57"/>
    <col customWidth="1" min="27" max="27" width="11.86"/>
    <col customWidth="1" min="28" max="28" width="16.57"/>
    <col customWidth="1" min="29" max="29" width="23.71"/>
    <col customWidth="1" min="30" max="30" width="19.14"/>
    <col customWidth="1" min="31" max="31" width="20.0"/>
    <col customWidth="1" min="32" max="33" width="12.86"/>
    <col customWidth="1" min="34" max="34" width="16.29"/>
    <col customWidth="1" min="35" max="35" width="17.71"/>
    <col customWidth="1" min="36" max="36" width="15.0"/>
    <col customWidth="1" min="37" max="37" width="58.29"/>
    <col customWidth="1" min="38" max="38" width="12.14"/>
    <col customWidth="1" min="39" max="39" width="17.43"/>
    <col customWidth="1" min="40" max="40" width="27.57"/>
    <col customWidth="1" min="41" max="41" width="9.43"/>
    <col customWidth="1" min="42" max="42" width="11.71"/>
    <col customWidth="1" min="43" max="43" width="25.57"/>
    <col customWidth="1" min="44" max="44" width="9.29"/>
    <col customWidth="1" min="45" max="45" width="9.0"/>
    <col customWidth="1" min="46" max="46" width="8.71"/>
    <col customWidth="1" min="47" max="47" width="15.86"/>
    <col customWidth="1" min="48" max="48" width="67.14"/>
    <col customWidth="1" min="49" max="49" width="19.43"/>
    <col customWidth="1" min="50" max="50" width="24.0"/>
    <col customWidth="1" min="51" max="51" width="17.43"/>
    <col customWidth="1" min="52" max="52" width="15.43"/>
    <col customWidth="1" min="53" max="53" width="24.0"/>
  </cols>
  <sheetData>
    <row r="1" ht="12.0" customHeight="1">
      <c r="A1" s="11" t="s">
        <v>0</v>
      </c>
      <c r="B1" s="15" t="s">
        <v>1</v>
      </c>
      <c r="C1" s="19" t="s">
        <v>21</v>
      </c>
      <c r="D1" s="15" t="s">
        <v>2</v>
      </c>
      <c r="E1" s="23" t="s">
        <v>3</v>
      </c>
      <c r="F1" s="27" t="s">
        <v>5</v>
      </c>
      <c r="G1" s="31" t="s">
        <v>31</v>
      </c>
      <c r="H1" s="15" t="s">
        <v>6</v>
      </c>
      <c r="I1" s="15" t="s">
        <v>7</v>
      </c>
      <c r="J1" s="15" t="s">
        <v>34</v>
      </c>
      <c r="K1" s="32" t="s">
        <v>35</v>
      </c>
      <c r="L1" s="33" t="s">
        <v>36</v>
      </c>
      <c r="M1" s="34" t="s">
        <v>37</v>
      </c>
      <c r="N1" s="35" t="s">
        <v>17</v>
      </c>
      <c r="O1" s="41" t="s">
        <v>19</v>
      </c>
      <c r="P1" s="46" t="s">
        <v>23</v>
      </c>
      <c r="Q1" s="49" t="s">
        <v>26</v>
      </c>
      <c r="R1" s="53" t="s">
        <v>11</v>
      </c>
      <c r="S1" s="57" t="s">
        <v>58</v>
      </c>
      <c r="T1" s="61" t="s">
        <v>13</v>
      </c>
      <c r="U1" s="67" t="s">
        <v>14</v>
      </c>
      <c r="V1" s="71" t="s">
        <v>15</v>
      </c>
      <c r="W1" s="75" t="s">
        <v>72</v>
      </c>
      <c r="X1" s="79" t="s">
        <v>28</v>
      </c>
      <c r="Y1" s="80" t="s">
        <v>29</v>
      </c>
      <c r="Z1" s="81" t="s">
        <v>32</v>
      </c>
      <c r="AA1" s="81" t="s">
        <v>38</v>
      </c>
      <c r="AB1" s="84" t="s">
        <v>39</v>
      </c>
      <c r="AC1" s="88" t="s">
        <v>85</v>
      </c>
      <c r="AD1" s="92" t="s">
        <v>92</v>
      </c>
      <c r="AE1" s="98" t="s">
        <v>101</v>
      </c>
      <c r="AF1" s="101" t="s">
        <v>106</v>
      </c>
      <c r="AG1" s="105" t="s">
        <v>54</v>
      </c>
      <c r="AH1" s="108" t="s">
        <v>110</v>
      </c>
      <c r="AI1" s="111" t="s">
        <v>113</v>
      </c>
      <c r="AJ1" s="108" t="s">
        <v>56</v>
      </c>
      <c r="AK1" s="114" t="s">
        <v>115</v>
      </c>
      <c r="AL1" s="115" t="s">
        <v>67</v>
      </c>
      <c r="AM1" s="118" t="s">
        <v>68</v>
      </c>
      <c r="AN1" s="125" t="s">
        <v>120</v>
      </c>
      <c r="AO1" s="128" t="s">
        <v>124</v>
      </c>
      <c r="AP1" s="131" t="s">
        <v>127</v>
      </c>
      <c r="AQ1" s="133" t="s">
        <v>129</v>
      </c>
      <c r="AR1" s="135" t="s">
        <v>130</v>
      </c>
      <c r="AS1" s="137" t="s">
        <v>132</v>
      </c>
      <c r="AT1" s="139" t="s">
        <v>71</v>
      </c>
      <c r="AU1" s="140" t="s">
        <v>79</v>
      </c>
      <c r="AV1" s="141" t="s">
        <v>83</v>
      </c>
      <c r="AW1" s="142" t="s">
        <v>136</v>
      </c>
      <c r="AX1" s="142" t="s">
        <v>137</v>
      </c>
      <c r="AY1" s="143" t="s">
        <v>138</v>
      </c>
      <c r="AZ1" s="143" t="s">
        <v>89</v>
      </c>
      <c r="BA1" s="142"/>
    </row>
    <row r="2" ht="12.0" customHeight="1">
      <c r="A2" s="88" t="str">
        <f>'Parâmetros'!$A$19</f>
        <v>Rel. Básico PJ</v>
      </c>
      <c r="B2" s="146">
        <v>162.0</v>
      </c>
      <c r="C2" s="146">
        <v>24896.0</v>
      </c>
      <c r="D2" s="146" t="s">
        <v>142</v>
      </c>
      <c r="E2" s="149" t="s">
        <v>143</v>
      </c>
      <c r="F2" s="151">
        <v>11700.0</v>
      </c>
      <c r="G2" s="151" t="s">
        <v>147</v>
      </c>
      <c r="H2" s="146" t="s">
        <v>22</v>
      </c>
      <c r="I2" s="146" t="s">
        <v>25</v>
      </c>
      <c r="J2" s="146" t="s">
        <v>25</v>
      </c>
      <c r="K2" s="146" t="s">
        <v>25</v>
      </c>
      <c r="L2" s="146" t="s">
        <v>22</v>
      </c>
      <c r="M2" s="146" t="s">
        <v>25</v>
      </c>
      <c r="N2" s="146" t="s">
        <v>148</v>
      </c>
      <c r="O2" s="146">
        <v>0.0</v>
      </c>
      <c r="P2" s="146" t="s">
        <v>25</v>
      </c>
      <c r="Q2" s="146">
        <v>100.0</v>
      </c>
      <c r="R2" s="146" t="s">
        <v>25</v>
      </c>
      <c r="S2" s="146" t="s">
        <v>22</v>
      </c>
      <c r="T2" s="146" t="s">
        <v>25</v>
      </c>
      <c r="U2" s="146" t="s">
        <v>22</v>
      </c>
      <c r="V2" s="146" t="s">
        <v>22</v>
      </c>
      <c r="W2" s="146" t="s">
        <v>25</v>
      </c>
      <c r="X2" s="146" t="s">
        <v>22</v>
      </c>
      <c r="Y2" s="146" t="s">
        <v>22</v>
      </c>
      <c r="Z2" s="146" t="s">
        <v>25</v>
      </c>
      <c r="AA2" s="146" t="s">
        <v>22</v>
      </c>
      <c r="AB2" s="153">
        <v>34935.0</v>
      </c>
      <c r="AC2" s="146" t="s">
        <v>25</v>
      </c>
      <c r="AD2" s="151" t="s">
        <v>150</v>
      </c>
      <c r="AE2" s="151" t="s">
        <v>22</v>
      </c>
      <c r="AF2" s="151" t="s">
        <v>25</v>
      </c>
      <c r="AG2" s="151" t="s">
        <v>25</v>
      </c>
      <c r="AH2" s="151" t="s">
        <v>25</v>
      </c>
      <c r="AI2" s="151">
        <v>0.0</v>
      </c>
      <c r="AJ2" s="146">
        <v>982.0</v>
      </c>
      <c r="AK2" s="155" t="s">
        <v>151</v>
      </c>
      <c r="AL2" s="151" t="s">
        <v>22</v>
      </c>
      <c r="AM2" s="151" t="s">
        <v>22</v>
      </c>
      <c r="AN2" s="151" t="s">
        <v>155</v>
      </c>
      <c r="AO2" s="151" t="s">
        <v>80</v>
      </c>
      <c r="AP2" s="151" t="s">
        <v>80</v>
      </c>
      <c r="AQ2" s="157" t="s">
        <v>156</v>
      </c>
      <c r="AR2" s="151" t="s">
        <v>158</v>
      </c>
      <c r="AS2" s="159">
        <v>46127.0</v>
      </c>
      <c r="AT2" s="160">
        <f>Calculo!AQ2</f>
        <v>45</v>
      </c>
      <c r="AU2" s="161" t="str">
        <f>Calculo!AV2</f>
        <v>SEM-RISCO</v>
      </c>
      <c r="AV2" s="162" t="str">
        <f>Calculo!AW2</f>
        <v>LIBERADO</v>
      </c>
      <c r="AW2" s="161" t="str">
        <f>Calculo!AX2</f>
        <v>SOLICITAR PED COMPRA</v>
      </c>
      <c r="AX2" s="161" t="str">
        <f>Calculo!K2</f>
        <v>SOLIC CONTRATO DE ENTREGA</v>
      </c>
      <c r="AY2" s="161" t="str">
        <f>Calculo!AY2</f>
        <v>CHECAGEM REVERSA</v>
      </c>
      <c r="AZ2" s="161" t="str">
        <f>Calculo!AZ2</f>
        <v>N/A</v>
      </c>
      <c r="BA2" s="163"/>
    </row>
    <row r="3" ht="12.0" customHeight="1">
      <c r="A3" s="88" t="str">
        <f>'Parâmetros'!$A$19</f>
        <v>Rel. Básico PJ</v>
      </c>
      <c r="B3" s="146">
        <v>166.0</v>
      </c>
      <c r="C3" s="146">
        <v>24879.0</v>
      </c>
      <c r="D3" s="146" t="s">
        <v>142</v>
      </c>
      <c r="E3" s="149" t="s">
        <v>164</v>
      </c>
      <c r="F3" s="151">
        <v>12931.0</v>
      </c>
      <c r="G3" s="151" t="s">
        <v>147</v>
      </c>
      <c r="H3" s="146" t="s">
        <v>22</v>
      </c>
      <c r="I3" s="146" t="s">
        <v>22</v>
      </c>
      <c r="J3" s="146" t="s">
        <v>25</v>
      </c>
      <c r="K3" s="146" t="s">
        <v>25</v>
      </c>
      <c r="L3" s="146" t="s">
        <v>22</v>
      </c>
      <c r="M3" s="146" t="s">
        <v>22</v>
      </c>
      <c r="N3" s="146" t="s">
        <v>165</v>
      </c>
      <c r="O3" s="146">
        <v>5.0</v>
      </c>
      <c r="P3" s="146" t="s">
        <v>25</v>
      </c>
      <c r="Q3" s="146">
        <v>100.0</v>
      </c>
      <c r="R3" s="146" t="s">
        <v>25</v>
      </c>
      <c r="S3" s="146" t="s">
        <v>25</v>
      </c>
      <c r="T3" s="146" t="s">
        <v>25</v>
      </c>
      <c r="U3" s="146" t="s">
        <v>22</v>
      </c>
      <c r="V3" s="146" t="s">
        <v>22</v>
      </c>
      <c r="W3" s="146" t="s">
        <v>25</v>
      </c>
      <c r="X3" s="146" t="s">
        <v>22</v>
      </c>
      <c r="Y3" s="146" t="s">
        <v>22</v>
      </c>
      <c r="Z3" s="146" t="s">
        <v>25</v>
      </c>
      <c r="AA3" s="146" t="s">
        <v>22</v>
      </c>
      <c r="AB3" s="153">
        <v>24323.0</v>
      </c>
      <c r="AC3" s="146" t="s">
        <v>25</v>
      </c>
      <c r="AD3" s="151" t="s">
        <v>166</v>
      </c>
      <c r="AE3" s="151" t="s">
        <v>22</v>
      </c>
      <c r="AF3" s="151" t="s">
        <v>22</v>
      </c>
      <c r="AG3" s="151" t="s">
        <v>25</v>
      </c>
      <c r="AH3" s="151" t="s">
        <v>25</v>
      </c>
      <c r="AI3" s="151">
        <v>20724.06</v>
      </c>
      <c r="AJ3" s="146">
        <v>699.0</v>
      </c>
      <c r="AK3" s="155" t="s">
        <v>167</v>
      </c>
      <c r="AL3" s="151" t="s">
        <v>22</v>
      </c>
      <c r="AM3" s="151" t="s">
        <v>22</v>
      </c>
      <c r="AN3" s="151" t="s">
        <v>155</v>
      </c>
      <c r="AO3" s="151" t="s">
        <v>80</v>
      </c>
      <c r="AP3" s="151" t="s">
        <v>80</v>
      </c>
      <c r="AQ3" s="164"/>
      <c r="AR3" s="151" t="s">
        <v>158</v>
      </c>
      <c r="AS3" s="159">
        <v>46129.0</v>
      </c>
      <c r="AT3" s="160">
        <f>Calculo!AQ3</f>
        <v>56</v>
      </c>
      <c r="AU3" s="161" t="str">
        <f>Calculo!AV3</f>
        <v>SEM-RISCO</v>
      </c>
      <c r="AV3" s="162" t="str">
        <f>Calculo!AW3</f>
        <v>LIBERADO</v>
      </c>
      <c r="AW3" s="161" t="str">
        <f>Calculo!AX3</f>
        <v>SOLICITAR PED COMPRA</v>
      </c>
      <c r="AX3" s="161" t="str">
        <f>Calculo!K3</f>
        <v>SOLIC CONTRATO DE ENTREGA</v>
      </c>
      <c r="AY3" s="161" t="str">
        <f>Calculo!AY3</f>
        <v>N/A</v>
      </c>
      <c r="AZ3" s="161" t="str">
        <f>Calculo!AZ3</f>
        <v>N/A</v>
      </c>
      <c r="BA3" s="163"/>
    </row>
    <row r="4" ht="12.0" customHeight="1">
      <c r="A4" s="88" t="str">
        <f>'Parâmetros'!$A$19</f>
        <v>Rel. Básico PJ</v>
      </c>
      <c r="B4" s="146">
        <v>167.0</v>
      </c>
      <c r="C4" s="146">
        <v>25087.0</v>
      </c>
      <c r="D4" s="146" t="s">
        <v>142</v>
      </c>
      <c r="E4" s="149" t="s">
        <v>168</v>
      </c>
      <c r="F4" s="151">
        <v>4100.0</v>
      </c>
      <c r="G4" s="151" t="s">
        <v>147</v>
      </c>
      <c r="H4" s="146" t="s">
        <v>22</v>
      </c>
      <c r="I4" s="146" t="s">
        <v>22</v>
      </c>
      <c r="J4" s="146" t="s">
        <v>25</v>
      </c>
      <c r="K4" s="146" t="s">
        <v>25</v>
      </c>
      <c r="L4" s="146" t="s">
        <v>22</v>
      </c>
      <c r="M4" s="146" t="s">
        <v>22</v>
      </c>
      <c r="N4" s="146" t="s">
        <v>165</v>
      </c>
      <c r="O4" s="146">
        <v>5.0</v>
      </c>
      <c r="P4" s="146" t="s">
        <v>22</v>
      </c>
      <c r="Q4" s="146">
        <v>100.0</v>
      </c>
      <c r="R4" s="146" t="s">
        <v>25</v>
      </c>
      <c r="S4" s="146" t="s">
        <v>25</v>
      </c>
      <c r="T4" s="146" t="s">
        <v>25</v>
      </c>
      <c r="U4" s="146" t="s">
        <v>22</v>
      </c>
      <c r="V4" s="146" t="s">
        <v>22</v>
      </c>
      <c r="W4" s="146" t="s">
        <v>22</v>
      </c>
      <c r="X4" s="146" t="s">
        <v>22</v>
      </c>
      <c r="Y4" s="146" t="s">
        <v>25</v>
      </c>
      <c r="Z4" s="146" t="s">
        <v>25</v>
      </c>
      <c r="AA4" s="146" t="s">
        <v>22</v>
      </c>
      <c r="AB4" s="153">
        <v>38422.0</v>
      </c>
      <c r="AC4" s="146" t="s">
        <v>25</v>
      </c>
      <c r="AD4" s="151" t="s">
        <v>169</v>
      </c>
      <c r="AE4" s="151" t="s">
        <v>22</v>
      </c>
      <c r="AF4" s="151" t="s">
        <v>25</v>
      </c>
      <c r="AG4" s="151" t="s">
        <v>25</v>
      </c>
      <c r="AH4" s="151" t="s">
        <v>25</v>
      </c>
      <c r="AI4" s="151">
        <v>0.0</v>
      </c>
      <c r="AJ4" s="146">
        <v>651.0</v>
      </c>
      <c r="AK4" s="155" t="s">
        <v>170</v>
      </c>
      <c r="AL4" s="151" t="s">
        <v>22</v>
      </c>
      <c r="AM4" s="151" t="s">
        <v>22</v>
      </c>
      <c r="AN4" s="151" t="s">
        <v>155</v>
      </c>
      <c r="AO4" s="151" t="s">
        <v>80</v>
      </c>
      <c r="AP4" s="151" t="s">
        <v>80</v>
      </c>
      <c r="AQ4" s="157"/>
      <c r="AR4" s="151" t="s">
        <v>158</v>
      </c>
      <c r="AS4" s="159">
        <v>46129.0</v>
      </c>
      <c r="AT4" s="160">
        <f>Calculo!AQ4</f>
        <v>45</v>
      </c>
      <c r="AU4" s="161" t="str">
        <f>Calculo!AV4</f>
        <v>SEM-RISCO</v>
      </c>
      <c r="AV4" s="162" t="str">
        <f>Calculo!AW4</f>
        <v>LIBERADO</v>
      </c>
      <c r="AW4" s="161" t="str">
        <f>Calculo!AX4</f>
        <v>N/A</v>
      </c>
      <c r="AX4" s="161" t="str">
        <f>Calculo!K4</f>
        <v>SOLIC CONTRATO DE ENTREGA</v>
      </c>
      <c r="AY4" s="161" t="str">
        <f>Calculo!AY4</f>
        <v>N/A</v>
      </c>
      <c r="AZ4" s="161" t="str">
        <f>Calculo!AZ4</f>
        <v>N/A</v>
      </c>
      <c r="BA4" s="163"/>
    </row>
    <row r="5" ht="12.0" customHeight="1">
      <c r="A5" s="88" t="str">
        <f>'Parâmetros'!$A$19</f>
        <v>Rel. Básico PJ</v>
      </c>
      <c r="B5" s="146">
        <v>1864.0</v>
      </c>
      <c r="C5" s="146">
        <v>25085.0</v>
      </c>
      <c r="D5" s="146" t="s">
        <v>171</v>
      </c>
      <c r="E5" s="149" t="s">
        <v>172</v>
      </c>
      <c r="F5" s="151">
        <v>1180.0</v>
      </c>
      <c r="G5" s="151" t="s">
        <v>147</v>
      </c>
      <c r="H5" s="146" t="s">
        <v>22</v>
      </c>
      <c r="I5" s="146" t="s">
        <v>25</v>
      </c>
      <c r="J5" s="146" t="s">
        <v>25</v>
      </c>
      <c r="K5" s="146" t="s">
        <v>25</v>
      </c>
      <c r="L5" s="146" t="s">
        <v>25</v>
      </c>
      <c r="M5" s="146" t="s">
        <v>22</v>
      </c>
      <c r="N5" s="146" t="s">
        <v>173</v>
      </c>
      <c r="O5" s="146" t="s">
        <v>140</v>
      </c>
      <c r="P5" s="146" t="s">
        <v>25</v>
      </c>
      <c r="Q5" s="146">
        <v>100.0</v>
      </c>
      <c r="R5" s="146" t="s">
        <v>25</v>
      </c>
      <c r="S5" s="146" t="s">
        <v>22</v>
      </c>
      <c r="T5" s="146" t="s">
        <v>25</v>
      </c>
      <c r="U5" s="146" t="s">
        <v>22</v>
      </c>
      <c r="V5" s="146" t="s">
        <v>22</v>
      </c>
      <c r="W5" s="146" t="s">
        <v>25</v>
      </c>
      <c r="X5" s="146" t="s">
        <v>22</v>
      </c>
      <c r="Y5" s="146" t="s">
        <v>22</v>
      </c>
      <c r="Z5" s="146" t="s">
        <v>25</v>
      </c>
      <c r="AA5" s="146" t="s">
        <v>22</v>
      </c>
      <c r="AB5" s="153">
        <v>30467.0</v>
      </c>
      <c r="AC5" s="146" t="s">
        <v>25</v>
      </c>
      <c r="AD5" s="151" t="s">
        <v>174</v>
      </c>
      <c r="AE5" s="151" t="s">
        <v>22</v>
      </c>
      <c r="AF5" s="151" t="s">
        <v>25</v>
      </c>
      <c r="AG5" s="151" t="s">
        <v>25</v>
      </c>
      <c r="AH5" s="151" t="s">
        <v>25</v>
      </c>
      <c r="AI5" s="151">
        <v>0.0</v>
      </c>
      <c r="AJ5" s="146">
        <v>1000.0</v>
      </c>
      <c r="AK5" s="155" t="s">
        <v>175</v>
      </c>
      <c r="AL5" s="151" t="s">
        <v>22</v>
      </c>
      <c r="AM5" s="151" t="s">
        <v>22</v>
      </c>
      <c r="AN5" s="151" t="s">
        <v>155</v>
      </c>
      <c r="AO5" s="151" t="s">
        <v>80</v>
      </c>
      <c r="AP5" s="151" t="s">
        <v>80</v>
      </c>
      <c r="AQ5" s="164"/>
      <c r="AR5" s="151" t="s">
        <v>158</v>
      </c>
      <c r="AS5" s="159">
        <v>46134.0</v>
      </c>
      <c r="AT5" s="160">
        <f>Calculo!AQ5</f>
        <v>59</v>
      </c>
      <c r="AU5" s="161" t="str">
        <f>Calculo!AV5</f>
        <v>SEM-RISCO</v>
      </c>
      <c r="AV5" s="162" t="str">
        <f>Calculo!AW5</f>
        <v>LIBERADO</v>
      </c>
      <c r="AW5" s="161" t="str">
        <f>Calculo!AX5</f>
        <v>N/A</v>
      </c>
      <c r="AX5" s="161" t="str">
        <f>Calculo!K5</f>
        <v>N/A</v>
      </c>
      <c r="AY5" s="161" t="str">
        <f>Calculo!AY5</f>
        <v>N/A</v>
      </c>
      <c r="AZ5" s="161" t="str">
        <f>Calculo!AZ5</f>
        <v>N/A</v>
      </c>
      <c r="BA5" s="163"/>
    </row>
    <row r="6" ht="12.0" customHeight="1">
      <c r="A6" s="88" t="str">
        <f>'Parâmetros'!$A$19</f>
        <v>Rel. Básico PJ</v>
      </c>
      <c r="B6" s="146">
        <v>442.0</v>
      </c>
      <c r="C6" s="146">
        <v>25081.0</v>
      </c>
      <c r="D6" s="146" t="s">
        <v>176</v>
      </c>
      <c r="E6" s="149" t="s">
        <v>177</v>
      </c>
      <c r="F6" s="151">
        <v>679.0</v>
      </c>
      <c r="G6" s="151" t="s">
        <v>147</v>
      </c>
      <c r="H6" s="146" t="s">
        <v>22</v>
      </c>
      <c r="I6" s="146" t="s">
        <v>25</v>
      </c>
      <c r="J6" s="146" t="s">
        <v>25</v>
      </c>
      <c r="K6" s="146" t="s">
        <v>25</v>
      </c>
      <c r="L6" s="146" t="s">
        <v>25</v>
      </c>
      <c r="M6" s="146" t="s">
        <v>22</v>
      </c>
      <c r="N6" s="146" t="s">
        <v>178</v>
      </c>
      <c r="O6" s="146" t="s">
        <v>140</v>
      </c>
      <c r="P6" s="146" t="s">
        <v>25</v>
      </c>
      <c r="Q6" s="146">
        <v>100.0</v>
      </c>
      <c r="R6" s="146" t="s">
        <v>25</v>
      </c>
      <c r="S6" s="146" t="s">
        <v>25</v>
      </c>
      <c r="T6" s="146" t="s">
        <v>25</v>
      </c>
      <c r="U6" s="146" t="s">
        <v>22</v>
      </c>
      <c r="V6" s="146" t="s">
        <v>22</v>
      </c>
      <c r="W6" s="146" t="s">
        <v>25</v>
      </c>
      <c r="X6" s="146" t="s">
        <v>22</v>
      </c>
      <c r="Y6" s="146" t="s">
        <v>22</v>
      </c>
      <c r="Z6" s="146" t="s">
        <v>25</v>
      </c>
      <c r="AA6" s="146" t="s">
        <v>22</v>
      </c>
      <c r="AB6" s="153">
        <v>42863.0</v>
      </c>
      <c r="AC6" s="146" t="s">
        <v>22</v>
      </c>
      <c r="AD6" s="151" t="s">
        <v>179</v>
      </c>
      <c r="AE6" s="151" t="s">
        <v>22</v>
      </c>
      <c r="AF6" s="151" t="s">
        <v>22</v>
      </c>
      <c r="AG6" s="151" t="s">
        <v>25</v>
      </c>
      <c r="AH6" s="151" t="s">
        <v>22</v>
      </c>
      <c r="AI6" s="151">
        <v>520974.26</v>
      </c>
      <c r="AJ6" s="146">
        <v>826.0</v>
      </c>
      <c r="AK6" s="155" t="s">
        <v>180</v>
      </c>
      <c r="AL6" s="151" t="s">
        <v>22</v>
      </c>
      <c r="AM6" s="151" t="s">
        <v>22</v>
      </c>
      <c r="AN6" s="151" t="s">
        <v>155</v>
      </c>
      <c r="AO6" s="151" t="s">
        <v>80</v>
      </c>
      <c r="AP6" s="151" t="s">
        <v>80</v>
      </c>
      <c r="AQ6" s="157" t="s">
        <v>181</v>
      </c>
      <c r="AR6" s="151" t="s">
        <v>158</v>
      </c>
      <c r="AS6" s="159">
        <v>46134.0</v>
      </c>
      <c r="AT6" s="160">
        <f>Calculo!AQ6</f>
        <v>13</v>
      </c>
      <c r="AU6" s="161" t="str">
        <f>Calculo!AV6</f>
        <v>SEM-RISCO</v>
      </c>
      <c r="AV6" s="162" t="str">
        <f>Calculo!AW6</f>
        <v>LIBERADO</v>
      </c>
      <c r="AW6" s="161" t="str">
        <f>Calculo!AX6</f>
        <v>N/A</v>
      </c>
      <c r="AX6" s="161" t="str">
        <f>Calculo!K6</f>
        <v>N/A</v>
      </c>
      <c r="AY6" s="161" t="str">
        <f>Calculo!AY6</f>
        <v>N/A</v>
      </c>
      <c r="AZ6" s="161" t="str">
        <f>Calculo!AZ6</f>
        <v>N/A</v>
      </c>
      <c r="BA6" s="163"/>
    </row>
    <row r="7" ht="12.0" customHeight="1">
      <c r="A7" s="88" t="str">
        <f>'Parâmetros'!$A$19</f>
        <v>Rel. Básico PJ</v>
      </c>
      <c r="B7" s="146">
        <v>444.0</v>
      </c>
      <c r="C7" s="146">
        <v>25091.0</v>
      </c>
      <c r="D7" s="146" t="s">
        <v>176</v>
      </c>
      <c r="E7" s="149" t="s">
        <v>182</v>
      </c>
      <c r="F7" s="151">
        <v>679.0</v>
      </c>
      <c r="G7" s="151" t="s">
        <v>147</v>
      </c>
      <c r="H7" s="146" t="s">
        <v>22</v>
      </c>
      <c r="I7" s="146" t="s">
        <v>25</v>
      </c>
      <c r="J7" s="146" t="s">
        <v>25</v>
      </c>
      <c r="K7" s="146" t="s">
        <v>25</v>
      </c>
      <c r="L7" s="146" t="s">
        <v>25</v>
      </c>
      <c r="M7" s="146" t="s">
        <v>22</v>
      </c>
      <c r="N7" s="146" t="s">
        <v>178</v>
      </c>
      <c r="O7" s="146" t="s">
        <v>140</v>
      </c>
      <c r="P7" s="146" t="s">
        <v>25</v>
      </c>
      <c r="Q7" s="146">
        <v>100.0</v>
      </c>
      <c r="R7" s="146" t="s">
        <v>25</v>
      </c>
      <c r="S7" s="146" t="s">
        <v>25</v>
      </c>
      <c r="T7" s="146" t="s">
        <v>25</v>
      </c>
      <c r="U7" s="146" t="s">
        <v>22</v>
      </c>
      <c r="V7" s="146" t="s">
        <v>22</v>
      </c>
      <c r="W7" s="146" t="s">
        <v>25</v>
      </c>
      <c r="X7" s="146" t="s">
        <v>22</v>
      </c>
      <c r="Y7" s="146" t="s">
        <v>22</v>
      </c>
      <c r="Z7" s="146" t="s">
        <v>25</v>
      </c>
      <c r="AA7" s="146" t="s">
        <v>22</v>
      </c>
      <c r="AB7" s="153">
        <v>42863.0</v>
      </c>
      <c r="AC7" s="146" t="s">
        <v>22</v>
      </c>
      <c r="AD7" s="151" t="s">
        <v>179</v>
      </c>
      <c r="AE7" s="151" t="s">
        <v>22</v>
      </c>
      <c r="AF7" s="151" t="s">
        <v>22</v>
      </c>
      <c r="AG7" s="151" t="s">
        <v>25</v>
      </c>
      <c r="AH7" s="151" t="s">
        <v>22</v>
      </c>
      <c r="AI7" s="151">
        <v>520974.26</v>
      </c>
      <c r="AJ7" s="146">
        <v>826.0</v>
      </c>
      <c r="AK7" s="155" t="s">
        <v>180</v>
      </c>
      <c r="AL7" s="151" t="s">
        <v>22</v>
      </c>
      <c r="AM7" s="151" t="s">
        <v>22</v>
      </c>
      <c r="AN7" s="151" t="s">
        <v>155</v>
      </c>
      <c r="AO7" s="151" t="s">
        <v>80</v>
      </c>
      <c r="AP7" s="151" t="s">
        <v>80</v>
      </c>
      <c r="AQ7" s="157" t="s">
        <v>181</v>
      </c>
      <c r="AR7" s="151" t="s">
        <v>158</v>
      </c>
      <c r="AS7" s="159">
        <v>46134.0</v>
      </c>
      <c r="AT7" s="160">
        <f>Calculo!AQ7</f>
        <v>13</v>
      </c>
      <c r="AU7" s="161" t="str">
        <f>Calculo!AV7</f>
        <v>SEM-RISCO</v>
      </c>
      <c r="AV7" s="162" t="str">
        <f>Calculo!AW7</f>
        <v>LIBERADO</v>
      </c>
      <c r="AW7" s="161" t="str">
        <f>Calculo!AX7</f>
        <v>N/A</v>
      </c>
      <c r="AX7" s="161" t="str">
        <f>Calculo!K7</f>
        <v>N/A</v>
      </c>
      <c r="AY7" s="161" t="str">
        <f>Calculo!AY7</f>
        <v>N/A</v>
      </c>
      <c r="AZ7" s="161" t="str">
        <f>Calculo!AZ7</f>
        <v>N/A</v>
      </c>
      <c r="BA7" s="163"/>
    </row>
    <row r="8" ht="12.0" customHeight="1">
      <c r="A8" s="88" t="str">
        <f>'Parâmetros'!$A$19</f>
        <v>Rel. Básico PJ</v>
      </c>
      <c r="B8" s="146"/>
      <c r="C8" s="146"/>
      <c r="D8" s="146" t="s">
        <v>142</v>
      </c>
      <c r="E8" s="149"/>
      <c r="F8" s="151">
        <v>12804.0</v>
      </c>
      <c r="G8" s="151" t="s">
        <v>147</v>
      </c>
      <c r="H8" s="146" t="s">
        <v>22</v>
      </c>
      <c r="I8" s="146" t="s">
        <v>25</v>
      </c>
      <c r="J8" s="146" t="s">
        <v>25</v>
      </c>
      <c r="K8" s="146" t="s">
        <v>25</v>
      </c>
      <c r="L8" s="146" t="s">
        <v>22</v>
      </c>
      <c r="M8" s="146" t="s">
        <v>25</v>
      </c>
      <c r="N8" s="146" t="s">
        <v>173</v>
      </c>
      <c r="O8" s="146">
        <v>0.0</v>
      </c>
      <c r="P8" s="146" t="s">
        <v>22</v>
      </c>
      <c r="Q8" s="146">
        <v>100.0</v>
      </c>
      <c r="R8" s="146" t="s">
        <v>25</v>
      </c>
      <c r="S8" s="146" t="s">
        <v>25</v>
      </c>
      <c r="T8" s="146" t="s">
        <v>25</v>
      </c>
      <c r="U8" s="146" t="s">
        <v>22</v>
      </c>
      <c r="V8" s="146" t="s">
        <v>22</v>
      </c>
      <c r="W8" s="146" t="s">
        <v>22</v>
      </c>
      <c r="X8" s="146" t="s">
        <v>22</v>
      </c>
      <c r="Y8" s="146" t="s">
        <v>25</v>
      </c>
      <c r="Z8" s="146" t="s">
        <v>25</v>
      </c>
      <c r="AA8" s="146" t="s">
        <v>22</v>
      </c>
      <c r="AB8" s="153">
        <v>39654.0</v>
      </c>
      <c r="AC8" s="146" t="s">
        <v>22</v>
      </c>
      <c r="AD8" s="151" t="s">
        <v>183</v>
      </c>
      <c r="AE8" s="151" t="s">
        <v>22</v>
      </c>
      <c r="AF8" s="151" t="s">
        <v>22</v>
      </c>
      <c r="AG8" s="151" t="s">
        <v>25</v>
      </c>
      <c r="AH8" s="151" t="s">
        <v>25</v>
      </c>
      <c r="AI8" s="151">
        <v>1413.88</v>
      </c>
      <c r="AJ8" s="146">
        <v>797.0</v>
      </c>
      <c r="AK8" s="155" t="s">
        <v>184</v>
      </c>
      <c r="AL8" s="151" t="s">
        <v>22</v>
      </c>
      <c r="AM8" s="151" t="s">
        <v>22</v>
      </c>
      <c r="AN8" s="151" t="s">
        <v>155</v>
      </c>
      <c r="AO8" s="151" t="s">
        <v>80</v>
      </c>
      <c r="AP8" s="151" t="s">
        <v>80</v>
      </c>
      <c r="AQ8" s="157" t="s">
        <v>185</v>
      </c>
      <c r="AR8" s="151" t="s">
        <v>158</v>
      </c>
      <c r="AS8" s="159">
        <v>46134.0</v>
      </c>
      <c r="AT8" s="160">
        <f>Calculo!AQ8</f>
        <v>21</v>
      </c>
      <c r="AU8" s="161" t="str">
        <f>Calculo!AV8</f>
        <v>SEM-RISCO</v>
      </c>
      <c r="AV8" s="162" t="str">
        <f>Calculo!AW8</f>
        <v>LIBERADO</v>
      </c>
      <c r="AW8" s="161" t="str">
        <f>Calculo!AX8</f>
        <v>SOLICITAR PED COMPRA</v>
      </c>
      <c r="AX8" s="161" t="str">
        <f>Calculo!K8</f>
        <v>SOLIC CONTRATO DE ENTREGA</v>
      </c>
      <c r="AY8" s="161" t="str">
        <f>Calculo!AY8</f>
        <v>CHECAGEM REVERSA</v>
      </c>
      <c r="AZ8" s="161" t="str">
        <f>Calculo!AZ8</f>
        <v>N/A</v>
      </c>
      <c r="BA8" s="163"/>
    </row>
    <row r="9" ht="12.0" customHeight="1">
      <c r="A9" s="88" t="str">
        <f>'Parâmetros'!$A$19</f>
        <v>Rel. Básico PJ</v>
      </c>
      <c r="B9" s="146">
        <v>446.0</v>
      </c>
      <c r="C9" s="146">
        <v>25094.0</v>
      </c>
      <c r="D9" s="146" t="s">
        <v>176</v>
      </c>
      <c r="E9" s="149" t="s">
        <v>186</v>
      </c>
      <c r="F9" s="151">
        <v>2370.14</v>
      </c>
      <c r="G9" s="151" t="s">
        <v>147</v>
      </c>
      <c r="H9" s="146" t="s">
        <v>22</v>
      </c>
      <c r="I9" s="146" t="s">
        <v>25</v>
      </c>
      <c r="J9" s="146" t="s">
        <v>25</v>
      </c>
      <c r="K9" s="146" t="s">
        <v>25</v>
      </c>
      <c r="L9" s="146" t="s">
        <v>22</v>
      </c>
      <c r="M9" s="146" t="s">
        <v>22</v>
      </c>
      <c r="N9" s="146" t="s">
        <v>187</v>
      </c>
      <c r="O9" s="146">
        <v>5.0</v>
      </c>
      <c r="P9" s="146"/>
      <c r="Q9" s="146">
        <v>100.0</v>
      </c>
      <c r="R9" s="146" t="s">
        <v>25</v>
      </c>
      <c r="S9" s="146" t="s">
        <v>25</v>
      </c>
      <c r="T9" s="146" t="s">
        <v>25</v>
      </c>
      <c r="U9" s="146" t="s">
        <v>22</v>
      </c>
      <c r="V9" s="146" t="s">
        <v>22</v>
      </c>
      <c r="W9" s="146" t="s">
        <v>25</v>
      </c>
      <c r="X9" s="146" t="s">
        <v>22</v>
      </c>
      <c r="Y9" s="146" t="s">
        <v>22</v>
      </c>
      <c r="Z9" s="146" t="s">
        <v>25</v>
      </c>
      <c r="AA9" s="146" t="s">
        <v>22</v>
      </c>
      <c r="AB9" s="153">
        <v>45366.0</v>
      </c>
      <c r="AC9" s="146" t="s">
        <v>25</v>
      </c>
      <c r="AD9" s="151" t="s">
        <v>188</v>
      </c>
      <c r="AE9" s="151" t="s">
        <v>22</v>
      </c>
      <c r="AF9" s="151" t="s">
        <v>25</v>
      </c>
      <c r="AG9" s="151" t="s">
        <v>25</v>
      </c>
      <c r="AH9" s="151" t="s">
        <v>22</v>
      </c>
      <c r="AI9" s="151">
        <v>68159.59</v>
      </c>
      <c r="AJ9" s="146"/>
      <c r="AK9" s="155" t="s">
        <v>189</v>
      </c>
      <c r="AL9" s="151" t="s">
        <v>22</v>
      </c>
      <c r="AM9" s="151" t="s">
        <v>22</v>
      </c>
      <c r="AN9" s="151" t="s">
        <v>155</v>
      </c>
      <c r="AO9" s="151" t="s">
        <v>80</v>
      </c>
      <c r="AP9" s="151" t="s">
        <v>80</v>
      </c>
      <c r="AQ9" s="157"/>
      <c r="AR9" s="151" t="s">
        <v>190</v>
      </c>
      <c r="AS9" s="159">
        <v>46134.0</v>
      </c>
      <c r="AT9" s="160">
        <f>Calculo!AQ9</f>
        <v>-29</v>
      </c>
      <c r="AU9" s="166" t="str">
        <f>Calculo!AV9</f>
        <v>GRANDE-OU-FALINDO:</v>
      </c>
      <c r="AV9" s="162" t="str">
        <f>Calculo!AW9</f>
        <v>SE FALINDO SÓ ANTECIPADO | SE GRANDE BUROCR PEGAR CONTATOS FINANCEIRO</v>
      </c>
      <c r="AW9" s="161" t="str">
        <f>Calculo!AX9</f>
        <v>N/A</v>
      </c>
      <c r="AX9" s="161" t="str">
        <f>Calculo!K9</f>
        <v>SOLIC CONTRATO DE ENTREGA</v>
      </c>
      <c r="AY9" s="161" t="str">
        <f>Calculo!AY9</f>
        <v>N/A</v>
      </c>
      <c r="AZ9" s="161" t="str">
        <f>Calculo!AZ9</f>
        <v>N/A</v>
      </c>
      <c r="BA9" s="163"/>
    </row>
    <row r="10" ht="12.0" customHeight="1">
      <c r="A10" s="88" t="str">
        <f>'Parâmetros'!$A$19</f>
        <v>Rel. Básico PJ</v>
      </c>
      <c r="B10" s="146">
        <v>170.0</v>
      </c>
      <c r="C10" s="146">
        <v>25110.0</v>
      </c>
      <c r="D10" s="146" t="s">
        <v>142</v>
      </c>
      <c r="E10" s="149" t="s">
        <v>191</v>
      </c>
      <c r="F10" s="151">
        <v>8081.0</v>
      </c>
      <c r="G10" s="151" t="s">
        <v>147</v>
      </c>
      <c r="H10" s="146" t="s">
        <v>22</v>
      </c>
      <c r="I10" s="146" t="s">
        <v>22</v>
      </c>
      <c r="J10" s="146" t="s">
        <v>25</v>
      </c>
      <c r="K10" s="146" t="s">
        <v>25</v>
      </c>
      <c r="L10" s="146" t="s">
        <v>22</v>
      </c>
      <c r="M10" s="146" t="s">
        <v>22</v>
      </c>
      <c r="N10" s="146" t="s">
        <v>173</v>
      </c>
      <c r="O10" s="146">
        <v>5.0</v>
      </c>
      <c r="P10" s="146" t="s">
        <v>22</v>
      </c>
      <c r="Q10" s="146">
        <v>100.0</v>
      </c>
      <c r="R10" s="146" t="s">
        <v>25</v>
      </c>
      <c r="S10" s="146" t="s">
        <v>25</v>
      </c>
      <c r="T10" s="146" t="s">
        <v>25</v>
      </c>
      <c r="U10" s="146" t="s">
        <v>22</v>
      </c>
      <c r="V10" s="146" t="s">
        <v>22</v>
      </c>
      <c r="W10" s="146" t="s">
        <v>25</v>
      </c>
      <c r="X10" s="146" t="s">
        <v>22</v>
      </c>
      <c r="Y10" s="146" t="s">
        <v>22</v>
      </c>
      <c r="Z10" s="146" t="s">
        <v>25</v>
      </c>
      <c r="AA10" s="146" t="s">
        <v>22</v>
      </c>
      <c r="AB10" s="153">
        <v>30124.0</v>
      </c>
      <c r="AC10" s="146" t="s">
        <v>22</v>
      </c>
      <c r="AD10" s="151" t="s">
        <v>192</v>
      </c>
      <c r="AE10" s="151" t="s">
        <v>22</v>
      </c>
      <c r="AF10" s="151" t="s">
        <v>22</v>
      </c>
      <c r="AG10" s="151" t="s">
        <v>25</v>
      </c>
      <c r="AH10" s="151" t="s">
        <v>22</v>
      </c>
      <c r="AI10" s="151">
        <v>2607177.99</v>
      </c>
      <c r="AJ10" s="146"/>
      <c r="AK10" s="155" t="s">
        <v>193</v>
      </c>
      <c r="AL10" s="151" t="s">
        <v>22</v>
      </c>
      <c r="AM10" s="151" t="s">
        <v>22</v>
      </c>
      <c r="AN10" s="151" t="s">
        <v>155</v>
      </c>
      <c r="AO10" s="151" t="s">
        <v>80</v>
      </c>
      <c r="AP10" s="151" t="s">
        <v>80</v>
      </c>
      <c r="AQ10" s="157"/>
      <c r="AR10" s="151" t="s">
        <v>158</v>
      </c>
      <c r="AS10" s="159">
        <v>46142.0</v>
      </c>
      <c r="AT10" s="160">
        <f>Calculo!AQ10</f>
        <v>12</v>
      </c>
      <c r="AU10" s="161" t="str">
        <f>Calculo!AV10</f>
        <v>SEM-RISCO</v>
      </c>
      <c r="AV10" s="162" t="str">
        <f>Calculo!AW10</f>
        <v>LIBERADO</v>
      </c>
      <c r="AW10" s="161" t="str">
        <f>Calculo!AX10</f>
        <v>SOLICITAR PED COMPRA</v>
      </c>
      <c r="AX10" s="161" t="str">
        <f>Calculo!K10</f>
        <v>SOLIC CONTRATO DE ENTREGA</v>
      </c>
      <c r="AY10" s="161" t="str">
        <f>Calculo!AY10</f>
        <v>N/A</v>
      </c>
      <c r="AZ10" s="161" t="str">
        <f>Calculo!AZ10</f>
        <v>N/A</v>
      </c>
      <c r="BA10" s="163"/>
    </row>
    <row r="11" ht="12.0" customHeight="1">
      <c r="A11" s="88" t="str">
        <f>'Parâmetros'!$A$19</f>
        <v>Rel. Básico PJ</v>
      </c>
      <c r="B11" s="146">
        <v>172.0</v>
      </c>
      <c r="C11" s="146">
        <v>25148.0</v>
      </c>
      <c r="D11" s="146" t="s">
        <v>142</v>
      </c>
      <c r="E11" s="149" t="s">
        <v>194</v>
      </c>
      <c r="F11" s="151">
        <v>4567.0</v>
      </c>
      <c r="G11" s="151" t="s">
        <v>147</v>
      </c>
      <c r="H11" s="146" t="s">
        <v>22</v>
      </c>
      <c r="I11" s="146" t="s">
        <v>25</v>
      </c>
      <c r="J11" s="146" t="s">
        <v>25</v>
      </c>
      <c r="K11" s="146" t="s">
        <v>25</v>
      </c>
      <c r="L11" s="146" t="s">
        <v>22</v>
      </c>
      <c r="M11" s="146" t="s">
        <v>25</v>
      </c>
      <c r="N11" s="146" t="s">
        <v>173</v>
      </c>
      <c r="O11" s="146">
        <v>0.0</v>
      </c>
      <c r="P11" s="146" t="s">
        <v>22</v>
      </c>
      <c r="Q11" s="146">
        <v>100.0</v>
      </c>
      <c r="R11" s="146" t="s">
        <v>25</v>
      </c>
      <c r="S11" s="146" t="s">
        <v>25</v>
      </c>
      <c r="T11" s="146" t="s">
        <v>25</v>
      </c>
      <c r="U11" s="146" t="s">
        <v>22</v>
      </c>
      <c r="V11" s="146" t="s">
        <v>22</v>
      </c>
      <c r="W11" s="146" t="s">
        <v>25</v>
      </c>
      <c r="X11" s="146" t="s">
        <v>22</v>
      </c>
      <c r="Y11" s="146" t="s">
        <v>25</v>
      </c>
      <c r="Z11" s="146" t="s">
        <v>25</v>
      </c>
      <c r="AA11" s="146" t="s">
        <v>22</v>
      </c>
      <c r="AB11" s="153">
        <v>39423.0</v>
      </c>
      <c r="AC11" s="146" t="s">
        <v>25</v>
      </c>
      <c r="AD11" s="151" t="s">
        <v>195</v>
      </c>
      <c r="AE11" s="151" t="s">
        <v>22</v>
      </c>
      <c r="AF11" s="151" t="s">
        <v>22</v>
      </c>
      <c r="AG11" s="151" t="s">
        <v>25</v>
      </c>
      <c r="AH11" s="151" t="s">
        <v>25</v>
      </c>
      <c r="AI11" s="151">
        <v>424.52</v>
      </c>
      <c r="AJ11" s="146">
        <v>745.0</v>
      </c>
      <c r="AK11" s="155" t="s">
        <v>196</v>
      </c>
      <c r="AL11" s="151" t="s">
        <v>22</v>
      </c>
      <c r="AM11" s="151" t="s">
        <v>22</v>
      </c>
      <c r="AN11" s="151" t="s">
        <v>155</v>
      </c>
      <c r="AO11" s="151" t="s">
        <v>80</v>
      </c>
      <c r="AP11" s="151" t="s">
        <v>80</v>
      </c>
      <c r="AQ11" s="157"/>
      <c r="AR11" s="151" t="s">
        <v>158</v>
      </c>
      <c r="AS11" s="159">
        <v>46139.0</v>
      </c>
      <c r="AT11" s="160">
        <f>Calculo!AQ11</f>
        <v>22</v>
      </c>
      <c r="AU11" s="161" t="str">
        <f>Calculo!AV11</f>
        <v>SEM-RISCO</v>
      </c>
      <c r="AV11" s="162" t="str">
        <f>Calculo!AW11</f>
        <v>LIBERADO</v>
      </c>
      <c r="AW11" s="161" t="str">
        <f>Calculo!AX11</f>
        <v>N/A</v>
      </c>
      <c r="AX11" s="161" t="str">
        <f>Calculo!K11</f>
        <v>SOLIC CONTRATO DE ENTREGA</v>
      </c>
      <c r="AY11" s="161" t="str">
        <f>Calculo!AY11</f>
        <v>CHECAGEM REVERSA</v>
      </c>
      <c r="AZ11" s="161" t="str">
        <f>Calculo!AZ11</f>
        <v>N/A</v>
      </c>
      <c r="BA11" s="163"/>
    </row>
    <row r="12" ht="12.0" customHeight="1">
      <c r="A12" s="88" t="str">
        <f>'Parâmetros'!$A$19</f>
        <v>Rel. Básico PJ</v>
      </c>
      <c r="B12" s="146">
        <v>171.0</v>
      </c>
      <c r="C12" s="146">
        <v>24933.0</v>
      </c>
      <c r="D12" s="146" t="s">
        <v>142</v>
      </c>
      <c r="E12" s="149" t="s">
        <v>197</v>
      </c>
      <c r="F12" s="151">
        <v>4103.0</v>
      </c>
      <c r="G12" s="151" t="s">
        <v>147</v>
      </c>
      <c r="H12" s="146" t="s">
        <v>22</v>
      </c>
      <c r="I12" s="146" t="s">
        <v>25</v>
      </c>
      <c r="J12" s="146" t="s">
        <v>25</v>
      </c>
      <c r="K12" s="146" t="s">
        <v>25</v>
      </c>
      <c r="L12" s="146" t="s">
        <v>22</v>
      </c>
      <c r="M12" s="146" t="s">
        <v>25</v>
      </c>
      <c r="N12" s="146" t="s">
        <v>148</v>
      </c>
      <c r="O12" s="146">
        <v>0.0</v>
      </c>
      <c r="P12" s="146" t="s">
        <v>140</v>
      </c>
      <c r="Q12" s="146">
        <v>100.0</v>
      </c>
      <c r="R12" s="146" t="s">
        <v>25</v>
      </c>
      <c r="S12" s="146" t="s">
        <v>25</v>
      </c>
      <c r="T12" s="146" t="s">
        <v>25</v>
      </c>
      <c r="U12" s="146" t="s">
        <v>22</v>
      </c>
      <c r="V12" s="146" t="s">
        <v>22</v>
      </c>
      <c r="W12" s="146" t="s">
        <v>25</v>
      </c>
      <c r="X12" s="146" t="s">
        <v>22</v>
      </c>
      <c r="Y12" s="146" t="s">
        <v>22</v>
      </c>
      <c r="Z12" s="146" t="s">
        <v>25</v>
      </c>
      <c r="AA12" s="146" t="s">
        <v>22</v>
      </c>
      <c r="AB12" s="153">
        <v>39772.0</v>
      </c>
      <c r="AC12" s="146" t="s">
        <v>25</v>
      </c>
      <c r="AD12" s="151" t="s">
        <v>198</v>
      </c>
      <c r="AE12" s="151" t="s">
        <v>22</v>
      </c>
      <c r="AF12" s="151" t="s">
        <v>25</v>
      </c>
      <c r="AG12" s="151" t="s">
        <v>25</v>
      </c>
      <c r="AH12" s="151" t="s">
        <v>25</v>
      </c>
      <c r="AI12" s="151">
        <v>0.0</v>
      </c>
      <c r="AJ12" s="146">
        <v>1000.0</v>
      </c>
      <c r="AK12" s="155" t="s">
        <v>199</v>
      </c>
      <c r="AL12" s="151" t="s">
        <v>22</v>
      </c>
      <c r="AM12" s="151" t="s">
        <v>22</v>
      </c>
      <c r="AN12" s="151" t="s">
        <v>155</v>
      </c>
      <c r="AO12" s="151" t="s">
        <v>80</v>
      </c>
      <c r="AP12" s="151" t="s">
        <v>80</v>
      </c>
      <c r="AQ12" s="164"/>
      <c r="AR12" s="151" t="s">
        <v>158</v>
      </c>
      <c r="AS12" s="159">
        <v>46139.0</v>
      </c>
      <c r="AT12" s="160">
        <f>Calculo!AQ12</f>
        <v>29</v>
      </c>
      <c r="AU12" s="161" t="str">
        <f>Calculo!AV12</f>
        <v>SEM-RISCO</v>
      </c>
      <c r="AV12" s="162" t="str">
        <f>Calculo!AW12</f>
        <v>LIBERADO</v>
      </c>
      <c r="AW12" s="161" t="str">
        <f>Calculo!AX12</f>
        <v>N/A</v>
      </c>
      <c r="AX12" s="161" t="str">
        <f>Calculo!K12</f>
        <v>SOLIC CONTRATO DE ENTREGA</v>
      </c>
      <c r="AY12" s="161" t="str">
        <f>Calculo!AY12</f>
        <v>CHECAGEM REVERSA</v>
      </c>
      <c r="AZ12" s="161" t="str">
        <f>Calculo!AZ12</f>
        <v>N/A</v>
      </c>
      <c r="BA12" s="163"/>
    </row>
    <row r="13" ht="12.0" customHeight="1">
      <c r="A13" s="88" t="str">
        <f>'Parâmetros'!$A$19</f>
        <v>Rel. Básico PJ</v>
      </c>
      <c r="B13" s="146">
        <v>460.0</v>
      </c>
      <c r="C13" s="146">
        <v>25168.0</v>
      </c>
      <c r="D13" s="146" t="s">
        <v>176</v>
      </c>
      <c r="E13" s="149" t="s">
        <v>200</v>
      </c>
      <c r="F13" s="151">
        <v>2199.0</v>
      </c>
      <c r="G13" s="151" t="s">
        <v>147</v>
      </c>
      <c r="H13" s="146" t="s">
        <v>22</v>
      </c>
      <c r="I13" s="146" t="s">
        <v>25</v>
      </c>
      <c r="J13" s="146" t="s">
        <v>25</v>
      </c>
      <c r="K13" s="146" t="s">
        <v>25</v>
      </c>
      <c r="L13" s="146" t="s">
        <v>22</v>
      </c>
      <c r="M13" s="146" t="s">
        <v>25</v>
      </c>
      <c r="N13" s="146" t="s">
        <v>165</v>
      </c>
      <c r="O13" s="146">
        <v>0.0</v>
      </c>
      <c r="P13" s="146" t="s">
        <v>22</v>
      </c>
      <c r="Q13" s="146">
        <v>100.0</v>
      </c>
      <c r="R13" s="146" t="s">
        <v>25</v>
      </c>
      <c r="S13" s="146" t="s">
        <v>25</v>
      </c>
      <c r="T13" s="146" t="s">
        <v>25</v>
      </c>
      <c r="U13" s="146" t="s">
        <v>22</v>
      </c>
      <c r="V13" s="146" t="s">
        <v>22</v>
      </c>
      <c r="W13" s="146" t="s">
        <v>25</v>
      </c>
      <c r="X13" s="146" t="s">
        <v>22</v>
      </c>
      <c r="Y13" s="146" t="s">
        <v>22</v>
      </c>
      <c r="Z13" s="146" t="s">
        <v>25</v>
      </c>
      <c r="AA13" s="146" t="s">
        <v>22</v>
      </c>
      <c r="AB13" s="153">
        <v>38408.0</v>
      </c>
      <c r="AC13" s="146" t="s">
        <v>25</v>
      </c>
      <c r="AD13" s="151" t="s">
        <v>201</v>
      </c>
      <c r="AE13" s="151" t="s">
        <v>22</v>
      </c>
      <c r="AF13" s="151" t="s">
        <v>25</v>
      </c>
      <c r="AG13" s="151" t="s">
        <v>25</v>
      </c>
      <c r="AH13" s="151" t="s">
        <v>25</v>
      </c>
      <c r="AI13" s="151">
        <v>0.0</v>
      </c>
      <c r="AJ13" s="146">
        <v>832.0</v>
      </c>
      <c r="AK13" s="155" t="s">
        <v>202</v>
      </c>
      <c r="AL13" s="151" t="s">
        <v>22</v>
      </c>
      <c r="AM13" s="151" t="s">
        <v>22</v>
      </c>
      <c r="AN13" s="151" t="s">
        <v>155</v>
      </c>
      <c r="AO13" s="151" t="s">
        <v>80</v>
      </c>
      <c r="AP13" s="151" t="s">
        <v>80</v>
      </c>
      <c r="AQ13" s="157" t="s">
        <v>203</v>
      </c>
      <c r="AR13" s="151" t="s">
        <v>158</v>
      </c>
      <c r="AS13" s="159">
        <v>46140.0</v>
      </c>
      <c r="AT13" s="160">
        <f>Calculo!AQ13</f>
        <v>35</v>
      </c>
      <c r="AU13" s="161" t="str">
        <f>Calculo!AV13</f>
        <v>SEM-RISCO</v>
      </c>
      <c r="AV13" s="162" t="str">
        <f>Calculo!AW13</f>
        <v>LIBERADO</v>
      </c>
      <c r="AW13" s="161" t="str">
        <f>Calculo!AX13</f>
        <v>N/A</v>
      </c>
      <c r="AX13" s="161" t="str">
        <f>Calculo!K13</f>
        <v>SOLIC CONTRATO DE ENTREGA</v>
      </c>
      <c r="AY13" s="161" t="str">
        <f>Calculo!AY13</f>
        <v>CHECAGEM REVERSA</v>
      </c>
      <c r="AZ13" s="161" t="str">
        <f>Calculo!AZ13</f>
        <v>N/A</v>
      </c>
      <c r="BA13" s="163"/>
    </row>
    <row r="14" ht="12.0" customHeight="1">
      <c r="A14" s="88" t="str">
        <f>'Parâmetros'!$A$19</f>
        <v>Rel. Básico PJ</v>
      </c>
      <c r="B14" s="146">
        <v>176.0</v>
      </c>
      <c r="C14" s="146">
        <v>25175.0</v>
      </c>
      <c r="D14" s="146" t="s">
        <v>142</v>
      </c>
      <c r="E14" s="149" t="s">
        <v>204</v>
      </c>
      <c r="F14" s="151">
        <v>6402.0</v>
      </c>
      <c r="G14" s="151" t="s">
        <v>147</v>
      </c>
      <c r="H14" s="146" t="s">
        <v>22</v>
      </c>
      <c r="I14" s="146" t="s">
        <v>25</v>
      </c>
      <c r="J14" s="146" t="s">
        <v>25</v>
      </c>
      <c r="K14" s="146" t="s">
        <v>25</v>
      </c>
      <c r="L14" s="146" t="s">
        <v>22</v>
      </c>
      <c r="M14" s="146">
        <v>0.0</v>
      </c>
      <c r="N14" s="146" t="s">
        <v>173</v>
      </c>
      <c r="O14" s="146">
        <v>0.0</v>
      </c>
      <c r="P14" s="146" t="s">
        <v>22</v>
      </c>
      <c r="Q14" s="146">
        <v>100.0</v>
      </c>
      <c r="R14" s="146" t="s">
        <v>25</v>
      </c>
      <c r="S14" s="146" t="s">
        <v>25</v>
      </c>
      <c r="T14" s="146" t="s">
        <v>25</v>
      </c>
      <c r="U14" s="146" t="s">
        <v>22</v>
      </c>
      <c r="V14" s="146" t="s">
        <v>22</v>
      </c>
      <c r="W14" s="146" t="s">
        <v>25</v>
      </c>
      <c r="X14" s="146" t="s">
        <v>22</v>
      </c>
      <c r="Y14" s="146" t="s">
        <v>25</v>
      </c>
      <c r="Z14" s="146" t="s">
        <v>25</v>
      </c>
      <c r="AA14" s="146" t="s">
        <v>22</v>
      </c>
      <c r="AB14" s="153">
        <v>43642.0</v>
      </c>
      <c r="AC14" s="146" t="s">
        <v>25</v>
      </c>
      <c r="AD14" s="151" t="s">
        <v>205</v>
      </c>
      <c r="AE14" s="151" t="s">
        <v>22</v>
      </c>
      <c r="AF14" s="151" t="s">
        <v>25</v>
      </c>
      <c r="AG14" s="151" t="s">
        <v>25</v>
      </c>
      <c r="AH14" s="151" t="s">
        <v>25</v>
      </c>
      <c r="AI14" s="151">
        <v>0.0</v>
      </c>
      <c r="AJ14" s="146">
        <v>902.0</v>
      </c>
      <c r="AK14" s="155" t="s">
        <v>206</v>
      </c>
      <c r="AL14" s="151" t="s">
        <v>22</v>
      </c>
      <c r="AM14" s="151" t="s">
        <v>22</v>
      </c>
      <c r="AN14" s="151" t="s">
        <v>155</v>
      </c>
      <c r="AO14" s="151" t="s">
        <v>80</v>
      </c>
      <c r="AP14" s="151" t="s">
        <v>80</v>
      </c>
      <c r="AQ14" s="157"/>
      <c r="AR14" s="151" t="s">
        <v>158</v>
      </c>
      <c r="AS14" s="159">
        <v>46140.0</v>
      </c>
      <c r="AT14" s="160">
        <f>Calculo!AQ14</f>
        <v>24</v>
      </c>
      <c r="AU14" s="161" t="str">
        <f>Calculo!AV14</f>
        <v>SEM-RISCO</v>
      </c>
      <c r="AV14" s="162" t="str">
        <f>Calculo!AW14</f>
        <v>LIBERADO</v>
      </c>
      <c r="AW14" s="161" t="str">
        <f>Calculo!AX14</f>
        <v>SOLICITAR PED COMPRA</v>
      </c>
      <c r="AX14" s="161" t="str">
        <f>Calculo!K14</f>
        <v>SOLIC CONTRATO DE ENTREGA</v>
      </c>
      <c r="AY14" s="161" t="str">
        <f>Calculo!AY14</f>
        <v>CHECAGEM REVERSA</v>
      </c>
      <c r="AZ14" s="161" t="str">
        <f>Calculo!AZ14</f>
        <v>N/A</v>
      </c>
      <c r="BA14" s="163"/>
    </row>
    <row r="15" ht="12.0" customHeight="1">
      <c r="A15" s="88" t="str">
        <f>'Parâmetros'!$A$19</f>
        <v>Rel. Básico PJ</v>
      </c>
      <c r="B15" s="146">
        <v>175.0</v>
      </c>
      <c r="C15" s="146">
        <v>25079.0</v>
      </c>
      <c r="D15" s="146" t="s">
        <v>142</v>
      </c>
      <c r="E15" s="149" t="s">
        <v>207</v>
      </c>
      <c r="F15" s="151">
        <v>6402.0</v>
      </c>
      <c r="G15" s="151" t="s">
        <v>147</v>
      </c>
      <c r="H15" s="146" t="s">
        <v>22</v>
      </c>
      <c r="I15" s="146" t="s">
        <v>25</v>
      </c>
      <c r="J15" s="146" t="s">
        <v>25</v>
      </c>
      <c r="K15" s="146" t="s">
        <v>25</v>
      </c>
      <c r="L15" s="146" t="s">
        <v>22</v>
      </c>
      <c r="M15" s="146" t="s">
        <v>25</v>
      </c>
      <c r="N15" s="146" t="s">
        <v>208</v>
      </c>
      <c r="O15" s="146">
        <v>0.0</v>
      </c>
      <c r="P15" s="146" t="s">
        <v>25</v>
      </c>
      <c r="Q15" s="146">
        <v>100.0</v>
      </c>
      <c r="R15" s="146" t="s">
        <v>25</v>
      </c>
      <c r="S15" s="146" t="s">
        <v>25</v>
      </c>
      <c r="T15" s="146" t="s">
        <v>25</v>
      </c>
      <c r="U15" s="146" t="s">
        <v>22</v>
      </c>
      <c r="V15" s="146" t="s">
        <v>22</v>
      </c>
      <c r="W15" s="146" t="s">
        <v>25</v>
      </c>
      <c r="X15" s="146" t="s">
        <v>22</v>
      </c>
      <c r="Y15" s="146" t="s">
        <v>22</v>
      </c>
      <c r="Z15" s="146" t="s">
        <v>25</v>
      </c>
      <c r="AA15" s="146" t="s">
        <v>22</v>
      </c>
      <c r="AB15" s="153">
        <v>31400.0</v>
      </c>
      <c r="AC15" s="146" t="s">
        <v>25</v>
      </c>
      <c r="AD15" s="151" t="s">
        <v>209</v>
      </c>
      <c r="AE15" s="151" t="s">
        <v>22</v>
      </c>
      <c r="AF15" s="151" t="s">
        <v>22</v>
      </c>
      <c r="AG15" s="151" t="s">
        <v>25</v>
      </c>
      <c r="AH15" s="151" t="s">
        <v>25</v>
      </c>
      <c r="AI15" s="151">
        <v>8068.54</v>
      </c>
      <c r="AJ15" s="146">
        <v>850.0</v>
      </c>
      <c r="AK15" s="155" t="s">
        <v>210</v>
      </c>
      <c r="AL15" s="151" t="s">
        <v>22</v>
      </c>
      <c r="AM15" s="151" t="s">
        <v>22</v>
      </c>
      <c r="AN15" s="151" t="s">
        <v>155</v>
      </c>
      <c r="AO15" s="151" t="s">
        <v>80</v>
      </c>
      <c r="AP15" s="151" t="s">
        <v>80</v>
      </c>
      <c r="AQ15" s="164"/>
      <c r="AR15" s="151" t="s">
        <v>158</v>
      </c>
      <c r="AS15" s="159">
        <v>46141.0</v>
      </c>
      <c r="AT15" s="160">
        <f>Calculo!AQ15</f>
        <v>27</v>
      </c>
      <c r="AU15" s="161" t="str">
        <f>Calculo!AV15</f>
        <v>SEM-RISCO</v>
      </c>
      <c r="AV15" s="162" t="str">
        <f>Calculo!AW15</f>
        <v>LIBERADO</v>
      </c>
      <c r="AW15" s="161" t="str">
        <f>Calculo!AX15</f>
        <v>SOLICITAR PED COMPRA</v>
      </c>
      <c r="AX15" s="161" t="str">
        <f>Calculo!K15</f>
        <v>SOLIC CONTRATO DE ENTREGA</v>
      </c>
      <c r="AY15" s="161" t="str">
        <f>Calculo!AY15</f>
        <v>CHECAGEM REVERSA</v>
      </c>
      <c r="AZ15" s="161" t="str">
        <f>Calculo!AZ15</f>
        <v>N/A</v>
      </c>
      <c r="BA15" s="163"/>
    </row>
    <row r="16" ht="12.0" customHeight="1">
      <c r="A16" s="88" t="str">
        <f>'Parâmetros'!$A$19</f>
        <v>Rel. Básico PJ</v>
      </c>
      <c r="B16" s="146">
        <v>177.0</v>
      </c>
      <c r="C16" s="146">
        <v>25159.0</v>
      </c>
      <c r="D16" s="146" t="s">
        <v>142</v>
      </c>
      <c r="E16" s="149" t="s">
        <v>211</v>
      </c>
      <c r="F16" s="151">
        <v>4103.1</v>
      </c>
      <c r="G16" s="151" t="s">
        <v>147</v>
      </c>
      <c r="H16" s="146" t="s">
        <v>22</v>
      </c>
      <c r="I16" s="146" t="s">
        <v>25</v>
      </c>
      <c r="J16" s="146" t="s">
        <v>25</v>
      </c>
      <c r="K16" s="146" t="s">
        <v>25</v>
      </c>
      <c r="L16" s="146" t="s">
        <v>22</v>
      </c>
      <c r="M16" s="146" t="s">
        <v>22</v>
      </c>
      <c r="N16" s="146" t="s">
        <v>173</v>
      </c>
      <c r="O16" s="146">
        <v>5.0</v>
      </c>
      <c r="P16" s="146" t="s">
        <v>25</v>
      </c>
      <c r="Q16" s="146">
        <v>100.0</v>
      </c>
      <c r="R16" s="146" t="s">
        <v>25</v>
      </c>
      <c r="S16" s="146" t="s">
        <v>25</v>
      </c>
      <c r="T16" s="146" t="s">
        <v>25</v>
      </c>
      <c r="U16" s="146" t="s">
        <v>22</v>
      </c>
      <c r="V16" s="146" t="s">
        <v>22</v>
      </c>
      <c r="W16" s="146" t="s">
        <v>25</v>
      </c>
      <c r="X16" s="146" t="s">
        <v>22</v>
      </c>
      <c r="Y16" s="146" t="s">
        <v>22</v>
      </c>
      <c r="Z16" s="146" t="s">
        <v>25</v>
      </c>
      <c r="AA16" s="146" t="s">
        <v>22</v>
      </c>
      <c r="AB16" s="153">
        <v>35607.0</v>
      </c>
      <c r="AC16" s="146" t="s">
        <v>25</v>
      </c>
      <c r="AD16" s="151" t="s">
        <v>212</v>
      </c>
      <c r="AE16" s="151" t="s">
        <v>22</v>
      </c>
      <c r="AF16" s="151" t="s">
        <v>25</v>
      </c>
      <c r="AG16" s="151" t="s">
        <v>25</v>
      </c>
      <c r="AH16" s="151" t="s">
        <v>25</v>
      </c>
      <c r="AI16" s="151">
        <v>0.0</v>
      </c>
      <c r="AJ16" s="146">
        <v>639.0</v>
      </c>
      <c r="AK16" s="155" t="s">
        <v>213</v>
      </c>
      <c r="AL16" s="151" t="s">
        <v>22</v>
      </c>
      <c r="AM16" s="151" t="s">
        <v>22</v>
      </c>
      <c r="AN16" s="151" t="s">
        <v>155</v>
      </c>
      <c r="AO16" s="151" t="s">
        <v>80</v>
      </c>
      <c r="AP16" s="151" t="s">
        <v>80</v>
      </c>
      <c r="AQ16" s="157"/>
      <c r="AR16" s="151" t="s">
        <v>158</v>
      </c>
      <c r="AS16" s="159">
        <v>46141.0</v>
      </c>
      <c r="AT16" s="160">
        <f>Calculo!AQ16</f>
        <v>42</v>
      </c>
      <c r="AU16" s="161" t="str">
        <f>Calculo!AV16</f>
        <v>SEM-RISCO</v>
      </c>
      <c r="AV16" s="162" t="str">
        <f>Calculo!AW16</f>
        <v>LIBERADO</v>
      </c>
      <c r="AW16" s="161" t="str">
        <f>Calculo!AX16</f>
        <v>N/A</v>
      </c>
      <c r="AX16" s="161" t="str">
        <f>Calculo!K16</f>
        <v>SOLIC CONTRATO DE ENTREGA</v>
      </c>
      <c r="AY16" s="161" t="str">
        <f>Calculo!AY16</f>
        <v>N/A</v>
      </c>
      <c r="AZ16" s="161" t="str">
        <f>Calculo!AZ16</f>
        <v>N/A</v>
      </c>
      <c r="BA16" s="163"/>
    </row>
    <row r="17" ht="12.0" customHeight="1">
      <c r="A17" s="88" t="str">
        <f>'Parâmetros'!$A$19</f>
        <v>Rel. Básico PJ</v>
      </c>
      <c r="B17" s="146">
        <v>178.0</v>
      </c>
      <c r="C17" s="146">
        <v>24981.0</v>
      </c>
      <c r="D17" s="146" t="s">
        <v>142</v>
      </c>
      <c r="E17" s="149" t="s">
        <v>214</v>
      </c>
      <c r="F17" s="151">
        <v>23405.0</v>
      </c>
      <c r="G17" s="151" t="s">
        <v>147</v>
      </c>
      <c r="H17" s="146" t="s">
        <v>22</v>
      </c>
      <c r="I17" s="146" t="s">
        <v>22</v>
      </c>
      <c r="J17" s="146" t="s">
        <v>25</v>
      </c>
      <c r="K17" s="146" t="s">
        <v>25</v>
      </c>
      <c r="L17" s="146" t="s">
        <v>22</v>
      </c>
      <c r="M17" s="146" t="s">
        <v>22</v>
      </c>
      <c r="N17" s="146" t="s">
        <v>173</v>
      </c>
      <c r="O17" s="146">
        <v>5.0</v>
      </c>
      <c r="P17" s="146" t="s">
        <v>22</v>
      </c>
      <c r="Q17" s="146">
        <v>100.0</v>
      </c>
      <c r="R17" s="146" t="s">
        <v>25</v>
      </c>
      <c r="S17" s="146" t="s">
        <v>25</v>
      </c>
      <c r="T17" s="146" t="s">
        <v>25</v>
      </c>
      <c r="U17" s="146" t="s">
        <v>22</v>
      </c>
      <c r="V17" s="146" t="s">
        <v>22</v>
      </c>
      <c r="W17" s="146" t="s">
        <v>25</v>
      </c>
      <c r="X17" s="146" t="s">
        <v>22</v>
      </c>
      <c r="Y17" s="146" t="s">
        <v>22</v>
      </c>
      <c r="Z17" s="146" t="s">
        <v>25</v>
      </c>
      <c r="AA17" s="146" t="s">
        <v>22</v>
      </c>
      <c r="AB17" s="153">
        <v>30124.0</v>
      </c>
      <c r="AC17" s="146" t="s">
        <v>22</v>
      </c>
      <c r="AD17" s="151" t="s">
        <v>192</v>
      </c>
      <c r="AE17" s="151" t="s">
        <v>22</v>
      </c>
      <c r="AF17" s="151" t="s">
        <v>22</v>
      </c>
      <c r="AG17" s="151" t="s">
        <v>25</v>
      </c>
      <c r="AH17" s="151" t="s">
        <v>25</v>
      </c>
      <c r="AI17" s="151">
        <v>2607177.99</v>
      </c>
      <c r="AJ17" s="146"/>
      <c r="AK17" s="155" t="s">
        <v>193</v>
      </c>
      <c r="AL17" s="151" t="s">
        <v>22</v>
      </c>
      <c r="AM17" s="151" t="s">
        <v>22</v>
      </c>
      <c r="AN17" s="151" t="s">
        <v>155</v>
      </c>
      <c r="AO17" s="151" t="s">
        <v>80</v>
      </c>
      <c r="AP17" s="151" t="s">
        <v>80</v>
      </c>
      <c r="AQ17" s="164"/>
      <c r="AR17" s="151" t="s">
        <v>158</v>
      </c>
      <c r="AS17" s="159">
        <v>46142.0</v>
      </c>
      <c r="AT17" s="160">
        <f>Calculo!AQ17</f>
        <v>19</v>
      </c>
      <c r="AU17" s="161" t="str">
        <f>Calculo!AV17</f>
        <v>SEM-RISCO</v>
      </c>
      <c r="AV17" s="162" t="str">
        <f>Calculo!AW17</f>
        <v>LIBERADO</v>
      </c>
      <c r="AW17" s="161" t="str">
        <f>Calculo!AX17</f>
        <v>SOLICITAR PED COMPRA</v>
      </c>
      <c r="AX17" s="161" t="str">
        <f>Calculo!K17</f>
        <v>SOLIC CONTRATO DE ENTREGA</v>
      </c>
      <c r="AY17" s="161" t="str">
        <f>Calculo!AY17</f>
        <v>N/A</v>
      </c>
      <c r="AZ17" s="161" t="str">
        <f>Calculo!AZ17</f>
        <v>N/A</v>
      </c>
      <c r="BA17" s="163"/>
    </row>
    <row r="18" ht="12.0" customHeight="1">
      <c r="A18" s="88" t="str">
        <f>'Parâmetros'!$A$19</f>
        <v>Rel. Básico PJ</v>
      </c>
      <c r="B18" s="146">
        <v>466.0</v>
      </c>
      <c r="C18" s="146">
        <v>25024.0</v>
      </c>
      <c r="D18" s="146" t="s">
        <v>176</v>
      </c>
      <c r="E18" s="149" t="s">
        <v>215</v>
      </c>
      <c r="F18" s="151">
        <v>4990.0</v>
      </c>
      <c r="G18" s="151" t="s">
        <v>147</v>
      </c>
      <c r="H18" s="146" t="s">
        <v>22</v>
      </c>
      <c r="I18" s="146" t="s">
        <v>25</v>
      </c>
      <c r="J18" s="146" t="s">
        <v>25</v>
      </c>
      <c r="K18" s="146" t="s">
        <v>25</v>
      </c>
      <c r="L18" s="146" t="s">
        <v>25</v>
      </c>
      <c r="M18" s="146" t="s">
        <v>22</v>
      </c>
      <c r="N18" s="146" t="s">
        <v>173</v>
      </c>
      <c r="O18" s="146" t="s">
        <v>140</v>
      </c>
      <c r="P18" s="146" t="s">
        <v>25</v>
      </c>
      <c r="Q18" s="146">
        <v>100.0</v>
      </c>
      <c r="R18" s="146" t="s">
        <v>25</v>
      </c>
      <c r="S18" s="146" t="s">
        <v>22</v>
      </c>
      <c r="T18" s="146" t="s">
        <v>22</v>
      </c>
      <c r="U18" s="146" t="s">
        <v>22</v>
      </c>
      <c r="V18" s="146" t="s">
        <v>22</v>
      </c>
      <c r="W18" s="146" t="s">
        <v>25</v>
      </c>
      <c r="X18" s="146" t="s">
        <v>22</v>
      </c>
      <c r="Y18" s="146" t="s">
        <v>22</v>
      </c>
      <c r="Z18" s="146" t="s">
        <v>25</v>
      </c>
      <c r="AA18" s="146" t="s">
        <v>22</v>
      </c>
      <c r="AB18" s="153">
        <v>37971.0</v>
      </c>
      <c r="AC18" s="146" t="s">
        <v>22</v>
      </c>
      <c r="AD18" s="151" t="s">
        <v>216</v>
      </c>
      <c r="AE18" s="151" t="s">
        <v>22</v>
      </c>
      <c r="AF18" s="151" t="s">
        <v>22</v>
      </c>
      <c r="AG18" s="151" t="s">
        <v>25</v>
      </c>
      <c r="AH18" s="151" t="s">
        <v>22</v>
      </c>
      <c r="AI18" s="151">
        <v>4.23792564E7</v>
      </c>
      <c r="AJ18" s="146">
        <v>791.0</v>
      </c>
      <c r="AK18" s="155" t="s">
        <v>217</v>
      </c>
      <c r="AL18" s="151" t="s">
        <v>22</v>
      </c>
      <c r="AM18" s="151" t="s">
        <v>22</v>
      </c>
      <c r="AN18" s="151" t="s">
        <v>155</v>
      </c>
      <c r="AO18" s="151" t="s">
        <v>80</v>
      </c>
      <c r="AP18" s="151" t="s">
        <v>80</v>
      </c>
      <c r="AQ18" s="164"/>
      <c r="AR18" s="151" t="s">
        <v>158</v>
      </c>
      <c r="AS18" s="159">
        <v>46142.0</v>
      </c>
      <c r="AT18" s="160">
        <f>Calculo!AQ18</f>
        <v>52</v>
      </c>
      <c r="AU18" s="161" t="str">
        <f>Calculo!AV18</f>
        <v>SEM-RISCO</v>
      </c>
      <c r="AV18" s="162" t="str">
        <f>Calculo!AW18</f>
        <v>LIBERADO</v>
      </c>
      <c r="AW18" s="161" t="str">
        <f>Calculo!AX18</f>
        <v>N/A</v>
      </c>
      <c r="AX18" s="161" t="str">
        <f>Calculo!K18</f>
        <v>N/A</v>
      </c>
      <c r="AY18" s="161" t="str">
        <f>Calculo!AY18</f>
        <v>N/A</v>
      </c>
      <c r="AZ18" s="161" t="str">
        <f>Calculo!AZ18</f>
        <v>N/A</v>
      </c>
      <c r="BA18" s="163"/>
    </row>
    <row r="19" ht="12.0" customHeight="1">
      <c r="A19" s="88" t="str">
        <f>'Parâmetros'!$A$19</f>
        <v>Rel. Básico PJ</v>
      </c>
      <c r="B19" s="146">
        <v>182.0</v>
      </c>
      <c r="C19" s="146">
        <v>24852.0</v>
      </c>
      <c r="D19" s="146" t="s">
        <v>142</v>
      </c>
      <c r="E19" s="149" t="s">
        <v>218</v>
      </c>
      <c r="F19" s="151">
        <v>6753.14</v>
      </c>
      <c r="G19" s="151" t="s">
        <v>147</v>
      </c>
      <c r="H19" s="146" t="s">
        <v>22</v>
      </c>
      <c r="I19" s="146" t="s">
        <v>25</v>
      </c>
      <c r="J19" s="146" t="s">
        <v>25</v>
      </c>
      <c r="K19" s="146" t="s">
        <v>25</v>
      </c>
      <c r="L19" s="146" t="s">
        <v>22</v>
      </c>
      <c r="M19" s="146" t="s">
        <v>22</v>
      </c>
      <c r="N19" s="146" t="s">
        <v>173</v>
      </c>
      <c r="O19" s="146">
        <v>5.0</v>
      </c>
      <c r="P19" s="146" t="s">
        <v>25</v>
      </c>
      <c r="Q19" s="146">
        <v>100.0</v>
      </c>
      <c r="R19" s="146" t="s">
        <v>25</v>
      </c>
      <c r="S19" s="146" t="s">
        <v>22</v>
      </c>
      <c r="T19" s="146" t="s">
        <v>25</v>
      </c>
      <c r="U19" s="146" t="s">
        <v>22</v>
      </c>
      <c r="V19" s="146" t="s">
        <v>22</v>
      </c>
      <c r="W19" s="146" t="s">
        <v>25</v>
      </c>
      <c r="X19" s="146" t="s">
        <v>22</v>
      </c>
      <c r="Y19" s="146" t="s">
        <v>25</v>
      </c>
      <c r="Z19" s="146" t="s">
        <v>25</v>
      </c>
      <c r="AA19" s="146" t="s">
        <v>22</v>
      </c>
      <c r="AB19" s="153">
        <v>31315.0</v>
      </c>
      <c r="AC19" s="146" t="s">
        <v>22</v>
      </c>
      <c r="AD19" s="151" t="s">
        <v>219</v>
      </c>
      <c r="AE19" s="151" t="s">
        <v>22</v>
      </c>
      <c r="AF19" s="151" t="s">
        <v>22</v>
      </c>
      <c r="AG19" s="151" t="s">
        <v>25</v>
      </c>
      <c r="AH19" s="151" t="s">
        <v>22</v>
      </c>
      <c r="AI19" s="151">
        <v>1821.14</v>
      </c>
      <c r="AJ19" s="146">
        <v>868.0</v>
      </c>
      <c r="AK19" s="155" t="s">
        <v>220</v>
      </c>
      <c r="AL19" s="151" t="s">
        <v>22</v>
      </c>
      <c r="AM19" s="151" t="s">
        <v>22</v>
      </c>
      <c r="AN19" s="151" t="s">
        <v>155</v>
      </c>
      <c r="AO19" s="151" t="s">
        <v>80</v>
      </c>
      <c r="AP19" s="151" t="s">
        <v>80</v>
      </c>
      <c r="AQ19" s="157"/>
      <c r="AR19" s="151" t="s">
        <v>158</v>
      </c>
      <c r="AS19" s="159">
        <v>46146.0</v>
      </c>
      <c r="AT19" s="160">
        <f>Calculo!AQ19</f>
        <v>39</v>
      </c>
      <c r="AU19" s="161" t="str">
        <f>Calculo!AV19</f>
        <v>SEM-RISCO</v>
      </c>
      <c r="AV19" s="162" t="str">
        <f>Calculo!AW19</f>
        <v>LIBERADO</v>
      </c>
      <c r="AW19" s="161" t="str">
        <f>Calculo!AX19</f>
        <v>SOLICITAR PED COMPRA</v>
      </c>
      <c r="AX19" s="161" t="str">
        <f>Calculo!K19</f>
        <v>SOLIC CONTRATO DE ENTREGA</v>
      </c>
      <c r="AY19" s="161" t="str">
        <f>Calculo!AY19</f>
        <v>N/A</v>
      </c>
      <c r="AZ19" s="161" t="str">
        <f>Calculo!AZ19</f>
        <v>N/A</v>
      </c>
      <c r="BA19" s="163"/>
    </row>
    <row r="20" ht="12.0" customHeight="1">
      <c r="A20" s="88" t="str">
        <f>'Parâmetros'!$A$19</f>
        <v>Rel. Básico PJ</v>
      </c>
      <c r="B20" s="146">
        <v>185.0</v>
      </c>
      <c r="C20" s="146">
        <v>23478.0</v>
      </c>
      <c r="D20" s="146" t="s">
        <v>142</v>
      </c>
      <c r="E20" s="149" t="s">
        <v>221</v>
      </c>
      <c r="F20" s="151">
        <v>7870.0</v>
      </c>
      <c r="G20" s="151" t="s">
        <v>147</v>
      </c>
      <c r="H20" s="146" t="s">
        <v>22</v>
      </c>
      <c r="I20" s="146" t="s">
        <v>25</v>
      </c>
      <c r="J20" s="146" t="s">
        <v>25</v>
      </c>
      <c r="K20" s="146" t="s">
        <v>25</v>
      </c>
      <c r="L20" s="146" t="s">
        <v>22</v>
      </c>
      <c r="M20" s="146" t="s">
        <v>22</v>
      </c>
      <c r="N20" s="146" t="s">
        <v>222</v>
      </c>
      <c r="O20" s="146" t="s">
        <v>140</v>
      </c>
      <c r="P20" s="146" t="s">
        <v>22</v>
      </c>
      <c r="Q20" s="146">
        <v>100.0</v>
      </c>
      <c r="R20" s="146" t="s">
        <v>25</v>
      </c>
      <c r="S20" s="146" t="s">
        <v>22</v>
      </c>
      <c r="T20" s="146" t="s">
        <v>25</v>
      </c>
      <c r="U20" s="146" t="s">
        <v>22</v>
      </c>
      <c r="V20" s="146" t="s">
        <v>22</v>
      </c>
      <c r="W20" s="146" t="s">
        <v>22</v>
      </c>
      <c r="X20" s="146" t="s">
        <v>22</v>
      </c>
      <c r="Y20" s="146" t="s">
        <v>25</v>
      </c>
      <c r="Z20" s="146" t="s">
        <v>25</v>
      </c>
      <c r="AA20" s="146" t="s">
        <v>22</v>
      </c>
      <c r="AB20" s="153">
        <v>41884.0</v>
      </c>
      <c r="AC20" s="146" t="s">
        <v>22</v>
      </c>
      <c r="AD20" s="151" t="s">
        <v>223</v>
      </c>
      <c r="AE20" s="151" t="s">
        <v>22</v>
      </c>
      <c r="AF20" s="151" t="s">
        <v>22</v>
      </c>
      <c r="AG20" s="151" t="s">
        <v>25</v>
      </c>
      <c r="AH20" s="151" t="s">
        <v>25</v>
      </c>
      <c r="AI20" s="151">
        <v>9799.56</v>
      </c>
      <c r="AJ20" s="146"/>
      <c r="AK20" s="155" t="s">
        <v>224</v>
      </c>
      <c r="AL20" s="151" t="s">
        <v>22</v>
      </c>
      <c r="AM20" s="151" t="s">
        <v>22</v>
      </c>
      <c r="AN20" s="151" t="s">
        <v>155</v>
      </c>
      <c r="AO20" s="151" t="s">
        <v>80</v>
      </c>
      <c r="AP20" s="151" t="s">
        <v>80</v>
      </c>
      <c r="AQ20" s="157"/>
      <c r="AR20" s="151" t="s">
        <v>158</v>
      </c>
      <c r="AS20" s="159">
        <v>46147.0</v>
      </c>
      <c r="AT20" s="160">
        <f>Calculo!AQ20</f>
        <v>9</v>
      </c>
      <c r="AU20" s="161" t="str">
        <f>Calculo!AV20</f>
        <v>SEM-RISCO</v>
      </c>
      <c r="AV20" s="162" t="str">
        <f>Calculo!AW20</f>
        <v>LIBERADO</v>
      </c>
      <c r="AW20" s="161" t="str">
        <f>Calculo!AX20</f>
        <v>SOLICITAR PED COMPRA</v>
      </c>
      <c r="AX20" s="161" t="str">
        <f>Calculo!K20</f>
        <v>SOLIC CONTRATO DE ENTREGA</v>
      </c>
      <c r="AY20" s="161" t="str">
        <f>Calculo!AY20</f>
        <v>N/A</v>
      </c>
      <c r="AZ20" s="161" t="str">
        <f>Calculo!AZ20</f>
        <v>N/A</v>
      </c>
      <c r="BA20" s="163"/>
    </row>
    <row r="21" ht="12.0" customHeight="1">
      <c r="A21" s="88" t="str">
        <f>'Parâmetros'!$A$19</f>
        <v>Rel. Básico PJ</v>
      </c>
      <c r="B21" s="146">
        <v>186.0</v>
      </c>
      <c r="C21" s="146">
        <v>25163.0</v>
      </c>
      <c r="D21" s="146" t="s">
        <v>142</v>
      </c>
      <c r="E21" s="149" t="s">
        <v>225</v>
      </c>
      <c r="F21" s="151">
        <v>1794.0</v>
      </c>
      <c r="G21" s="151" t="s">
        <v>147</v>
      </c>
      <c r="H21" s="146" t="s">
        <v>22</v>
      </c>
      <c r="I21" s="146" t="s">
        <v>25</v>
      </c>
      <c r="J21" s="146" t="s">
        <v>25</v>
      </c>
      <c r="K21" s="146" t="s">
        <v>25</v>
      </c>
      <c r="L21" s="146" t="s">
        <v>25</v>
      </c>
      <c r="M21" s="146" t="s">
        <v>22</v>
      </c>
      <c r="N21" s="146" t="s">
        <v>173</v>
      </c>
      <c r="O21" s="146">
        <v>5.0</v>
      </c>
      <c r="P21" s="146" t="s">
        <v>25</v>
      </c>
      <c r="Q21" s="146">
        <v>100.0</v>
      </c>
      <c r="R21" s="146" t="s">
        <v>25</v>
      </c>
      <c r="S21" s="146" t="s">
        <v>22</v>
      </c>
      <c r="T21" s="146" t="s">
        <v>25</v>
      </c>
      <c r="U21" s="146" t="s">
        <v>22</v>
      </c>
      <c r="V21" s="146" t="s">
        <v>22</v>
      </c>
      <c r="W21" s="146" t="s">
        <v>22</v>
      </c>
      <c r="X21" s="146" t="s">
        <v>22</v>
      </c>
      <c r="Y21" s="146" t="s">
        <v>25</v>
      </c>
      <c r="Z21" s="146" t="s">
        <v>25</v>
      </c>
      <c r="AA21" s="146" t="s">
        <v>22</v>
      </c>
      <c r="AB21" s="153">
        <v>42496.0</v>
      </c>
      <c r="AC21" s="146" t="s">
        <v>25</v>
      </c>
      <c r="AD21" s="151" t="s">
        <v>226</v>
      </c>
      <c r="AE21" s="151" t="s">
        <v>22</v>
      </c>
      <c r="AF21" s="151" t="s">
        <v>25</v>
      </c>
      <c r="AG21" s="151" t="s">
        <v>25</v>
      </c>
      <c r="AH21" s="151" t="s">
        <v>22</v>
      </c>
      <c r="AI21" s="151">
        <v>11488.72</v>
      </c>
      <c r="AJ21" s="146">
        <v>623.0</v>
      </c>
      <c r="AK21" s="155" t="s">
        <v>227</v>
      </c>
      <c r="AL21" s="151" t="s">
        <v>22</v>
      </c>
      <c r="AM21" s="151" t="s">
        <v>22</v>
      </c>
      <c r="AN21" s="151" t="s">
        <v>155</v>
      </c>
      <c r="AO21" s="151" t="s">
        <v>80</v>
      </c>
      <c r="AP21" s="151" t="s">
        <v>80</v>
      </c>
      <c r="AQ21" s="157"/>
      <c r="AR21" s="151" t="s">
        <v>158</v>
      </c>
      <c r="AS21" s="159">
        <v>46147.0</v>
      </c>
      <c r="AT21" s="160">
        <f>Calculo!AQ21</f>
        <v>12</v>
      </c>
      <c r="AU21" s="161" t="str">
        <f>Calculo!AV21</f>
        <v>SEM-RISCO</v>
      </c>
      <c r="AV21" s="162" t="str">
        <f>Calculo!AW21</f>
        <v>LIBERADO</v>
      </c>
      <c r="AW21" s="161" t="str">
        <f>Calculo!AX21</f>
        <v>N/A</v>
      </c>
      <c r="AX21" s="161" t="str">
        <f>Calculo!K21</f>
        <v>N/A</v>
      </c>
      <c r="AY21" s="161" t="str">
        <f>Calculo!AY21</f>
        <v>N/A</v>
      </c>
      <c r="AZ21" s="161" t="str">
        <f>Calculo!AZ21</f>
        <v>N/A</v>
      </c>
      <c r="BA21" s="163"/>
    </row>
    <row r="22" ht="12.0" customHeight="1">
      <c r="A22" s="88" t="str">
        <f>'Parâmetros'!$A$19</f>
        <v>Rel. Básico PJ</v>
      </c>
      <c r="B22" s="146">
        <v>187.0</v>
      </c>
      <c r="C22" s="146">
        <v>25247.0</v>
      </c>
      <c r="D22" s="146" t="s">
        <v>142</v>
      </c>
      <c r="E22" s="149" t="s">
        <v>228</v>
      </c>
      <c r="F22" s="151">
        <v>6402.0</v>
      </c>
      <c r="G22" s="151" t="s">
        <v>147</v>
      </c>
      <c r="H22" s="146" t="s">
        <v>22</v>
      </c>
      <c r="I22" s="146" t="s">
        <v>25</v>
      </c>
      <c r="J22" s="146" t="s">
        <v>25</v>
      </c>
      <c r="K22" s="146" t="s">
        <v>25</v>
      </c>
      <c r="L22" s="146" t="s">
        <v>22</v>
      </c>
      <c r="M22" s="146">
        <v>0.0</v>
      </c>
      <c r="N22" s="146" t="s">
        <v>229</v>
      </c>
      <c r="O22" s="146" t="s">
        <v>140</v>
      </c>
      <c r="P22" s="146" t="s">
        <v>25</v>
      </c>
      <c r="Q22" s="146">
        <v>100.0</v>
      </c>
      <c r="R22" s="146" t="s">
        <v>25</v>
      </c>
      <c r="S22" s="146" t="s">
        <v>22</v>
      </c>
      <c r="T22" s="146" t="s">
        <v>25</v>
      </c>
      <c r="U22" s="146" t="s">
        <v>22</v>
      </c>
      <c r="V22" s="146" t="s">
        <v>22</v>
      </c>
      <c r="W22" s="146" t="s">
        <v>25</v>
      </c>
      <c r="X22" s="146" t="s">
        <v>22</v>
      </c>
      <c r="Y22" s="146" t="s">
        <v>22</v>
      </c>
      <c r="Z22" s="146" t="s">
        <v>25</v>
      </c>
      <c r="AA22" s="146" t="s">
        <v>22</v>
      </c>
      <c r="AB22" s="153">
        <v>45125.0</v>
      </c>
      <c r="AC22" s="146" t="s">
        <v>25</v>
      </c>
      <c r="AD22" s="151" t="s">
        <v>230</v>
      </c>
      <c r="AE22" s="151" t="s">
        <v>22</v>
      </c>
      <c r="AF22" s="151" t="s">
        <v>25</v>
      </c>
      <c r="AG22" s="151" t="s">
        <v>25</v>
      </c>
      <c r="AH22" s="151" t="s">
        <v>25</v>
      </c>
      <c r="AI22" s="151">
        <v>0.0</v>
      </c>
      <c r="AJ22" s="146">
        <v>699.0</v>
      </c>
      <c r="AK22" s="155" t="s">
        <v>231</v>
      </c>
      <c r="AL22" s="151" t="s">
        <v>22</v>
      </c>
      <c r="AM22" s="151" t="s">
        <v>22</v>
      </c>
      <c r="AN22" s="151" t="s">
        <v>155</v>
      </c>
      <c r="AO22" s="151" t="s">
        <v>80</v>
      </c>
      <c r="AP22" s="151" t="s">
        <v>80</v>
      </c>
      <c r="AQ22" s="164"/>
      <c r="AR22" s="151" t="s">
        <v>158</v>
      </c>
      <c r="AS22" s="159">
        <v>46148.0</v>
      </c>
      <c r="AT22" s="160">
        <f>Calculo!AQ22</f>
        <v>30</v>
      </c>
      <c r="AU22" s="161" t="str">
        <f>Calculo!AV22</f>
        <v>SEM-RISCO</v>
      </c>
      <c r="AV22" s="162" t="str">
        <f>Calculo!AW22</f>
        <v>LIBERADO</v>
      </c>
      <c r="AW22" s="161" t="str">
        <f>Calculo!AX22</f>
        <v>SOLICITAR PED COMPRA</v>
      </c>
      <c r="AX22" s="161" t="str">
        <f>Calculo!K22</f>
        <v>SOLIC CONTRATO DE ENTREGA</v>
      </c>
      <c r="AY22" s="161" t="str">
        <f>Calculo!AY22</f>
        <v>CHECAGEM REVERSA</v>
      </c>
      <c r="AZ22" s="161" t="str">
        <f>Calculo!AZ22</f>
        <v>N/A</v>
      </c>
      <c r="BA22" s="163"/>
    </row>
    <row r="23" ht="12.0" customHeight="1">
      <c r="A23" s="88" t="str">
        <f>'Parâmetros'!$A$19</f>
        <v>Rel. Básico PJ</v>
      </c>
      <c r="B23" s="146">
        <v>188.0</v>
      </c>
      <c r="C23" s="146">
        <v>25125.0</v>
      </c>
      <c r="D23" s="146" t="s">
        <v>142</v>
      </c>
      <c r="E23" s="149" t="s">
        <v>232</v>
      </c>
      <c r="F23" s="151">
        <v>4175.93</v>
      </c>
      <c r="G23" s="151" t="s">
        <v>147</v>
      </c>
      <c r="H23" s="146" t="s">
        <v>22</v>
      </c>
      <c r="I23" s="146" t="s">
        <v>25</v>
      </c>
      <c r="J23" s="146" t="s">
        <v>25</v>
      </c>
      <c r="K23" s="146" t="s">
        <v>25</v>
      </c>
      <c r="L23" s="146" t="s">
        <v>22</v>
      </c>
      <c r="M23" s="146" t="s">
        <v>22</v>
      </c>
      <c r="N23" s="146" t="s">
        <v>233</v>
      </c>
      <c r="O23" s="146" t="s">
        <v>140</v>
      </c>
      <c r="P23" s="146" t="s">
        <v>25</v>
      </c>
      <c r="Q23" s="146">
        <v>100.0</v>
      </c>
      <c r="R23" s="146" t="s">
        <v>25</v>
      </c>
      <c r="S23" s="146" t="s">
        <v>25</v>
      </c>
      <c r="T23" s="146" t="s">
        <v>25</v>
      </c>
      <c r="U23" s="146" t="s">
        <v>22</v>
      </c>
      <c r="V23" s="146" t="s">
        <v>22</v>
      </c>
      <c r="W23" s="146" t="s">
        <v>22</v>
      </c>
      <c r="X23" s="146" t="s">
        <v>25</v>
      </c>
      <c r="Y23" s="146" t="s">
        <v>25</v>
      </c>
      <c r="Z23" s="146" t="s">
        <v>22</v>
      </c>
      <c r="AA23" s="146" t="s">
        <v>22</v>
      </c>
      <c r="AB23" s="153">
        <v>42835.0</v>
      </c>
      <c r="AC23" s="146" t="s">
        <v>25</v>
      </c>
      <c r="AD23" s="151" t="s">
        <v>234</v>
      </c>
      <c r="AE23" s="151" t="s">
        <v>22</v>
      </c>
      <c r="AF23" s="151" t="s">
        <v>25</v>
      </c>
      <c r="AG23" s="151" t="s">
        <v>25</v>
      </c>
      <c r="AH23" s="151" t="s">
        <v>25</v>
      </c>
      <c r="AI23" s="151">
        <v>0.0</v>
      </c>
      <c r="AJ23" s="146">
        <v>598.0</v>
      </c>
      <c r="AK23" s="155" t="s">
        <v>235</v>
      </c>
      <c r="AL23" s="151" t="s">
        <v>22</v>
      </c>
      <c r="AM23" s="151" t="s">
        <v>22</v>
      </c>
      <c r="AN23" s="151" t="s">
        <v>155</v>
      </c>
      <c r="AO23" s="151" t="s">
        <v>80</v>
      </c>
      <c r="AP23" s="151" t="s">
        <v>80</v>
      </c>
      <c r="AQ23" s="164"/>
      <c r="AR23" s="151" t="s">
        <v>158</v>
      </c>
      <c r="AS23" s="159">
        <v>46149.0</v>
      </c>
      <c r="AT23" s="160">
        <f>Calculo!AQ23</f>
        <v>6</v>
      </c>
      <c r="AU23" s="161" t="str">
        <f>Calculo!AV23</f>
        <v>SEM-RISCO</v>
      </c>
      <c r="AV23" s="162" t="str">
        <f>Calculo!AW23</f>
        <v>LIBERADO</v>
      </c>
      <c r="AW23" s="161" t="str">
        <f>Calculo!AX23</f>
        <v>N/A</v>
      </c>
      <c r="AX23" s="161" t="str">
        <f>Calculo!K23</f>
        <v>SOLIC CONTRATO DE ENTREGA</v>
      </c>
      <c r="AY23" s="161" t="str">
        <f>Calculo!AY23</f>
        <v>N/A</v>
      </c>
      <c r="AZ23" s="161" t="str">
        <f>Calculo!AZ23</f>
        <v>N/A</v>
      </c>
      <c r="BA23" s="163"/>
    </row>
    <row r="24" ht="12.0" customHeight="1">
      <c r="A24" s="88" t="str">
        <f>'Parâmetros'!$A$19</f>
        <v>Rel. Básico PJ</v>
      </c>
      <c r="B24" s="146" t="s">
        <v>140</v>
      </c>
      <c r="C24" s="146" t="s">
        <v>140</v>
      </c>
      <c r="D24" s="146" t="s">
        <v>142</v>
      </c>
      <c r="E24" s="149" t="s">
        <v>140</v>
      </c>
      <c r="F24" s="151">
        <v>6402.0</v>
      </c>
      <c r="G24" s="151" t="s">
        <v>147</v>
      </c>
      <c r="H24" s="146" t="s">
        <v>22</v>
      </c>
      <c r="I24" s="146" t="s">
        <v>25</v>
      </c>
      <c r="J24" s="146" t="s">
        <v>25</v>
      </c>
      <c r="K24" s="146" t="s">
        <v>25</v>
      </c>
      <c r="L24" s="146" t="s">
        <v>22</v>
      </c>
      <c r="M24" s="146">
        <v>0.0</v>
      </c>
      <c r="N24" s="146" t="s">
        <v>173</v>
      </c>
      <c r="O24" s="146" t="s">
        <v>140</v>
      </c>
      <c r="P24" s="146" t="s">
        <v>25</v>
      </c>
      <c r="Q24" s="146">
        <v>100.0</v>
      </c>
      <c r="R24" s="146" t="s">
        <v>25</v>
      </c>
      <c r="S24" s="146" t="s">
        <v>25</v>
      </c>
      <c r="T24" s="146" t="s">
        <v>25</v>
      </c>
      <c r="U24" s="146" t="s">
        <v>22</v>
      </c>
      <c r="V24" s="146" t="s">
        <v>22</v>
      </c>
      <c r="W24" s="146" t="s">
        <v>25</v>
      </c>
      <c r="X24" s="146" t="s">
        <v>22</v>
      </c>
      <c r="Y24" s="146" t="s">
        <v>25</v>
      </c>
      <c r="Z24" s="146" t="s">
        <v>25</v>
      </c>
      <c r="AA24" s="146" t="s">
        <v>22</v>
      </c>
      <c r="AB24" s="153">
        <v>33695.0</v>
      </c>
      <c r="AC24" s="146" t="s">
        <v>25</v>
      </c>
      <c r="AD24" s="151" t="s">
        <v>236</v>
      </c>
      <c r="AE24" s="151" t="s">
        <v>22</v>
      </c>
      <c r="AF24" s="151" t="s">
        <v>25</v>
      </c>
      <c r="AG24" s="151" t="s">
        <v>25</v>
      </c>
      <c r="AH24" s="151" t="s">
        <v>25</v>
      </c>
      <c r="AI24" s="151">
        <v>0.0</v>
      </c>
      <c r="AJ24" s="146">
        <v>868.0</v>
      </c>
      <c r="AK24" s="155" t="s">
        <v>237</v>
      </c>
      <c r="AL24" s="151" t="s">
        <v>22</v>
      </c>
      <c r="AM24" s="151" t="s">
        <v>22</v>
      </c>
      <c r="AN24" s="151" t="s">
        <v>155</v>
      </c>
      <c r="AO24" s="151" t="s">
        <v>80</v>
      </c>
      <c r="AP24" s="151" t="s">
        <v>80</v>
      </c>
      <c r="AQ24" s="157" t="s">
        <v>238</v>
      </c>
      <c r="AR24" s="151" t="s">
        <v>158</v>
      </c>
      <c r="AS24" s="159">
        <v>46150.0</v>
      </c>
      <c r="AT24" s="160">
        <f>Calculo!AQ24</f>
        <v>29</v>
      </c>
      <c r="AU24" s="161" t="str">
        <f>Calculo!AV24</f>
        <v>SEM-RISCO</v>
      </c>
      <c r="AV24" s="162" t="str">
        <f>Calculo!AW24</f>
        <v>LIBERADO</v>
      </c>
      <c r="AW24" s="161" t="str">
        <f>Calculo!AX24</f>
        <v>SOLICITAR PED COMPRA</v>
      </c>
      <c r="AX24" s="161" t="str">
        <f>Calculo!K24</f>
        <v>SOLIC CONTRATO DE ENTREGA</v>
      </c>
      <c r="AY24" s="161" t="str">
        <f>Calculo!AY24</f>
        <v>CHECAGEM REVERSA</v>
      </c>
      <c r="AZ24" s="161" t="str">
        <f>Calculo!AZ24</f>
        <v>N/A</v>
      </c>
      <c r="BA24" s="163"/>
    </row>
    <row r="25" ht="12.0" customHeight="1">
      <c r="A25" s="88" t="str">
        <f>'Parâmetros'!$A$19</f>
        <v>Rel. Básico PJ</v>
      </c>
      <c r="B25" s="146">
        <v>1866.0</v>
      </c>
      <c r="C25" s="146">
        <v>25227.0</v>
      </c>
      <c r="D25" s="146" t="s">
        <v>171</v>
      </c>
      <c r="E25" s="149" t="s">
        <v>239</v>
      </c>
      <c r="F25" s="151">
        <v>965.0</v>
      </c>
      <c r="G25" s="151" t="s">
        <v>147</v>
      </c>
      <c r="H25" s="146" t="s">
        <v>22</v>
      </c>
      <c r="I25" s="146" t="s">
        <v>25</v>
      </c>
      <c r="J25" s="146" t="s">
        <v>25</v>
      </c>
      <c r="K25" s="146" t="s">
        <v>25</v>
      </c>
      <c r="L25" s="146" t="s">
        <v>25</v>
      </c>
      <c r="M25" s="146" t="s">
        <v>22</v>
      </c>
      <c r="N25" s="146" t="s">
        <v>165</v>
      </c>
      <c r="O25" s="146" t="s">
        <v>140</v>
      </c>
      <c r="P25" s="146" t="s">
        <v>22</v>
      </c>
      <c r="Q25" s="146">
        <v>100.0</v>
      </c>
      <c r="R25" s="146" t="s">
        <v>25</v>
      </c>
      <c r="S25" s="146" t="s">
        <v>22</v>
      </c>
      <c r="T25" s="146" t="s">
        <v>22</v>
      </c>
      <c r="U25" s="146" t="s">
        <v>22</v>
      </c>
      <c r="V25" s="146" t="s">
        <v>22</v>
      </c>
      <c r="W25" s="146" t="s">
        <v>25</v>
      </c>
      <c r="X25" s="146" t="s">
        <v>22</v>
      </c>
      <c r="Y25" s="146" t="s">
        <v>22</v>
      </c>
      <c r="Z25" s="146" t="s">
        <v>25</v>
      </c>
      <c r="AA25" s="146" t="s">
        <v>22</v>
      </c>
      <c r="AB25" s="153">
        <v>24343.0</v>
      </c>
      <c r="AC25" s="146" t="s">
        <v>22</v>
      </c>
      <c r="AD25" s="151" t="s">
        <v>240</v>
      </c>
      <c r="AE25" s="151" t="s">
        <v>22</v>
      </c>
      <c r="AF25" s="151" t="s">
        <v>22</v>
      </c>
      <c r="AG25" s="151" t="s">
        <v>25</v>
      </c>
      <c r="AH25" s="151" t="s">
        <v>22</v>
      </c>
      <c r="AI25" s="151">
        <v>3.012232959E7</v>
      </c>
      <c r="AJ25" s="146"/>
      <c r="AK25" s="155" t="s">
        <v>241</v>
      </c>
      <c r="AL25" s="151" t="s">
        <v>22</v>
      </c>
      <c r="AM25" s="151" t="s">
        <v>22</v>
      </c>
      <c r="AN25" s="151" t="s">
        <v>25</v>
      </c>
      <c r="AO25" s="151" t="s">
        <v>80</v>
      </c>
      <c r="AP25" s="151" t="s">
        <v>80</v>
      </c>
      <c r="AQ25" s="164"/>
      <c r="AR25" s="151" t="s">
        <v>158</v>
      </c>
      <c r="AS25" s="159">
        <v>46150.0</v>
      </c>
      <c r="AT25" s="160">
        <f>Calculo!AQ25</f>
        <v>28</v>
      </c>
      <c r="AU25" s="161" t="str">
        <f>Calculo!AV25</f>
        <v>SEM-RISCO</v>
      </c>
      <c r="AV25" s="162" t="str">
        <f>Calculo!AW25</f>
        <v>LIBERADO</v>
      </c>
      <c r="AW25" s="161" t="str">
        <f>Calculo!AX25</f>
        <v>N/A</v>
      </c>
      <c r="AX25" s="161" t="str">
        <f>Calculo!K25</f>
        <v>N/A</v>
      </c>
      <c r="AY25" s="161" t="str">
        <f>Calculo!AY25</f>
        <v>N/A</v>
      </c>
      <c r="AZ25" s="161" t="str">
        <f>Calculo!AZ25</f>
        <v>N/A</v>
      </c>
      <c r="BA25" s="163"/>
    </row>
    <row r="26" ht="12.0" customHeight="1">
      <c r="A26" s="88" t="str">
        <f>'Parâmetros'!$A$19</f>
        <v>Rel. Básico PJ</v>
      </c>
      <c r="B26" s="146">
        <v>191.0</v>
      </c>
      <c r="C26" s="146">
        <v>25203.0</v>
      </c>
      <c r="D26" s="146" t="s">
        <v>142</v>
      </c>
      <c r="E26" s="149" t="s">
        <v>242</v>
      </c>
      <c r="F26" s="151">
        <v>7003.0</v>
      </c>
      <c r="G26" s="151" t="s">
        <v>147</v>
      </c>
      <c r="H26" s="146" t="s">
        <v>22</v>
      </c>
      <c r="I26" s="146" t="s">
        <v>25</v>
      </c>
      <c r="J26" s="146" t="s">
        <v>25</v>
      </c>
      <c r="K26" s="146" t="s">
        <v>25</v>
      </c>
      <c r="L26" s="146" t="s">
        <v>22</v>
      </c>
      <c r="M26" s="146" t="s">
        <v>22</v>
      </c>
      <c r="N26" s="146" t="s">
        <v>178</v>
      </c>
      <c r="O26" s="146">
        <v>5.0</v>
      </c>
      <c r="P26" s="146" t="s">
        <v>25</v>
      </c>
      <c r="Q26" s="146">
        <v>100.0</v>
      </c>
      <c r="R26" s="146" t="s">
        <v>25</v>
      </c>
      <c r="S26" s="146" t="s">
        <v>22</v>
      </c>
      <c r="T26" s="146" t="s">
        <v>25</v>
      </c>
      <c r="U26" s="146" t="s">
        <v>22</v>
      </c>
      <c r="V26" s="146" t="s">
        <v>22</v>
      </c>
      <c r="W26" s="146" t="s">
        <v>25</v>
      </c>
      <c r="X26" s="146" t="s">
        <v>22</v>
      </c>
      <c r="Y26" s="146" t="s">
        <v>22</v>
      </c>
      <c r="Z26" s="146" t="s">
        <v>25</v>
      </c>
      <c r="AA26" s="146" t="s">
        <v>22</v>
      </c>
      <c r="AB26" s="153">
        <v>42964.0</v>
      </c>
      <c r="AC26" s="146" t="s">
        <v>25</v>
      </c>
      <c r="AD26" s="151" t="s">
        <v>243</v>
      </c>
      <c r="AE26" s="151" t="s">
        <v>22</v>
      </c>
      <c r="AF26" s="151" t="s">
        <v>25</v>
      </c>
      <c r="AG26" s="151" t="s">
        <v>25</v>
      </c>
      <c r="AH26" s="151" t="s">
        <v>25</v>
      </c>
      <c r="AI26" s="151">
        <v>0.0</v>
      </c>
      <c r="AJ26" s="146">
        <v>791.0</v>
      </c>
      <c r="AK26" s="155" t="s">
        <v>244</v>
      </c>
      <c r="AL26" s="151" t="s">
        <v>22</v>
      </c>
      <c r="AM26" s="151" t="s">
        <v>22</v>
      </c>
      <c r="AN26" s="151" t="s">
        <v>155</v>
      </c>
      <c r="AO26" s="151" t="s">
        <v>80</v>
      </c>
      <c r="AP26" s="151" t="s">
        <v>80</v>
      </c>
      <c r="AQ26" s="157"/>
      <c r="AR26" s="151" t="s">
        <v>158</v>
      </c>
      <c r="AS26" s="159">
        <v>46150.0</v>
      </c>
      <c r="AT26" s="160">
        <f>Calculo!AQ26</f>
        <v>54</v>
      </c>
      <c r="AU26" s="161" t="str">
        <f>Calculo!AV26</f>
        <v>SEM-RISCO</v>
      </c>
      <c r="AV26" s="162" t="str">
        <f>Calculo!AW26</f>
        <v>LIBERADO</v>
      </c>
      <c r="AW26" s="161" t="str">
        <f>Calculo!AX26</f>
        <v>SOLICITAR PED COMPRA</v>
      </c>
      <c r="AX26" s="161" t="str">
        <f>Calculo!K26</f>
        <v>SOLIC CONTRATO DE ENTREGA</v>
      </c>
      <c r="AY26" s="161" t="str">
        <f>Calculo!AY26</f>
        <v>N/A</v>
      </c>
      <c r="AZ26" s="161" t="str">
        <f>Calculo!AZ26</f>
        <v>N/A</v>
      </c>
      <c r="BA26" s="163"/>
    </row>
    <row r="27" ht="12.0" customHeight="1">
      <c r="A27" s="88" t="str">
        <f>'Parâmetros'!$A$19</f>
        <v>Rel. Básico PJ</v>
      </c>
      <c r="B27" s="146">
        <v>193.0</v>
      </c>
      <c r="C27" s="146">
        <v>25285.0</v>
      </c>
      <c r="D27" s="146" t="s">
        <v>142</v>
      </c>
      <c r="E27" s="149" t="s">
        <v>228</v>
      </c>
      <c r="F27" s="151">
        <v>6402.0</v>
      </c>
      <c r="G27" s="151" t="s">
        <v>147</v>
      </c>
      <c r="H27" s="146" t="s">
        <v>22</v>
      </c>
      <c r="I27" s="146" t="s">
        <v>25</v>
      </c>
      <c r="J27" s="146" t="s">
        <v>25</v>
      </c>
      <c r="K27" s="146" t="s">
        <v>25</v>
      </c>
      <c r="L27" s="146" t="s">
        <v>22</v>
      </c>
      <c r="M27" s="146">
        <v>0.0</v>
      </c>
      <c r="N27" s="146" t="s">
        <v>229</v>
      </c>
      <c r="O27" s="146" t="s">
        <v>140</v>
      </c>
      <c r="P27" s="146" t="s">
        <v>25</v>
      </c>
      <c r="Q27" s="146">
        <v>100.0</v>
      </c>
      <c r="R27" s="146" t="s">
        <v>25</v>
      </c>
      <c r="S27" s="146" t="s">
        <v>22</v>
      </c>
      <c r="T27" s="146" t="s">
        <v>25</v>
      </c>
      <c r="U27" s="146" t="s">
        <v>22</v>
      </c>
      <c r="V27" s="146" t="s">
        <v>22</v>
      </c>
      <c r="W27" s="146" t="s">
        <v>25</v>
      </c>
      <c r="X27" s="146" t="s">
        <v>22</v>
      </c>
      <c r="Y27" s="146" t="s">
        <v>22</v>
      </c>
      <c r="Z27" s="146" t="s">
        <v>25</v>
      </c>
      <c r="AA27" s="146" t="s">
        <v>22</v>
      </c>
      <c r="AB27" s="153">
        <v>45125.0</v>
      </c>
      <c r="AC27" s="146" t="s">
        <v>25</v>
      </c>
      <c r="AD27" s="151" t="s">
        <v>230</v>
      </c>
      <c r="AE27" s="151" t="s">
        <v>22</v>
      </c>
      <c r="AF27" s="151" t="s">
        <v>25</v>
      </c>
      <c r="AG27" s="151" t="s">
        <v>25</v>
      </c>
      <c r="AH27" s="151" t="s">
        <v>25</v>
      </c>
      <c r="AI27" s="151">
        <v>0.0</v>
      </c>
      <c r="AJ27" s="146">
        <v>699.0</v>
      </c>
      <c r="AK27" s="155" t="s">
        <v>231</v>
      </c>
      <c r="AL27" s="151" t="s">
        <v>22</v>
      </c>
      <c r="AM27" s="151" t="s">
        <v>22</v>
      </c>
      <c r="AN27" s="151" t="s">
        <v>155</v>
      </c>
      <c r="AO27" s="151" t="s">
        <v>80</v>
      </c>
      <c r="AP27" s="151" t="s">
        <v>80</v>
      </c>
      <c r="AQ27" s="164"/>
      <c r="AR27" s="151" t="s">
        <v>158</v>
      </c>
      <c r="AS27" s="159">
        <v>46150.0</v>
      </c>
      <c r="AT27" s="160">
        <f>Calculo!AQ27</f>
        <v>30</v>
      </c>
      <c r="AU27" s="161" t="str">
        <f>Calculo!AV27</f>
        <v>SEM-RISCO</v>
      </c>
      <c r="AV27" s="162" t="str">
        <f>Calculo!AW27</f>
        <v>LIBERADO</v>
      </c>
      <c r="AW27" s="161" t="str">
        <f>Calculo!AX27</f>
        <v>SOLICITAR PED COMPRA</v>
      </c>
      <c r="AX27" s="161" t="str">
        <f>Calculo!K27</f>
        <v>SOLIC CONTRATO DE ENTREGA</v>
      </c>
      <c r="AY27" s="161" t="str">
        <f>Calculo!AY27</f>
        <v>CHECAGEM REVERSA</v>
      </c>
      <c r="AZ27" s="161" t="str">
        <f>Calculo!AZ27</f>
        <v>N/A</v>
      </c>
      <c r="BA27" s="163"/>
    </row>
    <row r="28" ht="12.0" customHeight="1">
      <c r="A28" s="88" t="str">
        <f>'Parâmetros'!$A$19</f>
        <v>Rel. Básico PJ</v>
      </c>
      <c r="B28" s="146">
        <v>487.0</v>
      </c>
      <c r="C28" s="146">
        <v>25181.0</v>
      </c>
      <c r="D28" s="146" t="s">
        <v>176</v>
      </c>
      <c r="E28" s="149" t="s">
        <v>245</v>
      </c>
      <c r="F28" s="151">
        <v>614.0</v>
      </c>
      <c r="G28" s="151" t="s">
        <v>147</v>
      </c>
      <c r="H28" s="146" t="s">
        <v>22</v>
      </c>
      <c r="I28" s="146" t="s">
        <v>25</v>
      </c>
      <c r="J28" s="146" t="s">
        <v>25</v>
      </c>
      <c r="K28" s="146" t="s">
        <v>25</v>
      </c>
      <c r="L28" s="146" t="s">
        <v>25</v>
      </c>
      <c r="M28" s="146" t="s">
        <v>22</v>
      </c>
      <c r="N28" s="146" t="s">
        <v>165</v>
      </c>
      <c r="O28" s="146" t="s">
        <v>140</v>
      </c>
      <c r="P28" s="146" t="s">
        <v>22</v>
      </c>
      <c r="Q28" s="146">
        <v>100.0</v>
      </c>
      <c r="R28" s="146" t="s">
        <v>25</v>
      </c>
      <c r="S28" s="146" t="s">
        <v>22</v>
      </c>
      <c r="T28" s="146" t="s">
        <v>22</v>
      </c>
      <c r="U28" s="146" t="s">
        <v>22</v>
      </c>
      <c r="V28" s="146" t="s">
        <v>22</v>
      </c>
      <c r="W28" s="146" t="s">
        <v>25</v>
      </c>
      <c r="X28" s="146" t="s">
        <v>22</v>
      </c>
      <c r="Y28" s="146" t="s">
        <v>25</v>
      </c>
      <c r="Z28" s="146" t="s">
        <v>25</v>
      </c>
      <c r="AA28" s="146" t="s">
        <v>22</v>
      </c>
      <c r="AB28" s="153">
        <v>40639.0</v>
      </c>
      <c r="AC28" s="146" t="s">
        <v>22</v>
      </c>
      <c r="AD28" s="151" t="s">
        <v>246</v>
      </c>
      <c r="AE28" s="151" t="s">
        <v>22</v>
      </c>
      <c r="AF28" s="151" t="s">
        <v>25</v>
      </c>
      <c r="AG28" s="151" t="s">
        <v>25</v>
      </c>
      <c r="AH28" s="151" t="s">
        <v>22</v>
      </c>
      <c r="AI28" s="151">
        <v>33000.0</v>
      </c>
      <c r="AJ28" s="146">
        <v>757.0</v>
      </c>
      <c r="AK28" s="155" t="s">
        <v>247</v>
      </c>
      <c r="AL28" s="151" t="s">
        <v>22</v>
      </c>
      <c r="AM28" s="151" t="s">
        <v>22</v>
      </c>
      <c r="AN28" s="151" t="s">
        <v>155</v>
      </c>
      <c r="AO28" s="151" t="s">
        <v>80</v>
      </c>
      <c r="AP28" s="151" t="s">
        <v>80</v>
      </c>
      <c r="AQ28" s="164"/>
      <c r="AR28" s="151" t="s">
        <v>158</v>
      </c>
      <c r="AS28" s="159">
        <v>46150.0</v>
      </c>
      <c r="AT28" s="160">
        <f>Calculo!AQ28</f>
        <v>47</v>
      </c>
      <c r="AU28" s="161" t="str">
        <f>Calculo!AV28</f>
        <v>SEM-RISCO</v>
      </c>
      <c r="AV28" s="162" t="str">
        <f>Calculo!AW28</f>
        <v>LIBERADO</v>
      </c>
      <c r="AW28" s="161" t="str">
        <f>Calculo!AX28</f>
        <v>N/A</v>
      </c>
      <c r="AX28" s="161" t="str">
        <f>Calculo!K28</f>
        <v>N/A</v>
      </c>
      <c r="AY28" s="161" t="str">
        <f>Calculo!AY28</f>
        <v>N/A</v>
      </c>
      <c r="AZ28" s="161" t="str">
        <f>Calculo!AZ28</f>
        <v>N/A</v>
      </c>
      <c r="BA28" s="163"/>
    </row>
    <row r="29" ht="12.0" customHeight="1">
      <c r="A29" s="88" t="str">
        <f>'Parâmetros'!$A$19</f>
        <v>Rel. Básico PJ</v>
      </c>
      <c r="B29" s="146">
        <v>488.0</v>
      </c>
      <c r="C29" s="146">
        <v>25183.0</v>
      </c>
      <c r="D29" s="146" t="s">
        <v>176</v>
      </c>
      <c r="E29" s="149" t="s">
        <v>248</v>
      </c>
      <c r="F29" s="151">
        <v>614.0</v>
      </c>
      <c r="G29" s="151" t="s">
        <v>147</v>
      </c>
      <c r="H29" s="146" t="s">
        <v>22</v>
      </c>
      <c r="I29" s="146" t="s">
        <v>25</v>
      </c>
      <c r="J29" s="146" t="s">
        <v>25</v>
      </c>
      <c r="K29" s="146" t="s">
        <v>25</v>
      </c>
      <c r="L29" s="146" t="s">
        <v>25</v>
      </c>
      <c r="M29" s="146" t="s">
        <v>22</v>
      </c>
      <c r="N29" s="146" t="s">
        <v>165</v>
      </c>
      <c r="O29" s="146" t="s">
        <v>140</v>
      </c>
      <c r="P29" s="146" t="s">
        <v>22</v>
      </c>
      <c r="Q29" s="146">
        <v>100.0</v>
      </c>
      <c r="R29" s="146" t="s">
        <v>25</v>
      </c>
      <c r="S29" s="146" t="s">
        <v>22</v>
      </c>
      <c r="T29" s="146" t="s">
        <v>22</v>
      </c>
      <c r="U29" s="146" t="s">
        <v>22</v>
      </c>
      <c r="V29" s="146" t="s">
        <v>22</v>
      </c>
      <c r="W29" s="146" t="s">
        <v>25</v>
      </c>
      <c r="X29" s="146" t="s">
        <v>22</v>
      </c>
      <c r="Y29" s="146" t="s">
        <v>25</v>
      </c>
      <c r="Z29" s="146" t="s">
        <v>25</v>
      </c>
      <c r="AA29" s="146" t="s">
        <v>22</v>
      </c>
      <c r="AB29" s="153">
        <v>40639.0</v>
      </c>
      <c r="AC29" s="146" t="s">
        <v>22</v>
      </c>
      <c r="AD29" s="151" t="s">
        <v>246</v>
      </c>
      <c r="AE29" s="151" t="s">
        <v>22</v>
      </c>
      <c r="AF29" s="151" t="s">
        <v>25</v>
      </c>
      <c r="AG29" s="151" t="s">
        <v>25</v>
      </c>
      <c r="AH29" s="151" t="s">
        <v>22</v>
      </c>
      <c r="AI29" s="151">
        <v>33000.0</v>
      </c>
      <c r="AJ29" s="146">
        <v>757.0</v>
      </c>
      <c r="AK29" s="155" t="s">
        <v>247</v>
      </c>
      <c r="AL29" s="151" t="s">
        <v>22</v>
      </c>
      <c r="AM29" s="151" t="s">
        <v>22</v>
      </c>
      <c r="AN29" s="151" t="s">
        <v>155</v>
      </c>
      <c r="AO29" s="151" t="s">
        <v>80</v>
      </c>
      <c r="AP29" s="151" t="s">
        <v>80</v>
      </c>
      <c r="AQ29" s="157"/>
      <c r="AR29" s="151" t="s">
        <v>158</v>
      </c>
      <c r="AS29" s="159">
        <v>46150.0</v>
      </c>
      <c r="AT29" s="160">
        <f>Calculo!AQ29</f>
        <v>47</v>
      </c>
      <c r="AU29" s="161" t="str">
        <f>Calculo!AV29</f>
        <v>SEM-RISCO</v>
      </c>
      <c r="AV29" s="162" t="str">
        <f>Calculo!AW29</f>
        <v>LIBERADO</v>
      </c>
      <c r="AW29" s="161" t="str">
        <f>Calculo!AX29</f>
        <v>N/A</v>
      </c>
      <c r="AX29" s="161" t="str">
        <f>Calculo!K29</f>
        <v>N/A</v>
      </c>
      <c r="AY29" s="161" t="str">
        <f>Calculo!AY29</f>
        <v>N/A</v>
      </c>
      <c r="AZ29" s="161" t="str">
        <f>Calculo!AZ29</f>
        <v>N/A</v>
      </c>
      <c r="BA29" s="163"/>
    </row>
    <row r="30" ht="12.0" customHeight="1">
      <c r="A30" s="88" t="str">
        <f>'Parâmetros'!$A$19</f>
        <v>Rel. Básico PJ</v>
      </c>
      <c r="B30" s="146">
        <v>496.0</v>
      </c>
      <c r="C30" s="146">
        <v>25286.0</v>
      </c>
      <c r="D30" s="146" t="s">
        <v>176</v>
      </c>
      <c r="E30" s="149" t="s">
        <v>249</v>
      </c>
      <c r="F30" s="151">
        <v>614.0</v>
      </c>
      <c r="G30" s="151" t="s">
        <v>147</v>
      </c>
      <c r="H30" s="146" t="s">
        <v>22</v>
      </c>
      <c r="I30" s="146" t="s">
        <v>25</v>
      </c>
      <c r="J30" s="146" t="s">
        <v>25</v>
      </c>
      <c r="K30" s="146" t="s">
        <v>25</v>
      </c>
      <c r="L30" s="146" t="s">
        <v>25</v>
      </c>
      <c r="M30" s="146" t="s">
        <v>22</v>
      </c>
      <c r="N30" s="146" t="s">
        <v>165</v>
      </c>
      <c r="O30" s="146" t="s">
        <v>140</v>
      </c>
      <c r="P30" s="146" t="s">
        <v>22</v>
      </c>
      <c r="Q30" s="146">
        <v>100.0</v>
      </c>
      <c r="R30" s="146" t="s">
        <v>25</v>
      </c>
      <c r="S30" s="146" t="s">
        <v>22</v>
      </c>
      <c r="T30" s="146" t="s">
        <v>22</v>
      </c>
      <c r="U30" s="146" t="s">
        <v>22</v>
      </c>
      <c r="V30" s="146" t="s">
        <v>22</v>
      </c>
      <c r="W30" s="146" t="s">
        <v>25</v>
      </c>
      <c r="X30" s="146" t="s">
        <v>22</v>
      </c>
      <c r="Y30" s="146" t="s">
        <v>25</v>
      </c>
      <c r="Z30" s="146" t="s">
        <v>25</v>
      </c>
      <c r="AA30" s="146" t="s">
        <v>22</v>
      </c>
      <c r="AB30" s="153">
        <v>40639.0</v>
      </c>
      <c r="AC30" s="146" t="s">
        <v>22</v>
      </c>
      <c r="AD30" s="151" t="s">
        <v>246</v>
      </c>
      <c r="AE30" s="151" t="s">
        <v>22</v>
      </c>
      <c r="AF30" s="151" t="s">
        <v>25</v>
      </c>
      <c r="AG30" s="151" t="s">
        <v>25</v>
      </c>
      <c r="AH30" s="151" t="s">
        <v>22</v>
      </c>
      <c r="AI30" s="151">
        <v>33000.0</v>
      </c>
      <c r="AJ30" s="146">
        <v>757.0</v>
      </c>
      <c r="AK30" s="155" t="s">
        <v>247</v>
      </c>
      <c r="AL30" s="151" t="s">
        <v>22</v>
      </c>
      <c r="AM30" s="151" t="s">
        <v>22</v>
      </c>
      <c r="AN30" s="151" t="s">
        <v>155</v>
      </c>
      <c r="AO30" s="151" t="s">
        <v>80</v>
      </c>
      <c r="AP30" s="151" t="s">
        <v>80</v>
      </c>
      <c r="AQ30" s="164"/>
      <c r="AR30" s="151" t="s">
        <v>158</v>
      </c>
      <c r="AS30" s="159">
        <v>46153.0</v>
      </c>
      <c r="AT30" s="160">
        <f>Calculo!AQ30</f>
        <v>47</v>
      </c>
      <c r="AU30" s="161" t="str">
        <f>Calculo!AV30</f>
        <v>SEM-RISCO</v>
      </c>
      <c r="AV30" s="162" t="str">
        <f>Calculo!AW30</f>
        <v>LIBERADO</v>
      </c>
      <c r="AW30" s="161" t="str">
        <f>Calculo!AX30</f>
        <v>N/A</v>
      </c>
      <c r="AX30" s="161" t="str">
        <f>Calculo!K30</f>
        <v>N/A</v>
      </c>
      <c r="AY30" s="161" t="str">
        <f>Calculo!AY30</f>
        <v>N/A</v>
      </c>
      <c r="AZ30" s="161" t="str">
        <f>Calculo!AZ30</f>
        <v>N/A</v>
      </c>
      <c r="BA30" s="163"/>
    </row>
    <row r="31" ht="12.0" customHeight="1">
      <c r="A31" s="88" t="str">
        <f>'Parâmetros'!$A$19</f>
        <v>Rel. Básico PJ</v>
      </c>
      <c r="B31" s="146">
        <v>499.0</v>
      </c>
      <c r="C31" s="146">
        <v>24507.0</v>
      </c>
      <c r="D31" s="146" t="s">
        <v>176</v>
      </c>
      <c r="E31" s="149" t="s">
        <v>250</v>
      </c>
      <c r="F31" s="151">
        <v>20400.0</v>
      </c>
      <c r="G31" s="151" t="s">
        <v>147</v>
      </c>
      <c r="H31" s="146" t="s">
        <v>22</v>
      </c>
      <c r="I31" s="146" t="s">
        <v>25</v>
      </c>
      <c r="J31" s="146" t="s">
        <v>25</v>
      </c>
      <c r="K31" s="146" t="s">
        <v>25</v>
      </c>
      <c r="L31" s="146" t="s">
        <v>22</v>
      </c>
      <c r="M31" s="146" t="s">
        <v>22</v>
      </c>
      <c r="N31" s="146" t="s">
        <v>173</v>
      </c>
      <c r="O31" s="146" t="s">
        <v>140</v>
      </c>
      <c r="P31" s="146" t="s">
        <v>22</v>
      </c>
      <c r="Q31" s="146">
        <v>100.0</v>
      </c>
      <c r="R31" s="146" t="s">
        <v>25</v>
      </c>
      <c r="S31" s="146" t="s">
        <v>25</v>
      </c>
      <c r="T31" s="146" t="s">
        <v>25</v>
      </c>
      <c r="U31" s="146" t="s">
        <v>22</v>
      </c>
      <c r="V31" s="146" t="s">
        <v>22</v>
      </c>
      <c r="W31" s="146" t="s">
        <v>25</v>
      </c>
      <c r="X31" s="146" t="s">
        <v>22</v>
      </c>
      <c r="Y31" s="146" t="s">
        <v>22</v>
      </c>
      <c r="Z31" s="146" t="s">
        <v>25</v>
      </c>
      <c r="AA31" s="146" t="s">
        <v>22</v>
      </c>
      <c r="AB31" s="153">
        <v>36426.0</v>
      </c>
      <c r="AC31" s="146" t="s">
        <v>25</v>
      </c>
      <c r="AD31" s="151"/>
      <c r="AE31" s="151" t="s">
        <v>22</v>
      </c>
      <c r="AF31" s="151" t="s">
        <v>25</v>
      </c>
      <c r="AG31" s="151" t="s">
        <v>25</v>
      </c>
      <c r="AH31" s="151" t="s">
        <v>25</v>
      </c>
      <c r="AI31" s="151">
        <v>0.0</v>
      </c>
      <c r="AJ31" s="146">
        <v>826.0</v>
      </c>
      <c r="AK31" s="155" t="s">
        <v>251</v>
      </c>
      <c r="AL31" s="151" t="s">
        <v>22</v>
      </c>
      <c r="AM31" s="151" t="s">
        <v>22</v>
      </c>
      <c r="AN31" s="151" t="s">
        <v>155</v>
      </c>
      <c r="AO31" s="151" t="s">
        <v>80</v>
      </c>
      <c r="AP31" s="151" t="s">
        <v>80</v>
      </c>
      <c r="AQ31" s="157"/>
      <c r="AR31" s="151" t="s">
        <v>158</v>
      </c>
      <c r="AS31" s="159">
        <v>46153.0</v>
      </c>
      <c r="AT31" s="160">
        <f>Calculo!AQ31</f>
        <v>26</v>
      </c>
      <c r="AU31" s="161" t="str">
        <f>Calculo!AV31</f>
        <v>SEM-RISCO</v>
      </c>
      <c r="AV31" s="162" t="str">
        <f>Calculo!AW31</f>
        <v>LIBERADO</v>
      </c>
      <c r="AW31" s="161" t="str">
        <f>Calculo!AX31</f>
        <v>SOLICITAR PED COMPRA</v>
      </c>
      <c r="AX31" s="161" t="str">
        <f>Calculo!K31</f>
        <v>SOLIC CONTRATO DE ENTREGA</v>
      </c>
      <c r="AY31" s="161" t="str">
        <f>Calculo!AY31</f>
        <v>N/A</v>
      </c>
      <c r="AZ31" s="161" t="str">
        <f>Calculo!AZ31</f>
        <v>N/A</v>
      </c>
      <c r="BA31" s="163"/>
    </row>
    <row r="32" ht="12.0" customHeight="1">
      <c r="A32" s="88" t="str">
        <f>'Parâmetros'!$A$19</f>
        <v>Rel. Básico PJ</v>
      </c>
      <c r="B32" s="146">
        <v>194.0</v>
      </c>
      <c r="C32" s="146">
        <v>24655.0</v>
      </c>
      <c r="D32" s="146" t="s">
        <v>142</v>
      </c>
      <c r="E32" s="149" t="s">
        <v>252</v>
      </c>
      <c r="F32" s="151">
        <v>3730.8</v>
      </c>
      <c r="G32" s="151" t="s">
        <v>147</v>
      </c>
      <c r="H32" s="146" t="s">
        <v>22</v>
      </c>
      <c r="I32" s="146" t="s">
        <v>25</v>
      </c>
      <c r="J32" s="146" t="s">
        <v>25</v>
      </c>
      <c r="K32" s="146" t="s">
        <v>25</v>
      </c>
      <c r="L32" s="146" t="s">
        <v>22</v>
      </c>
      <c r="M32" s="146" t="s">
        <v>25</v>
      </c>
      <c r="N32" s="146" t="s">
        <v>229</v>
      </c>
      <c r="O32" s="146">
        <v>0.0</v>
      </c>
      <c r="P32" s="146" t="s">
        <v>22</v>
      </c>
      <c r="Q32" s="146">
        <v>100.0</v>
      </c>
      <c r="R32" s="146" t="s">
        <v>25</v>
      </c>
      <c r="S32" s="146" t="s">
        <v>22</v>
      </c>
      <c r="T32" s="146" t="s">
        <v>25</v>
      </c>
      <c r="U32" s="146" t="s">
        <v>22</v>
      </c>
      <c r="V32" s="146" t="s">
        <v>22</v>
      </c>
      <c r="W32" s="146" t="s">
        <v>25</v>
      </c>
      <c r="X32" s="146" t="s">
        <v>22</v>
      </c>
      <c r="Y32" s="146" t="s">
        <v>22</v>
      </c>
      <c r="Z32" s="146" t="s">
        <v>25</v>
      </c>
      <c r="AA32" s="146" t="s">
        <v>22</v>
      </c>
      <c r="AB32" s="153">
        <v>36088.0</v>
      </c>
      <c r="AC32" s="146" t="s">
        <v>22</v>
      </c>
      <c r="AD32" s="151" t="s">
        <v>253</v>
      </c>
      <c r="AE32" s="151" t="s">
        <v>22</v>
      </c>
      <c r="AF32" s="151" t="s">
        <v>22</v>
      </c>
      <c r="AG32" s="151" t="s">
        <v>25</v>
      </c>
      <c r="AH32" s="151" t="s">
        <v>22</v>
      </c>
      <c r="AI32" s="151">
        <v>54894.55</v>
      </c>
      <c r="AJ32" s="146">
        <v>641.0</v>
      </c>
      <c r="AK32" s="155" t="s">
        <v>254</v>
      </c>
      <c r="AL32" s="151" t="s">
        <v>22</v>
      </c>
      <c r="AM32" s="151" t="s">
        <v>22</v>
      </c>
      <c r="AN32" s="151" t="s">
        <v>155</v>
      </c>
      <c r="AO32" s="151" t="s">
        <v>80</v>
      </c>
      <c r="AP32" s="151" t="s">
        <v>80</v>
      </c>
      <c r="AQ32" s="164"/>
      <c r="AR32" s="151" t="s">
        <v>158</v>
      </c>
      <c r="AS32" s="159">
        <v>46154.0</v>
      </c>
      <c r="AT32" s="160">
        <f>Calculo!AQ32</f>
        <v>17</v>
      </c>
      <c r="AU32" s="161" t="str">
        <f>Calculo!AV32</f>
        <v>SEM-RISCO</v>
      </c>
      <c r="AV32" s="162" t="str">
        <f>Calculo!AW32</f>
        <v>LIBERADO</v>
      </c>
      <c r="AW32" s="161" t="str">
        <f>Calculo!AX32</f>
        <v>N/A</v>
      </c>
      <c r="AX32" s="161" t="str">
        <f>Calculo!K32</f>
        <v>SOLIC CONTRATO DE ENTREGA</v>
      </c>
      <c r="AY32" s="161" t="str">
        <f>Calculo!AY32</f>
        <v>CHECAGEM REVERSA</v>
      </c>
      <c r="AZ32" s="161" t="str">
        <f>Calculo!AZ32</f>
        <v>N/A</v>
      </c>
      <c r="BA32" s="163"/>
    </row>
    <row r="33" ht="12.0" customHeight="1">
      <c r="A33" s="88" t="str">
        <f>'Parâmetros'!$A$19</f>
        <v>Rel. Básico PJ</v>
      </c>
      <c r="B33" s="146">
        <v>507.0</v>
      </c>
      <c r="C33" s="146">
        <v>25335.0</v>
      </c>
      <c r="D33" s="146" t="s">
        <v>176</v>
      </c>
      <c r="E33" s="149" t="s">
        <v>255</v>
      </c>
      <c r="F33" s="151">
        <v>2320.0</v>
      </c>
      <c r="G33" s="151" t="s">
        <v>147</v>
      </c>
      <c r="H33" s="146" t="s">
        <v>22</v>
      </c>
      <c r="I33" s="146" t="s">
        <v>25</v>
      </c>
      <c r="J33" s="146" t="s">
        <v>25</v>
      </c>
      <c r="K33" s="146" t="s">
        <v>25</v>
      </c>
      <c r="L33" s="146" t="s">
        <v>22</v>
      </c>
      <c r="M33" s="146" t="s">
        <v>22</v>
      </c>
      <c r="N33" s="146" t="s">
        <v>233</v>
      </c>
      <c r="O33" s="146" t="s">
        <v>140</v>
      </c>
      <c r="P33" s="146" t="s">
        <v>22</v>
      </c>
      <c r="Q33" s="146">
        <v>100.0</v>
      </c>
      <c r="R33" s="146" t="s">
        <v>25</v>
      </c>
      <c r="S33" s="146" t="s">
        <v>22</v>
      </c>
      <c r="T33" s="146" t="s">
        <v>25</v>
      </c>
      <c r="U33" s="146" t="s">
        <v>22</v>
      </c>
      <c r="V33" s="146" t="s">
        <v>22</v>
      </c>
      <c r="W33" s="146" t="s">
        <v>22</v>
      </c>
      <c r="X33" s="146" t="s">
        <v>22</v>
      </c>
      <c r="Y33" s="146" t="s">
        <v>22</v>
      </c>
      <c r="Z33" s="146" t="s">
        <v>25</v>
      </c>
      <c r="AA33" s="146" t="s">
        <v>22</v>
      </c>
      <c r="AB33" s="153">
        <v>30568.0</v>
      </c>
      <c r="AC33" s="146" t="s">
        <v>25</v>
      </c>
      <c r="AD33" s="151"/>
      <c r="AE33" s="151" t="s">
        <v>22</v>
      </c>
      <c r="AF33" s="151" t="s">
        <v>25</v>
      </c>
      <c r="AG33" s="151" t="s">
        <v>25</v>
      </c>
      <c r="AH33" s="151" t="s">
        <v>25</v>
      </c>
      <c r="AI33" s="151">
        <v>0.0</v>
      </c>
      <c r="AJ33" s="146">
        <v>596.0</v>
      </c>
      <c r="AK33" s="155" t="s">
        <v>256</v>
      </c>
      <c r="AL33" s="151" t="s">
        <v>22</v>
      </c>
      <c r="AM33" s="151" t="s">
        <v>22</v>
      </c>
      <c r="AN33" s="151" t="s">
        <v>155</v>
      </c>
      <c r="AO33" s="151" t="s">
        <v>80</v>
      </c>
      <c r="AP33" s="151" t="s">
        <v>80</v>
      </c>
      <c r="AQ33" s="164"/>
      <c r="AR33" s="151" t="s">
        <v>158</v>
      </c>
      <c r="AS33" s="159">
        <v>46154.0</v>
      </c>
      <c r="AT33" s="160">
        <f>Calculo!AQ33</f>
        <v>32</v>
      </c>
      <c r="AU33" s="161" t="str">
        <f>Calculo!AV33</f>
        <v>SEM-RISCO</v>
      </c>
      <c r="AV33" s="162" t="str">
        <f>Calculo!AW33</f>
        <v>LIBERADO</v>
      </c>
      <c r="AW33" s="161" t="str">
        <f>Calculo!AX33</f>
        <v>N/A</v>
      </c>
      <c r="AX33" s="161" t="str">
        <f>Calculo!K33</f>
        <v>SOLIC CONTRATO DE ENTREGA</v>
      </c>
      <c r="AY33" s="161" t="str">
        <f>Calculo!AY33</f>
        <v>N/A</v>
      </c>
      <c r="AZ33" s="161" t="str">
        <f>Calculo!AZ33</f>
        <v>N/A</v>
      </c>
      <c r="BA33" s="163"/>
    </row>
    <row r="34" ht="12.0" customHeight="1">
      <c r="A34" s="88" t="str">
        <f>'Parâmetros'!$A$19</f>
        <v>Rel. Básico PJ</v>
      </c>
      <c r="B34" s="146">
        <v>511.0</v>
      </c>
      <c r="C34" s="146">
        <v>25318.0</v>
      </c>
      <c r="D34" s="146" t="s">
        <v>176</v>
      </c>
      <c r="E34" s="149" t="s">
        <v>257</v>
      </c>
      <c r="F34" s="151">
        <v>4350.0</v>
      </c>
      <c r="G34" s="151" t="s">
        <v>147</v>
      </c>
      <c r="H34" s="146" t="s">
        <v>22</v>
      </c>
      <c r="I34" s="146" t="s">
        <v>25</v>
      </c>
      <c r="J34" s="146" t="s">
        <v>25</v>
      </c>
      <c r="K34" s="146" t="s">
        <v>25</v>
      </c>
      <c r="L34" s="146" t="s">
        <v>22</v>
      </c>
      <c r="M34" s="146" t="s">
        <v>22</v>
      </c>
      <c r="N34" s="146" t="s">
        <v>187</v>
      </c>
      <c r="O34" s="146">
        <v>5.0</v>
      </c>
      <c r="P34" s="146" t="s">
        <v>22</v>
      </c>
      <c r="Q34" s="146">
        <v>100.0</v>
      </c>
      <c r="R34" s="146" t="s">
        <v>25</v>
      </c>
      <c r="S34" s="146" t="s">
        <v>25</v>
      </c>
      <c r="T34" s="146" t="s">
        <v>25</v>
      </c>
      <c r="U34" s="146" t="s">
        <v>22</v>
      </c>
      <c r="V34" s="146" t="s">
        <v>22</v>
      </c>
      <c r="W34" s="146" t="s">
        <v>25</v>
      </c>
      <c r="X34" s="146" t="s">
        <v>22</v>
      </c>
      <c r="Y34" s="146" t="s">
        <v>22</v>
      </c>
      <c r="Z34" s="146" t="s">
        <v>25</v>
      </c>
      <c r="AA34" s="146" t="s">
        <v>22</v>
      </c>
      <c r="AB34" s="153">
        <v>26156.0</v>
      </c>
      <c r="AC34" s="146" t="s">
        <v>25</v>
      </c>
      <c r="AD34" s="151" t="s">
        <v>258</v>
      </c>
      <c r="AE34" s="151" t="s">
        <v>22</v>
      </c>
      <c r="AF34" s="151" t="s">
        <v>22</v>
      </c>
      <c r="AG34" s="151" t="s">
        <v>25</v>
      </c>
      <c r="AH34" s="151" t="s">
        <v>22</v>
      </c>
      <c r="AI34" s="151">
        <v>3607770.84</v>
      </c>
      <c r="AJ34" s="146">
        <v>757.0</v>
      </c>
      <c r="AK34" s="155" t="s">
        <v>259</v>
      </c>
      <c r="AL34" s="151" t="s">
        <v>22</v>
      </c>
      <c r="AM34" s="151" t="s">
        <v>22</v>
      </c>
      <c r="AN34" s="151" t="s">
        <v>155</v>
      </c>
      <c r="AO34" s="151" t="s">
        <v>80</v>
      </c>
      <c r="AP34" s="151" t="s">
        <v>80</v>
      </c>
      <c r="AQ34" s="157"/>
      <c r="AR34" s="151" t="s">
        <v>158</v>
      </c>
      <c r="AS34" s="159">
        <v>46155.0</v>
      </c>
      <c r="AT34" s="160">
        <f>Calculo!AQ34</f>
        <v>7</v>
      </c>
      <c r="AU34" s="161" t="str">
        <f>Calculo!AV34</f>
        <v>SEM-RISCO</v>
      </c>
      <c r="AV34" s="162" t="str">
        <f>Calculo!AW34</f>
        <v>LIBERADO</v>
      </c>
      <c r="AW34" s="161" t="str">
        <f>Calculo!AX34</f>
        <v>N/A</v>
      </c>
      <c r="AX34" s="161" t="str">
        <f>Calculo!K34</f>
        <v>SOLIC CONTRATO DE ENTREGA</v>
      </c>
      <c r="AY34" s="161" t="str">
        <f>Calculo!AY34</f>
        <v>N/A</v>
      </c>
      <c r="AZ34" s="161" t="str">
        <f>Calculo!AZ34</f>
        <v>N/A</v>
      </c>
      <c r="BA34" s="163"/>
    </row>
    <row r="35" ht="12.0" customHeight="1">
      <c r="A35" s="88" t="str">
        <f>'Parâmetros'!$A$19</f>
        <v>Rel. Básico PJ</v>
      </c>
      <c r="B35" s="146">
        <v>210.0</v>
      </c>
      <c r="C35" s="146">
        <v>25339.0</v>
      </c>
      <c r="D35" s="146" t="s">
        <v>142</v>
      </c>
      <c r="E35" s="149" t="s">
        <v>260</v>
      </c>
      <c r="F35" s="151">
        <v>14810.0</v>
      </c>
      <c r="G35" s="151" t="s">
        <v>147</v>
      </c>
      <c r="H35" s="146" t="s">
        <v>22</v>
      </c>
      <c r="I35" s="146" t="s">
        <v>25</v>
      </c>
      <c r="J35" s="146" t="s">
        <v>25</v>
      </c>
      <c r="K35" s="146" t="s">
        <v>25</v>
      </c>
      <c r="L35" s="146" t="s">
        <v>22</v>
      </c>
      <c r="M35" s="146" t="s">
        <v>22</v>
      </c>
      <c r="N35" s="146" t="s">
        <v>148</v>
      </c>
      <c r="O35" s="146">
        <v>5.0</v>
      </c>
      <c r="P35" s="146" t="s">
        <v>22</v>
      </c>
      <c r="Q35" s="146">
        <v>100.0</v>
      </c>
      <c r="R35" s="146" t="s">
        <v>25</v>
      </c>
      <c r="S35" s="146" t="s">
        <v>25</v>
      </c>
      <c r="T35" s="146" t="s">
        <v>25</v>
      </c>
      <c r="U35" s="146" t="s">
        <v>22</v>
      </c>
      <c r="V35" s="146" t="s">
        <v>22</v>
      </c>
      <c r="W35" s="146" t="s">
        <v>25</v>
      </c>
      <c r="X35" s="146" t="s">
        <v>22</v>
      </c>
      <c r="Y35" s="146" t="s">
        <v>25</v>
      </c>
      <c r="Z35" s="146" t="s">
        <v>25</v>
      </c>
      <c r="AA35" s="146" t="s">
        <v>22</v>
      </c>
      <c r="AB35" s="153">
        <v>39093.0</v>
      </c>
      <c r="AC35" s="146" t="s">
        <v>25</v>
      </c>
      <c r="AD35" s="151" t="s">
        <v>261</v>
      </c>
      <c r="AE35" s="151" t="s">
        <v>22</v>
      </c>
      <c r="AF35" s="151" t="s">
        <v>25</v>
      </c>
      <c r="AG35" s="151" t="s">
        <v>25</v>
      </c>
      <c r="AH35" s="151" t="s">
        <v>25</v>
      </c>
      <c r="AI35" s="151">
        <v>0.0</v>
      </c>
      <c r="AJ35" s="146">
        <v>978.0</v>
      </c>
      <c r="AK35" s="155" t="s">
        <v>262</v>
      </c>
      <c r="AL35" s="151" t="s">
        <v>22</v>
      </c>
      <c r="AM35" s="151" t="s">
        <v>22</v>
      </c>
      <c r="AN35" s="151" t="s">
        <v>155</v>
      </c>
      <c r="AO35" s="151" t="s">
        <v>80</v>
      </c>
      <c r="AP35" s="151" t="s">
        <v>80</v>
      </c>
      <c r="AQ35" s="157"/>
      <c r="AR35" s="151" t="s">
        <v>158</v>
      </c>
      <c r="AS35" s="159">
        <v>46164.0</v>
      </c>
      <c r="AT35" s="160">
        <f>Calculo!AQ35</f>
        <v>39</v>
      </c>
      <c r="AU35" s="161" t="str">
        <f>Calculo!AV35</f>
        <v>SEM-RISCO</v>
      </c>
      <c r="AV35" s="162" t="str">
        <f>Calculo!AW35</f>
        <v>LIBERADO</v>
      </c>
      <c r="AW35" s="161" t="str">
        <f>Calculo!AX35</f>
        <v>SOLICITAR PED COMPRA</v>
      </c>
      <c r="AX35" s="161" t="str">
        <f>Calculo!K35</f>
        <v>SOLIC CONTRATO DE ENTREGA</v>
      </c>
      <c r="AY35" s="161" t="str">
        <f>Calculo!AY35</f>
        <v>N/A</v>
      </c>
      <c r="AZ35" s="161" t="str">
        <f>Calculo!AZ35</f>
        <v>N/A</v>
      </c>
      <c r="BA35" s="163"/>
    </row>
    <row r="36" ht="12.0" customHeight="1">
      <c r="A36" s="88" t="str">
        <f>'Parâmetros'!$A$19</f>
        <v>Rel. Básico PJ</v>
      </c>
      <c r="B36" s="146">
        <v>211.0</v>
      </c>
      <c r="C36" s="146">
        <v>25340.0</v>
      </c>
      <c r="D36" s="146" t="s">
        <v>142</v>
      </c>
      <c r="E36" s="149" t="s">
        <v>263</v>
      </c>
      <c r="F36" s="151">
        <v>15232.0</v>
      </c>
      <c r="G36" s="151" t="s">
        <v>147</v>
      </c>
      <c r="H36" s="146" t="s">
        <v>22</v>
      </c>
      <c r="I36" s="146" t="s">
        <v>25</v>
      </c>
      <c r="J36" s="146" t="s">
        <v>25</v>
      </c>
      <c r="K36" s="146" t="s">
        <v>25</v>
      </c>
      <c r="L36" s="146" t="s">
        <v>22</v>
      </c>
      <c r="M36" s="146" t="s">
        <v>22</v>
      </c>
      <c r="N36" s="146" t="s">
        <v>148</v>
      </c>
      <c r="O36" s="146">
        <v>5.0</v>
      </c>
      <c r="P36" s="146" t="s">
        <v>22</v>
      </c>
      <c r="Q36" s="146">
        <v>100.0</v>
      </c>
      <c r="R36" s="146" t="s">
        <v>25</v>
      </c>
      <c r="S36" s="146" t="s">
        <v>25</v>
      </c>
      <c r="T36" s="146" t="s">
        <v>25</v>
      </c>
      <c r="U36" s="146" t="s">
        <v>22</v>
      </c>
      <c r="V36" s="146" t="s">
        <v>22</v>
      </c>
      <c r="W36" s="146" t="s">
        <v>25</v>
      </c>
      <c r="X36" s="146" t="s">
        <v>22</v>
      </c>
      <c r="Y36" s="146" t="s">
        <v>25</v>
      </c>
      <c r="Z36" s="146" t="s">
        <v>25</v>
      </c>
      <c r="AA36" s="146" t="s">
        <v>22</v>
      </c>
      <c r="AB36" s="153">
        <v>39093.0</v>
      </c>
      <c r="AC36" s="146" t="s">
        <v>25</v>
      </c>
      <c r="AD36" s="151" t="s">
        <v>264</v>
      </c>
      <c r="AE36" s="151" t="s">
        <v>22</v>
      </c>
      <c r="AF36" s="151" t="s">
        <v>25</v>
      </c>
      <c r="AG36" s="151" t="s">
        <v>25</v>
      </c>
      <c r="AH36" s="151" t="s">
        <v>25</v>
      </c>
      <c r="AI36" s="151">
        <v>0.0</v>
      </c>
      <c r="AJ36" s="146">
        <v>703.0</v>
      </c>
      <c r="AK36" s="155" t="s">
        <v>265</v>
      </c>
      <c r="AL36" s="151" t="s">
        <v>22</v>
      </c>
      <c r="AM36" s="151" t="s">
        <v>22</v>
      </c>
      <c r="AN36" s="151" t="s">
        <v>155</v>
      </c>
      <c r="AO36" s="151" t="s">
        <v>80</v>
      </c>
      <c r="AP36" s="151" t="s">
        <v>80</v>
      </c>
      <c r="AQ36" s="157"/>
      <c r="AR36" s="151" t="s">
        <v>158</v>
      </c>
      <c r="AS36" s="159">
        <v>46164.0</v>
      </c>
      <c r="AT36" s="160">
        <f>Calculo!AQ36</f>
        <v>39</v>
      </c>
      <c r="AU36" s="161" t="str">
        <f>Calculo!AV36</f>
        <v>SEM-RISCO</v>
      </c>
      <c r="AV36" s="162" t="str">
        <f>Calculo!AW36</f>
        <v>LIBERADO</v>
      </c>
      <c r="AW36" s="161" t="str">
        <f>Calculo!AX36</f>
        <v>SOLICITAR PED COMPRA</v>
      </c>
      <c r="AX36" s="161" t="str">
        <f>Calculo!K36</f>
        <v>SOLIC CONTRATO DE ENTREGA</v>
      </c>
      <c r="AY36" s="161" t="str">
        <f>Calculo!AY36</f>
        <v>N/A</v>
      </c>
      <c r="AZ36" s="161" t="str">
        <f>Calculo!AZ36</f>
        <v>N/A</v>
      </c>
      <c r="BA36" s="163"/>
    </row>
    <row r="37" ht="12.0" customHeight="1">
      <c r="A37" s="88" t="str">
        <f>'Parâmetros'!$A$19</f>
        <v>Rel. Básico PJ</v>
      </c>
      <c r="B37" s="146">
        <v>195.0</v>
      </c>
      <c r="C37" s="146">
        <v>25207.0</v>
      </c>
      <c r="D37" s="146" t="s">
        <v>142</v>
      </c>
      <c r="E37" s="149" t="s">
        <v>266</v>
      </c>
      <c r="F37" s="151">
        <v>13704.0</v>
      </c>
      <c r="G37" s="151" t="s">
        <v>147</v>
      </c>
      <c r="H37" s="146" t="s">
        <v>22</v>
      </c>
      <c r="I37" s="146" t="s">
        <v>25</v>
      </c>
      <c r="J37" s="146" t="s">
        <v>25</v>
      </c>
      <c r="K37" s="146" t="s">
        <v>25</v>
      </c>
      <c r="L37" s="146" t="s">
        <v>22</v>
      </c>
      <c r="M37" s="146" t="s">
        <v>22</v>
      </c>
      <c r="N37" s="146" t="s">
        <v>173</v>
      </c>
      <c r="O37" s="146">
        <v>5.0</v>
      </c>
      <c r="P37" s="146" t="s">
        <v>22</v>
      </c>
      <c r="Q37" s="146">
        <v>100.0</v>
      </c>
      <c r="R37" s="146" t="s">
        <v>25</v>
      </c>
      <c r="S37" s="146" t="s">
        <v>25</v>
      </c>
      <c r="T37" s="146" t="s">
        <v>25</v>
      </c>
      <c r="U37" s="146" t="s">
        <v>22</v>
      </c>
      <c r="V37" s="146" t="s">
        <v>22</v>
      </c>
      <c r="W37" s="146" t="s">
        <v>25</v>
      </c>
      <c r="X37" s="146" t="s">
        <v>22</v>
      </c>
      <c r="Y37" s="146" t="s">
        <v>22</v>
      </c>
      <c r="Z37" s="146" t="s">
        <v>25</v>
      </c>
      <c r="AA37" s="146" t="s">
        <v>22</v>
      </c>
      <c r="AB37" s="153">
        <v>29619.0</v>
      </c>
      <c r="AC37" s="146" t="s">
        <v>25</v>
      </c>
      <c r="AD37" s="151" t="s">
        <v>267</v>
      </c>
      <c r="AE37" s="151" t="s">
        <v>22</v>
      </c>
      <c r="AF37" s="151" t="s">
        <v>22</v>
      </c>
      <c r="AG37" s="151" t="s">
        <v>25</v>
      </c>
      <c r="AH37" s="151" t="s">
        <v>25</v>
      </c>
      <c r="AI37" s="151">
        <v>70.37</v>
      </c>
      <c r="AJ37" s="146">
        <v>906.0</v>
      </c>
      <c r="AK37" s="155" t="s">
        <v>268</v>
      </c>
      <c r="AL37" s="151" t="s">
        <v>22</v>
      </c>
      <c r="AM37" s="151" t="s">
        <v>22</v>
      </c>
      <c r="AN37" s="151" t="s">
        <v>155</v>
      </c>
      <c r="AO37" s="151" t="s">
        <v>80</v>
      </c>
      <c r="AP37" s="151" t="s">
        <v>80</v>
      </c>
      <c r="AQ37" s="164"/>
      <c r="AR37" s="151" t="s">
        <v>158</v>
      </c>
      <c r="AS37" s="159">
        <v>46155.0</v>
      </c>
      <c r="AT37" s="160">
        <f>Calculo!AQ37</f>
        <v>44</v>
      </c>
      <c r="AU37" s="161" t="str">
        <f>Calculo!AV37</f>
        <v>SEM-RISCO</v>
      </c>
      <c r="AV37" s="162" t="str">
        <f>Calculo!AW37</f>
        <v>LIBERADO</v>
      </c>
      <c r="AW37" s="161" t="str">
        <f>Calculo!AX37</f>
        <v>SOLICITAR PED COMPRA</v>
      </c>
      <c r="AX37" s="161" t="str">
        <f>Calculo!K37</f>
        <v>SOLIC CONTRATO DE ENTREGA</v>
      </c>
      <c r="AY37" s="161" t="str">
        <f>Calculo!AY37</f>
        <v>N/A</v>
      </c>
      <c r="AZ37" s="161" t="str">
        <f>Calculo!AZ37</f>
        <v>N/A</v>
      </c>
      <c r="BA37" s="163"/>
    </row>
    <row r="38" ht="12.0" customHeight="1">
      <c r="A38" s="88" t="str">
        <f>'Parâmetros'!$A$19</f>
        <v>Rel. Básico PJ</v>
      </c>
      <c r="B38" s="146">
        <v>196.0</v>
      </c>
      <c r="C38" s="146">
        <v>25348.0</v>
      </c>
      <c r="D38" s="146" t="s">
        <v>142</v>
      </c>
      <c r="E38" s="149" t="s">
        <v>269</v>
      </c>
      <c r="F38" s="151">
        <v>7030.0</v>
      </c>
      <c r="G38" s="151" t="s">
        <v>147</v>
      </c>
      <c r="H38" s="146" t="s">
        <v>22</v>
      </c>
      <c r="I38" s="146" t="s">
        <v>25</v>
      </c>
      <c r="J38" s="146" t="s">
        <v>25</v>
      </c>
      <c r="K38" s="146" t="s">
        <v>25</v>
      </c>
      <c r="L38" s="146" t="s">
        <v>22</v>
      </c>
      <c r="M38" s="146" t="s">
        <v>22</v>
      </c>
      <c r="N38" s="146" t="s">
        <v>173</v>
      </c>
      <c r="O38" s="146">
        <v>5.0</v>
      </c>
      <c r="P38" s="146" t="s">
        <v>22</v>
      </c>
      <c r="Q38" s="146">
        <v>100.0</v>
      </c>
      <c r="R38" s="146" t="s">
        <v>25</v>
      </c>
      <c r="S38" s="146" t="s">
        <v>22</v>
      </c>
      <c r="T38" s="146" t="s">
        <v>22</v>
      </c>
      <c r="U38" s="146" t="s">
        <v>22</v>
      </c>
      <c r="V38" s="146" t="s">
        <v>22</v>
      </c>
      <c r="W38" s="146" t="s">
        <v>25</v>
      </c>
      <c r="X38" s="146" t="s">
        <v>22</v>
      </c>
      <c r="Y38" s="146" t="s">
        <v>25</v>
      </c>
      <c r="Z38" s="146" t="s">
        <v>25</v>
      </c>
      <c r="AA38" s="146" t="s">
        <v>22</v>
      </c>
      <c r="AB38" s="153">
        <v>26835.0</v>
      </c>
      <c r="AC38" s="146" t="s">
        <v>22</v>
      </c>
      <c r="AD38" s="151"/>
      <c r="AE38" s="151" t="s">
        <v>22</v>
      </c>
      <c r="AF38" s="151" t="s">
        <v>22</v>
      </c>
      <c r="AG38" s="151" t="s">
        <v>25</v>
      </c>
      <c r="AH38" s="151" t="s">
        <v>25</v>
      </c>
      <c r="AI38" s="151">
        <v>6000.01</v>
      </c>
      <c r="AJ38" s="146">
        <v>799.0</v>
      </c>
      <c r="AK38" s="155" t="s">
        <v>270</v>
      </c>
      <c r="AL38" s="151" t="s">
        <v>22</v>
      </c>
      <c r="AM38" s="151" t="s">
        <v>22</v>
      </c>
      <c r="AN38" s="151" t="s">
        <v>155</v>
      </c>
      <c r="AO38" s="151" t="s">
        <v>80</v>
      </c>
      <c r="AP38" s="151" t="s">
        <v>80</v>
      </c>
      <c r="AQ38" s="164"/>
      <c r="AR38" s="151" t="s">
        <v>158</v>
      </c>
      <c r="AS38" s="159">
        <v>46155.0</v>
      </c>
      <c r="AT38" s="160">
        <f>Calculo!AQ38</f>
        <v>60</v>
      </c>
      <c r="AU38" s="161" t="str">
        <f>Calculo!AV38</f>
        <v>SEM-RISCO</v>
      </c>
      <c r="AV38" s="162" t="str">
        <f>Calculo!AW38</f>
        <v>LIBERADO</v>
      </c>
      <c r="AW38" s="161" t="str">
        <f>Calculo!AX38</f>
        <v>SOLICITAR PED COMPRA</v>
      </c>
      <c r="AX38" s="161" t="str">
        <f>Calculo!K38</f>
        <v>SOLIC CONTRATO DE ENTREGA</v>
      </c>
      <c r="AY38" s="161" t="str">
        <f>Calculo!AY38</f>
        <v>N/A</v>
      </c>
      <c r="AZ38" s="161" t="str">
        <f>Calculo!AZ38</f>
        <v>N/A</v>
      </c>
      <c r="BA38" s="163"/>
    </row>
    <row r="39" ht="12.0" customHeight="1">
      <c r="A39" s="88" t="str">
        <f>'Parâmetros'!$A$19</f>
        <v>Rel. Básico PJ</v>
      </c>
      <c r="B39" s="146">
        <v>197.0</v>
      </c>
      <c r="C39" s="146">
        <v>25303.0</v>
      </c>
      <c r="D39" s="146" t="s">
        <v>142</v>
      </c>
      <c r="E39" s="149" t="s">
        <v>271</v>
      </c>
      <c r="F39" s="151">
        <v>6402.0</v>
      </c>
      <c r="G39" s="151" t="s">
        <v>147</v>
      </c>
      <c r="H39" s="146" t="s">
        <v>22</v>
      </c>
      <c r="I39" s="146" t="s">
        <v>25</v>
      </c>
      <c r="J39" s="146" t="s">
        <v>25</v>
      </c>
      <c r="K39" s="146" t="s">
        <v>25</v>
      </c>
      <c r="L39" s="146" t="s">
        <v>22</v>
      </c>
      <c r="M39" s="146" t="s">
        <v>25</v>
      </c>
      <c r="N39" s="146" t="s">
        <v>173</v>
      </c>
      <c r="O39" s="146">
        <v>0.0</v>
      </c>
      <c r="P39" s="146" t="s">
        <v>22</v>
      </c>
      <c r="Q39" s="146">
        <v>100.0</v>
      </c>
      <c r="R39" s="146" t="s">
        <v>25</v>
      </c>
      <c r="S39" s="146" t="s">
        <v>22</v>
      </c>
      <c r="T39" s="146" t="s">
        <v>25</v>
      </c>
      <c r="U39" s="146" t="s">
        <v>22</v>
      </c>
      <c r="V39" s="146" t="s">
        <v>22</v>
      </c>
      <c r="W39" s="146" t="s">
        <v>25</v>
      </c>
      <c r="X39" s="146" t="s">
        <v>22</v>
      </c>
      <c r="Y39" s="146" t="s">
        <v>22</v>
      </c>
      <c r="Z39" s="146" t="s">
        <v>25</v>
      </c>
      <c r="AA39" s="146" t="s">
        <v>22</v>
      </c>
      <c r="AB39" s="153">
        <v>43796.0</v>
      </c>
      <c r="AC39" s="146" t="s">
        <v>25</v>
      </c>
      <c r="AD39" s="151" t="s">
        <v>272</v>
      </c>
      <c r="AE39" s="151" t="s">
        <v>22</v>
      </c>
      <c r="AF39" s="151" t="s">
        <v>25</v>
      </c>
      <c r="AG39" s="151" t="s">
        <v>25</v>
      </c>
      <c r="AH39" s="151" t="s">
        <v>25</v>
      </c>
      <c r="AI39" s="151">
        <v>0.0</v>
      </c>
      <c r="AJ39" s="146">
        <v>739.0</v>
      </c>
      <c r="AK39" s="155" t="s">
        <v>273</v>
      </c>
      <c r="AL39" s="151" t="s">
        <v>22</v>
      </c>
      <c r="AM39" s="151" t="s">
        <v>22</v>
      </c>
      <c r="AN39" s="151" t="s">
        <v>155</v>
      </c>
      <c r="AO39" s="151" t="s">
        <v>80</v>
      </c>
      <c r="AP39" s="151" t="s">
        <v>80</v>
      </c>
      <c r="AQ39" s="157"/>
      <c r="AR39" s="151" t="s">
        <v>158</v>
      </c>
      <c r="AS39" s="159">
        <v>46156.0</v>
      </c>
      <c r="AT39" s="160">
        <f>Calculo!AQ39</f>
        <v>43</v>
      </c>
      <c r="AU39" s="161" t="str">
        <f>Calculo!AV39</f>
        <v>SEM-RISCO</v>
      </c>
      <c r="AV39" s="162" t="str">
        <f>Calculo!AW39</f>
        <v>LIBERADO</v>
      </c>
      <c r="AW39" s="161" t="str">
        <f>Calculo!AX39</f>
        <v>SOLICITAR PED COMPRA</v>
      </c>
      <c r="AX39" s="161" t="str">
        <f>Calculo!K39</f>
        <v>SOLIC CONTRATO DE ENTREGA</v>
      </c>
      <c r="AY39" s="161" t="str">
        <f>Calculo!AY39</f>
        <v>CHECAGEM REVERSA</v>
      </c>
      <c r="AZ39" s="161" t="str">
        <f>Calculo!AZ39</f>
        <v>N/A</v>
      </c>
      <c r="BA39" s="163"/>
    </row>
    <row r="40" ht="12.0" customHeight="1">
      <c r="A40" s="88" t="str">
        <f>'Parâmetros'!$A$19</f>
        <v>Rel. Básico PJ</v>
      </c>
      <c r="B40" s="146">
        <v>198.0</v>
      </c>
      <c r="C40" s="146">
        <v>24639.0</v>
      </c>
      <c r="D40" s="146" t="s">
        <v>142</v>
      </c>
      <c r="E40" s="149" t="s">
        <v>274</v>
      </c>
      <c r="F40" s="151">
        <v>6402.0</v>
      </c>
      <c r="G40" s="151" t="s">
        <v>147</v>
      </c>
      <c r="H40" s="146" t="s">
        <v>22</v>
      </c>
      <c r="I40" s="146" t="s">
        <v>22</v>
      </c>
      <c r="J40" s="146" t="s">
        <v>25</v>
      </c>
      <c r="K40" s="146" t="s">
        <v>25</v>
      </c>
      <c r="L40" s="146" t="s">
        <v>22</v>
      </c>
      <c r="M40" s="146" t="s">
        <v>25</v>
      </c>
      <c r="N40" s="146" t="s">
        <v>173</v>
      </c>
      <c r="O40" s="146">
        <v>0.0</v>
      </c>
      <c r="P40" s="146" t="s">
        <v>22</v>
      </c>
      <c r="Q40" s="146">
        <v>100.0</v>
      </c>
      <c r="R40" s="146" t="s">
        <v>25</v>
      </c>
      <c r="S40" s="146" t="s">
        <v>22</v>
      </c>
      <c r="T40" s="146" t="s">
        <v>25</v>
      </c>
      <c r="U40" s="146" t="s">
        <v>22</v>
      </c>
      <c r="V40" s="146" t="s">
        <v>22</v>
      </c>
      <c r="W40" s="146" t="s">
        <v>25</v>
      </c>
      <c r="X40" s="146" t="s">
        <v>22</v>
      </c>
      <c r="Y40" s="146" t="s">
        <v>25</v>
      </c>
      <c r="Z40" s="146" t="s">
        <v>25</v>
      </c>
      <c r="AA40" s="146" t="s">
        <v>22</v>
      </c>
      <c r="AB40" s="153">
        <v>44090.0</v>
      </c>
      <c r="AC40" s="146" t="s">
        <v>25</v>
      </c>
      <c r="AD40" s="151" t="s">
        <v>275</v>
      </c>
      <c r="AE40" s="151" t="s">
        <v>22</v>
      </c>
      <c r="AF40" s="151" t="s">
        <v>25</v>
      </c>
      <c r="AG40" s="151" t="s">
        <v>25</v>
      </c>
      <c r="AH40" s="151" t="s">
        <v>25</v>
      </c>
      <c r="AI40" s="151">
        <v>0.0</v>
      </c>
      <c r="AJ40" s="146">
        <v>757.0</v>
      </c>
      <c r="AK40" s="155" t="s">
        <v>276</v>
      </c>
      <c r="AL40" s="151" t="s">
        <v>22</v>
      </c>
      <c r="AM40" s="151" t="s">
        <v>25</v>
      </c>
      <c r="AN40" s="151" t="s">
        <v>155</v>
      </c>
      <c r="AO40" s="151" t="s">
        <v>80</v>
      </c>
      <c r="AP40" s="151" t="s">
        <v>80</v>
      </c>
      <c r="AQ40" s="164"/>
      <c r="AR40" s="151" t="s">
        <v>158</v>
      </c>
      <c r="AS40" s="159">
        <v>46156.0</v>
      </c>
      <c r="AT40" s="160">
        <f>Calculo!AQ40</f>
        <v>42</v>
      </c>
      <c r="AU40" s="161" t="str">
        <f>Calculo!AV40</f>
        <v>SEM-RISCO</v>
      </c>
      <c r="AV40" s="162" t="str">
        <f>Calculo!AW40</f>
        <v>LIBERADO</v>
      </c>
      <c r="AW40" s="161" t="str">
        <f>Calculo!AX40</f>
        <v>SOLICITAR PED COMPRA</v>
      </c>
      <c r="AX40" s="161" t="str">
        <f>Calculo!K40</f>
        <v>SOLIC CONTRATO DE ENTREGA</v>
      </c>
      <c r="AY40" s="161" t="str">
        <f>Calculo!AY40</f>
        <v>CHECAGEM REVERSA</v>
      </c>
      <c r="AZ40" s="161" t="str">
        <f>Calculo!AZ40</f>
        <v>N/A</v>
      </c>
      <c r="BA40" s="163"/>
    </row>
    <row r="41" ht="12.0" customHeight="1">
      <c r="A41" s="88" t="str">
        <f>'Parâmetros'!$A$19</f>
        <v>Rel. Básico PJ</v>
      </c>
      <c r="B41" s="146">
        <v>1868.0</v>
      </c>
      <c r="C41" s="146">
        <v>25362.0</v>
      </c>
      <c r="D41" s="146" t="s">
        <v>171</v>
      </c>
      <c r="E41" s="149" t="s">
        <v>277</v>
      </c>
      <c r="F41" s="151">
        <v>906.0</v>
      </c>
      <c r="G41" s="151" t="s">
        <v>147</v>
      </c>
      <c r="H41" s="146" t="s">
        <v>22</v>
      </c>
      <c r="I41" s="146" t="s">
        <v>25</v>
      </c>
      <c r="J41" s="146" t="s">
        <v>25</v>
      </c>
      <c r="K41" s="146" t="s">
        <v>25</v>
      </c>
      <c r="L41" s="146" t="s">
        <v>25</v>
      </c>
      <c r="M41" s="146" t="s">
        <v>25</v>
      </c>
      <c r="N41" s="146" t="s">
        <v>173</v>
      </c>
      <c r="O41" s="146">
        <v>0.0</v>
      </c>
      <c r="P41" s="146" t="s">
        <v>25</v>
      </c>
      <c r="Q41" s="146">
        <v>100.0</v>
      </c>
      <c r="R41" s="146" t="s">
        <v>25</v>
      </c>
      <c r="S41" s="146" t="s">
        <v>22</v>
      </c>
      <c r="T41" s="146" t="s">
        <v>22</v>
      </c>
      <c r="U41" s="146" t="s">
        <v>22</v>
      </c>
      <c r="V41" s="146" t="s">
        <v>22</v>
      </c>
      <c r="W41" s="146" t="s">
        <v>25</v>
      </c>
      <c r="X41" s="146" t="s">
        <v>22</v>
      </c>
      <c r="Y41" s="146" t="s">
        <v>22</v>
      </c>
      <c r="Z41" s="146" t="s">
        <v>25</v>
      </c>
      <c r="AA41" s="146" t="s">
        <v>22</v>
      </c>
      <c r="AB41" s="153">
        <v>24596.0</v>
      </c>
      <c r="AC41" s="146" t="s">
        <v>25</v>
      </c>
      <c r="AD41" s="151"/>
      <c r="AE41" s="151" t="s">
        <v>22</v>
      </c>
      <c r="AF41" s="151" t="s">
        <v>22</v>
      </c>
      <c r="AG41" s="151" t="s">
        <v>25</v>
      </c>
      <c r="AH41" s="151" t="s">
        <v>25</v>
      </c>
      <c r="AI41" s="151">
        <v>5682788.88</v>
      </c>
      <c r="AJ41" s="146">
        <v>643.0</v>
      </c>
      <c r="AK41" s="155" t="s">
        <v>278</v>
      </c>
      <c r="AL41" s="151" t="s">
        <v>22</v>
      </c>
      <c r="AM41" s="151" t="s">
        <v>22</v>
      </c>
      <c r="AN41" s="151" t="s">
        <v>155</v>
      </c>
      <c r="AO41" s="151" t="s">
        <v>80</v>
      </c>
      <c r="AP41" s="151" t="s">
        <v>80</v>
      </c>
      <c r="AQ41" s="157"/>
      <c r="AR41" s="151" t="s">
        <v>158</v>
      </c>
      <c r="AS41" s="159">
        <v>46156.0</v>
      </c>
      <c r="AT41" s="160">
        <f>Calculo!AQ41</f>
        <v>31</v>
      </c>
      <c r="AU41" s="161" t="str">
        <f>Calculo!AV41</f>
        <v>SEM-RISCO</v>
      </c>
      <c r="AV41" s="162" t="str">
        <f>Calculo!AW41</f>
        <v>LIBERADO</v>
      </c>
      <c r="AW41" s="161" t="str">
        <f>Calculo!AX41</f>
        <v>N/A</v>
      </c>
      <c r="AX41" s="161" t="str">
        <f>Calculo!K41</f>
        <v>N/A</v>
      </c>
      <c r="AY41" s="161" t="str">
        <f>Calculo!AY41</f>
        <v>CHECAGEM REVERSA</v>
      </c>
      <c r="AZ41" s="161" t="str">
        <f>Calculo!AZ41</f>
        <v>N/A</v>
      </c>
      <c r="BA41" s="163"/>
    </row>
    <row r="42" ht="12.0" customHeight="1">
      <c r="A42" s="88" t="str">
        <f>'Parâmetros'!$A$19</f>
        <v>Rel. Básico PJ</v>
      </c>
      <c r="B42" s="146">
        <v>201.0</v>
      </c>
      <c r="C42" s="146">
        <v>25238.0</v>
      </c>
      <c r="D42" s="146" t="s">
        <v>142</v>
      </c>
      <c r="E42" s="149" t="s">
        <v>279</v>
      </c>
      <c r="F42" s="151">
        <v>4276.0</v>
      </c>
      <c r="G42" s="151" t="s">
        <v>147</v>
      </c>
      <c r="H42" s="146" t="s">
        <v>22</v>
      </c>
      <c r="I42" s="146" t="s">
        <v>25</v>
      </c>
      <c r="J42" s="146" t="s">
        <v>25</v>
      </c>
      <c r="K42" s="146" t="s">
        <v>25</v>
      </c>
      <c r="L42" s="146" t="s">
        <v>22</v>
      </c>
      <c r="M42" s="146" t="s">
        <v>22</v>
      </c>
      <c r="N42" s="146" t="s">
        <v>229</v>
      </c>
      <c r="O42" s="146" t="s">
        <v>140</v>
      </c>
      <c r="P42" s="146" t="s">
        <v>22</v>
      </c>
      <c r="Q42" s="146">
        <v>100.0</v>
      </c>
      <c r="R42" s="146" t="s">
        <v>25</v>
      </c>
      <c r="S42" s="146" t="s">
        <v>25</v>
      </c>
      <c r="T42" s="146" t="s">
        <v>25</v>
      </c>
      <c r="U42" s="146" t="s">
        <v>22</v>
      </c>
      <c r="V42" s="146" t="s">
        <v>22</v>
      </c>
      <c r="W42" s="146" t="s">
        <v>22</v>
      </c>
      <c r="X42" s="146" t="s">
        <v>22</v>
      </c>
      <c r="Y42" s="146" t="s">
        <v>22</v>
      </c>
      <c r="Z42" s="146" t="s">
        <v>25</v>
      </c>
      <c r="AA42" s="146" t="s">
        <v>22</v>
      </c>
      <c r="AB42" s="153">
        <v>44727.0</v>
      </c>
      <c r="AC42" s="146" t="s">
        <v>22</v>
      </c>
      <c r="AD42" s="151" t="s">
        <v>280</v>
      </c>
      <c r="AE42" s="151" t="s">
        <v>22</v>
      </c>
      <c r="AF42" s="151" t="s">
        <v>25</v>
      </c>
      <c r="AG42" s="151" t="s">
        <v>25</v>
      </c>
      <c r="AH42" s="151" t="s">
        <v>25</v>
      </c>
      <c r="AI42" s="151">
        <v>0.0</v>
      </c>
      <c r="AJ42" s="146">
        <v>665.0</v>
      </c>
      <c r="AK42" s="155" t="s">
        <v>281</v>
      </c>
      <c r="AL42" s="151" t="s">
        <v>22</v>
      </c>
      <c r="AM42" s="151" t="s">
        <v>22</v>
      </c>
      <c r="AN42" s="151" t="s">
        <v>155</v>
      </c>
      <c r="AO42" s="151" t="s">
        <v>80</v>
      </c>
      <c r="AP42" s="151" t="s">
        <v>80</v>
      </c>
      <c r="AQ42" s="164"/>
      <c r="AR42" s="151" t="s">
        <v>158</v>
      </c>
      <c r="AS42" s="159">
        <v>46157.0</v>
      </c>
      <c r="AT42" s="160">
        <f>Calculo!AQ42</f>
        <v>28</v>
      </c>
      <c r="AU42" s="161" t="str">
        <f>Calculo!AV42</f>
        <v>SEM-RISCO</v>
      </c>
      <c r="AV42" s="162" t="str">
        <f>Calculo!AW42</f>
        <v>LIBERADO</v>
      </c>
      <c r="AW42" s="161" t="str">
        <f>Calculo!AX42</f>
        <v>N/A</v>
      </c>
      <c r="AX42" s="161" t="str">
        <f>Calculo!K42</f>
        <v>SOLIC CONTRATO DE ENTREGA</v>
      </c>
      <c r="AY42" s="161" t="str">
        <f>Calculo!AY42</f>
        <v>N/A</v>
      </c>
      <c r="AZ42" s="161" t="str">
        <f>Calculo!AZ42</f>
        <v>N/A</v>
      </c>
      <c r="BA42" s="163"/>
    </row>
    <row r="43" ht="12.0" customHeight="1">
      <c r="A43" s="88" t="str">
        <f>'Parâmetros'!$A$19</f>
        <v>Rel. Básico PJ</v>
      </c>
      <c r="B43" s="146">
        <v>519.0</v>
      </c>
      <c r="C43" s="146">
        <v>25367.0</v>
      </c>
      <c r="D43" s="146" t="s">
        <v>176</v>
      </c>
      <c r="E43" s="149" t="s">
        <v>282</v>
      </c>
      <c r="F43" s="151">
        <v>2290.0</v>
      </c>
      <c r="G43" s="151" t="s">
        <v>147</v>
      </c>
      <c r="H43" s="146" t="s">
        <v>22</v>
      </c>
      <c r="I43" s="146" t="s">
        <v>25</v>
      </c>
      <c r="J43" s="146" t="s">
        <v>25</v>
      </c>
      <c r="K43" s="146" t="s">
        <v>25</v>
      </c>
      <c r="L43" s="146" t="s">
        <v>22</v>
      </c>
      <c r="M43" s="146" t="s">
        <v>22</v>
      </c>
      <c r="N43" s="146" t="s">
        <v>178</v>
      </c>
      <c r="O43" s="146" t="s">
        <v>140</v>
      </c>
      <c r="P43" s="146" t="s">
        <v>22</v>
      </c>
      <c r="Q43" s="146">
        <v>100.0</v>
      </c>
      <c r="R43" s="146" t="s">
        <v>25</v>
      </c>
      <c r="S43" s="146" t="s">
        <v>25</v>
      </c>
      <c r="T43" s="146" t="s">
        <v>25</v>
      </c>
      <c r="U43" s="146" t="s">
        <v>22</v>
      </c>
      <c r="V43" s="146" t="s">
        <v>22</v>
      </c>
      <c r="W43" s="146" t="s">
        <v>25</v>
      </c>
      <c r="X43" s="146" t="s">
        <v>22</v>
      </c>
      <c r="Y43" s="146" t="s">
        <v>22</v>
      </c>
      <c r="Z43" s="146" t="s">
        <v>25</v>
      </c>
      <c r="AA43" s="146" t="s">
        <v>22</v>
      </c>
      <c r="AB43" s="153">
        <v>35774.0</v>
      </c>
      <c r="AC43" s="146" t="s">
        <v>25</v>
      </c>
      <c r="AD43" s="151" t="s">
        <v>283</v>
      </c>
      <c r="AE43" s="151" t="s">
        <v>22</v>
      </c>
      <c r="AF43" s="151" t="s">
        <v>25</v>
      </c>
      <c r="AG43" s="151" t="s">
        <v>25</v>
      </c>
      <c r="AH43" s="151" t="s">
        <v>25</v>
      </c>
      <c r="AI43" s="151">
        <v>0.0</v>
      </c>
      <c r="AJ43" s="146">
        <v>858.0</v>
      </c>
      <c r="AK43" s="155" t="s">
        <v>284</v>
      </c>
      <c r="AL43" s="151" t="s">
        <v>22</v>
      </c>
      <c r="AM43" s="151" t="s">
        <v>22</v>
      </c>
      <c r="AN43" s="151" t="s">
        <v>155</v>
      </c>
      <c r="AO43" s="151" t="s">
        <v>80</v>
      </c>
      <c r="AP43" s="151" t="s">
        <v>80</v>
      </c>
      <c r="AQ43" s="164"/>
      <c r="AR43" s="151" t="s">
        <v>158</v>
      </c>
      <c r="AS43" s="159">
        <v>46160.0</v>
      </c>
      <c r="AT43" s="160">
        <f>Calculo!AQ43</f>
        <v>43</v>
      </c>
      <c r="AU43" s="161" t="str">
        <f>Calculo!AV43</f>
        <v>SEM-RISCO</v>
      </c>
      <c r="AV43" s="162" t="str">
        <f>Calculo!AW43</f>
        <v>LIBERADO</v>
      </c>
      <c r="AW43" s="161" t="str">
        <f>Calculo!AX43</f>
        <v>N/A</v>
      </c>
      <c r="AX43" s="161" t="str">
        <f>Calculo!K43</f>
        <v>SOLIC CONTRATO DE ENTREGA</v>
      </c>
      <c r="AY43" s="161" t="str">
        <f>Calculo!AY43</f>
        <v>N/A</v>
      </c>
      <c r="AZ43" s="161" t="str">
        <f>Calculo!AZ43</f>
        <v>N/A</v>
      </c>
      <c r="BA43" s="163"/>
    </row>
    <row r="44" ht="12.0" customHeight="1">
      <c r="A44" s="88" t="str">
        <f>'Parâmetros'!$A$19</f>
        <v>Rel. Básico PJ</v>
      </c>
      <c r="B44" s="146">
        <v>203.0</v>
      </c>
      <c r="C44" s="146">
        <v>25093.0</v>
      </c>
      <c r="D44" s="146" t="s">
        <v>142</v>
      </c>
      <c r="E44" s="149" t="s">
        <v>285</v>
      </c>
      <c r="F44" s="151">
        <v>8039.0</v>
      </c>
      <c r="G44" s="151" t="s">
        <v>147</v>
      </c>
      <c r="H44" s="146" t="s">
        <v>22</v>
      </c>
      <c r="I44" s="146" t="s">
        <v>25</v>
      </c>
      <c r="J44" s="146" t="s">
        <v>25</v>
      </c>
      <c r="K44" s="146" t="s">
        <v>25</v>
      </c>
      <c r="L44" s="146" t="s">
        <v>22</v>
      </c>
      <c r="M44" s="146" t="s">
        <v>22</v>
      </c>
      <c r="N44" s="146" t="s">
        <v>173</v>
      </c>
      <c r="O44" s="146" t="s">
        <v>140</v>
      </c>
      <c r="P44" s="146" t="s">
        <v>25</v>
      </c>
      <c r="Q44" s="146">
        <v>100.0</v>
      </c>
      <c r="R44" s="146" t="s">
        <v>25</v>
      </c>
      <c r="S44" s="146" t="s">
        <v>25</v>
      </c>
      <c r="T44" s="146" t="s">
        <v>25</v>
      </c>
      <c r="U44" s="146" t="s">
        <v>22</v>
      </c>
      <c r="V44" s="146" t="s">
        <v>22</v>
      </c>
      <c r="W44" s="146" t="s">
        <v>25</v>
      </c>
      <c r="X44" s="146" t="s">
        <v>22</v>
      </c>
      <c r="Y44" s="146" t="s">
        <v>25</v>
      </c>
      <c r="Z44" s="146" t="s">
        <v>22</v>
      </c>
      <c r="AA44" s="146" t="s">
        <v>22</v>
      </c>
      <c r="AB44" s="153">
        <v>28667.0</v>
      </c>
      <c r="AC44" s="146" t="s">
        <v>25</v>
      </c>
      <c r="AD44" s="151" t="s">
        <v>286</v>
      </c>
      <c r="AE44" s="151" t="s">
        <v>22</v>
      </c>
      <c r="AF44" s="151" t="s">
        <v>25</v>
      </c>
      <c r="AG44" s="151" t="s">
        <v>25</v>
      </c>
      <c r="AH44" s="151" t="s">
        <v>25</v>
      </c>
      <c r="AI44" s="151">
        <v>0.0</v>
      </c>
      <c r="AJ44" s="146">
        <v>775.0</v>
      </c>
      <c r="AK44" s="155" t="s">
        <v>287</v>
      </c>
      <c r="AL44" s="151" t="s">
        <v>22</v>
      </c>
      <c r="AM44" s="151" t="s">
        <v>22</v>
      </c>
      <c r="AN44" s="151" t="s">
        <v>155</v>
      </c>
      <c r="AO44" s="151" t="s">
        <v>80</v>
      </c>
      <c r="AP44" s="151" t="s">
        <v>80</v>
      </c>
      <c r="AQ44" s="157"/>
      <c r="AR44" s="151" t="s">
        <v>158</v>
      </c>
      <c r="AS44" s="159">
        <v>46160.0</v>
      </c>
      <c r="AT44" s="160">
        <f>Calculo!AQ44</f>
        <v>30</v>
      </c>
      <c r="AU44" s="161" t="str">
        <f>Calculo!AV44</f>
        <v>SEM-RISCO</v>
      </c>
      <c r="AV44" s="162" t="str">
        <f>Calculo!AW44</f>
        <v>LIBERADO</v>
      </c>
      <c r="AW44" s="161" t="str">
        <f>Calculo!AX44</f>
        <v>SOLICITAR PED COMPRA</v>
      </c>
      <c r="AX44" s="161" t="str">
        <f>Calculo!K44</f>
        <v>SOLIC CONTRATO DE ENTREGA</v>
      </c>
      <c r="AY44" s="161" t="str">
        <f>Calculo!AY44</f>
        <v>N/A</v>
      </c>
      <c r="AZ44" s="161" t="str">
        <f>Calculo!AZ44</f>
        <v>N/A</v>
      </c>
      <c r="BA44" s="163"/>
    </row>
    <row r="45" ht="12.0" customHeight="1">
      <c r="A45" s="88" t="str">
        <f>'Parâmetros'!$A$19</f>
        <v>Rel. Básico PJ</v>
      </c>
      <c r="B45" s="146">
        <v>204.0</v>
      </c>
      <c r="C45" s="146">
        <v>25312.0</v>
      </c>
      <c r="D45" s="146" t="s">
        <v>142</v>
      </c>
      <c r="E45" s="149" t="s">
        <v>288</v>
      </c>
      <c r="F45" s="151">
        <v>7290.0</v>
      </c>
      <c r="G45" s="151" t="s">
        <v>147</v>
      </c>
      <c r="H45" s="146" t="s">
        <v>22</v>
      </c>
      <c r="I45" s="146" t="s">
        <v>25</v>
      </c>
      <c r="J45" s="146" t="s">
        <v>25</v>
      </c>
      <c r="K45" s="146" t="s">
        <v>25</v>
      </c>
      <c r="L45" s="146" t="s">
        <v>22</v>
      </c>
      <c r="M45" s="146" t="s">
        <v>22</v>
      </c>
      <c r="N45" s="146" t="s">
        <v>289</v>
      </c>
      <c r="O45" s="146" t="s">
        <v>140</v>
      </c>
      <c r="P45" s="146" t="s">
        <v>25</v>
      </c>
      <c r="Q45" s="146">
        <v>100.0</v>
      </c>
      <c r="R45" s="146" t="s">
        <v>25</v>
      </c>
      <c r="S45" s="146" t="s">
        <v>22</v>
      </c>
      <c r="T45" s="146" t="s">
        <v>25</v>
      </c>
      <c r="U45" s="146" t="s">
        <v>22</v>
      </c>
      <c r="V45" s="146" t="s">
        <v>22</v>
      </c>
      <c r="W45" s="146" t="s">
        <v>25</v>
      </c>
      <c r="X45" s="146" t="s">
        <v>22</v>
      </c>
      <c r="Y45" s="146" t="s">
        <v>22</v>
      </c>
      <c r="Z45" s="146" t="s">
        <v>25</v>
      </c>
      <c r="AA45" s="146" t="s">
        <v>22</v>
      </c>
      <c r="AB45" s="153">
        <v>34709.0</v>
      </c>
      <c r="AC45" s="146" t="s">
        <v>22</v>
      </c>
      <c r="AD45" s="151" t="s">
        <v>290</v>
      </c>
      <c r="AE45" s="151" t="s">
        <v>22</v>
      </c>
      <c r="AF45" s="151" t="s">
        <v>22</v>
      </c>
      <c r="AG45" s="151" t="s">
        <v>25</v>
      </c>
      <c r="AH45" s="151" t="s">
        <v>22</v>
      </c>
      <c r="AI45" s="151">
        <v>150043.54</v>
      </c>
      <c r="AJ45" s="146">
        <v>727.0</v>
      </c>
      <c r="AK45" s="155" t="s">
        <v>291</v>
      </c>
      <c r="AL45" s="151" t="s">
        <v>22</v>
      </c>
      <c r="AM45" s="151" t="s">
        <v>22</v>
      </c>
      <c r="AN45" s="151" t="s">
        <v>155</v>
      </c>
      <c r="AO45" s="151" t="s">
        <v>80</v>
      </c>
      <c r="AP45" s="151" t="s">
        <v>80</v>
      </c>
      <c r="AQ45" s="164"/>
      <c r="AR45" s="151" t="s">
        <v>158</v>
      </c>
      <c r="AS45" s="159">
        <v>46160.0</v>
      </c>
      <c r="AT45" s="160">
        <f>Calculo!AQ45</f>
        <v>33</v>
      </c>
      <c r="AU45" s="161" t="str">
        <f>Calculo!AV45</f>
        <v>SEM-RISCO</v>
      </c>
      <c r="AV45" s="162" t="str">
        <f>Calculo!AW45</f>
        <v>LIBERADO</v>
      </c>
      <c r="AW45" s="161" t="str">
        <f>Calculo!AX45</f>
        <v>SOLICITAR PED COMPRA</v>
      </c>
      <c r="AX45" s="161" t="str">
        <f>Calculo!K45</f>
        <v>SOLIC CONTRATO DE ENTREGA</v>
      </c>
      <c r="AY45" s="161" t="str">
        <f>Calculo!AY45</f>
        <v>N/A</v>
      </c>
      <c r="AZ45" s="161" t="str">
        <f>Calculo!AZ45</f>
        <v>N/A</v>
      </c>
      <c r="BA45" s="163"/>
    </row>
    <row r="46" ht="12.0" customHeight="1">
      <c r="A46" s="88" t="str">
        <f>'Parâmetros'!$A$19</f>
        <v>Rel. Básico PJ</v>
      </c>
      <c r="B46" s="146">
        <v>523.0</v>
      </c>
      <c r="C46" s="146">
        <v>25299.0</v>
      </c>
      <c r="D46" s="146" t="s">
        <v>176</v>
      </c>
      <c r="E46" s="149" t="s">
        <v>292</v>
      </c>
      <c r="F46" s="151">
        <v>549.0</v>
      </c>
      <c r="G46" s="151" t="s">
        <v>147</v>
      </c>
      <c r="H46" s="146" t="s">
        <v>22</v>
      </c>
      <c r="I46" s="146" t="s">
        <v>25</v>
      </c>
      <c r="J46" s="146" t="s">
        <v>25</v>
      </c>
      <c r="K46" s="146" t="s">
        <v>25</v>
      </c>
      <c r="L46" s="146" t="s">
        <v>25</v>
      </c>
      <c r="M46" s="146" t="s">
        <v>22</v>
      </c>
      <c r="N46" s="146" t="s">
        <v>178</v>
      </c>
      <c r="O46" s="146" t="s">
        <v>140</v>
      </c>
      <c r="P46" s="146" t="s">
        <v>25</v>
      </c>
      <c r="Q46" s="146">
        <v>100.0</v>
      </c>
      <c r="R46" s="146" t="s">
        <v>25</v>
      </c>
      <c r="S46" s="146" t="s">
        <v>25</v>
      </c>
      <c r="T46" s="146" t="s">
        <v>25</v>
      </c>
      <c r="U46" s="146" t="s">
        <v>22</v>
      </c>
      <c r="V46" s="146" t="s">
        <v>22</v>
      </c>
      <c r="W46" s="146" t="s">
        <v>25</v>
      </c>
      <c r="X46" s="146" t="s">
        <v>22</v>
      </c>
      <c r="Y46" s="146" t="s">
        <v>22</v>
      </c>
      <c r="Z46" s="146" t="s">
        <v>25</v>
      </c>
      <c r="AA46" s="146" t="s">
        <v>22</v>
      </c>
      <c r="AB46" s="153">
        <v>40598.0</v>
      </c>
      <c r="AC46" s="146" t="s">
        <v>22</v>
      </c>
      <c r="AD46" s="151" t="s">
        <v>293</v>
      </c>
      <c r="AE46" s="151" t="s">
        <v>22</v>
      </c>
      <c r="AF46" s="151" t="s">
        <v>22</v>
      </c>
      <c r="AG46" s="151" t="s">
        <v>25</v>
      </c>
      <c r="AH46" s="151" t="s">
        <v>22</v>
      </c>
      <c r="AI46" s="151">
        <v>12003.82</v>
      </c>
      <c r="AJ46" s="146">
        <v>671.0</v>
      </c>
      <c r="AK46" s="155" t="s">
        <v>294</v>
      </c>
      <c r="AL46" s="151" t="s">
        <v>22</v>
      </c>
      <c r="AM46" s="151" t="s">
        <v>22</v>
      </c>
      <c r="AN46" s="151" t="s">
        <v>155</v>
      </c>
      <c r="AO46" s="151" t="s">
        <v>80</v>
      </c>
      <c r="AP46" s="151" t="s">
        <v>80</v>
      </c>
      <c r="AQ46" s="157"/>
      <c r="AR46" s="151" t="s">
        <v>158</v>
      </c>
      <c r="AS46" s="159">
        <v>46161.0</v>
      </c>
      <c r="AT46" s="160">
        <f>Calculo!AQ46</f>
        <v>9</v>
      </c>
      <c r="AU46" s="161" t="str">
        <f>Calculo!AV46</f>
        <v>SEM-RISCO</v>
      </c>
      <c r="AV46" s="162" t="str">
        <f>Calculo!AW46</f>
        <v>LIBERADO</v>
      </c>
      <c r="AW46" s="161" t="str">
        <f>Calculo!AX46</f>
        <v>N/A</v>
      </c>
      <c r="AX46" s="161" t="str">
        <f>Calculo!K46</f>
        <v>N/A</v>
      </c>
      <c r="AY46" s="161" t="str">
        <f>Calculo!AY46</f>
        <v>N/A</v>
      </c>
      <c r="AZ46" s="161" t="str">
        <f>Calculo!AZ46</f>
        <v>N/A</v>
      </c>
      <c r="BA46" s="163"/>
    </row>
    <row r="47" ht="12.0" customHeight="1">
      <c r="A47" s="88" t="str">
        <f>'Parâmetros'!$A$19</f>
        <v>Rel. Básico PJ</v>
      </c>
      <c r="B47" s="146">
        <v>205.0</v>
      </c>
      <c r="C47" s="146">
        <v>25351.0</v>
      </c>
      <c r="D47" s="146" t="s">
        <v>142</v>
      </c>
      <c r="E47" s="149" t="s">
        <v>295</v>
      </c>
      <c r="F47" s="151">
        <v>3205.0</v>
      </c>
      <c r="G47" s="151" t="s">
        <v>147</v>
      </c>
      <c r="H47" s="146" t="s">
        <v>22</v>
      </c>
      <c r="I47" s="146" t="s">
        <v>25</v>
      </c>
      <c r="J47" s="146" t="s">
        <v>25</v>
      </c>
      <c r="K47" s="146" t="s">
        <v>25</v>
      </c>
      <c r="L47" s="146" t="s">
        <v>22</v>
      </c>
      <c r="M47" s="146" t="s">
        <v>22</v>
      </c>
      <c r="N47" s="146" t="s">
        <v>173</v>
      </c>
      <c r="O47" s="146">
        <v>5.0</v>
      </c>
      <c r="P47" s="146" t="s">
        <v>22</v>
      </c>
      <c r="Q47" s="146">
        <v>100.0</v>
      </c>
      <c r="R47" s="146" t="s">
        <v>25</v>
      </c>
      <c r="S47" s="146" t="s">
        <v>25</v>
      </c>
      <c r="T47" s="146" t="s">
        <v>25</v>
      </c>
      <c r="U47" s="146" t="s">
        <v>22</v>
      </c>
      <c r="V47" s="146" t="s">
        <v>22</v>
      </c>
      <c r="W47" s="146" t="s">
        <v>25</v>
      </c>
      <c r="X47" s="146" t="s">
        <v>22</v>
      </c>
      <c r="Y47" s="146" t="s">
        <v>22</v>
      </c>
      <c r="Z47" s="146" t="s">
        <v>25</v>
      </c>
      <c r="AA47" s="146" t="s">
        <v>22</v>
      </c>
      <c r="AB47" s="153">
        <v>31365.0</v>
      </c>
      <c r="AC47" s="146" t="s">
        <v>25</v>
      </c>
      <c r="AD47" s="151" t="s">
        <v>296</v>
      </c>
      <c r="AE47" s="151" t="s">
        <v>22</v>
      </c>
      <c r="AF47" s="151" t="s">
        <v>25</v>
      </c>
      <c r="AG47" s="151" t="s">
        <v>25</v>
      </c>
      <c r="AH47" s="151" t="s">
        <v>22</v>
      </c>
      <c r="AI47" s="151">
        <v>1736.18</v>
      </c>
      <c r="AJ47" s="146">
        <v>393.0</v>
      </c>
      <c r="AK47" s="155" t="s">
        <v>297</v>
      </c>
      <c r="AL47" s="151" t="s">
        <v>22</v>
      </c>
      <c r="AM47" s="151" t="s">
        <v>22</v>
      </c>
      <c r="AN47" s="151" t="s">
        <v>155</v>
      </c>
      <c r="AO47" s="151" t="s">
        <v>80</v>
      </c>
      <c r="AP47" s="151" t="s">
        <v>80</v>
      </c>
      <c r="AQ47" s="164"/>
      <c r="AR47" s="151" t="s">
        <v>158</v>
      </c>
      <c r="AS47" s="159">
        <v>46162.0</v>
      </c>
      <c r="AT47" s="160">
        <f>Calculo!AQ47</f>
        <v>23</v>
      </c>
      <c r="AU47" s="161" t="str">
        <f>Calculo!AV47</f>
        <v>SEM-RISCO</v>
      </c>
      <c r="AV47" s="162" t="str">
        <f>Calculo!AW47</f>
        <v>LIBERADO</v>
      </c>
      <c r="AW47" s="161" t="str">
        <f>Calculo!AX47</f>
        <v>N/A</v>
      </c>
      <c r="AX47" s="161" t="str">
        <f>Calculo!K47</f>
        <v>SOLIC CONTRATO DE ENTREGA</v>
      </c>
      <c r="AY47" s="161" t="str">
        <f>Calculo!AY47</f>
        <v>N/A</v>
      </c>
      <c r="AZ47" s="161" t="str">
        <f>Calculo!AZ47</f>
        <v>N/A</v>
      </c>
      <c r="BA47" s="163"/>
    </row>
    <row r="48" ht="12.0" customHeight="1">
      <c r="A48" s="88" t="str">
        <f>'Parâmetros'!$A$19</f>
        <v>Rel. Básico PJ</v>
      </c>
      <c r="B48" s="146">
        <v>208.0</v>
      </c>
      <c r="C48" s="146">
        <v>25395.0</v>
      </c>
      <c r="D48" s="146" t="s">
        <v>142</v>
      </c>
      <c r="E48" s="149" t="s">
        <v>298</v>
      </c>
      <c r="F48" s="151">
        <v>4418.2</v>
      </c>
      <c r="G48" s="151" t="s">
        <v>147</v>
      </c>
      <c r="H48" s="146" t="s">
        <v>22</v>
      </c>
      <c r="I48" s="146" t="s">
        <v>25</v>
      </c>
      <c r="J48" s="146" t="s">
        <v>25</v>
      </c>
      <c r="K48" s="146" t="s">
        <v>25</v>
      </c>
      <c r="L48" s="146" t="s">
        <v>22</v>
      </c>
      <c r="M48" s="146" t="s">
        <v>22</v>
      </c>
      <c r="N48" s="146" t="s">
        <v>173</v>
      </c>
      <c r="O48" s="146" t="s">
        <v>140</v>
      </c>
      <c r="P48" s="146" t="s">
        <v>22</v>
      </c>
      <c r="Q48" s="146">
        <v>100.0</v>
      </c>
      <c r="R48" s="146" t="s">
        <v>25</v>
      </c>
      <c r="S48" s="146" t="s">
        <v>25</v>
      </c>
      <c r="T48" s="146" t="s">
        <v>25</v>
      </c>
      <c r="U48" s="146" t="s">
        <v>22</v>
      </c>
      <c r="V48" s="146" t="s">
        <v>22</v>
      </c>
      <c r="W48" s="146" t="s">
        <v>25</v>
      </c>
      <c r="X48" s="146" t="s">
        <v>22</v>
      </c>
      <c r="Y48" s="146" t="s">
        <v>25</v>
      </c>
      <c r="Z48" s="146" t="s">
        <v>25</v>
      </c>
      <c r="AA48" s="146" t="s">
        <v>22</v>
      </c>
      <c r="AB48" s="153">
        <v>37655.0</v>
      </c>
      <c r="AC48" s="146" t="s">
        <v>22</v>
      </c>
      <c r="AD48" s="151" t="s">
        <v>299</v>
      </c>
      <c r="AE48" s="151" t="s">
        <v>22</v>
      </c>
      <c r="AF48" s="151" t="s">
        <v>25</v>
      </c>
      <c r="AG48" s="151" t="s">
        <v>25</v>
      </c>
      <c r="AH48" s="151" t="s">
        <v>25</v>
      </c>
      <c r="AI48" s="151">
        <v>0.0</v>
      </c>
      <c r="AJ48" s="146">
        <v>775.0</v>
      </c>
      <c r="AK48" s="155" t="s">
        <v>300</v>
      </c>
      <c r="AL48" s="151" t="s">
        <v>22</v>
      </c>
      <c r="AM48" s="151" t="s">
        <v>22</v>
      </c>
      <c r="AN48" s="151" t="s">
        <v>155</v>
      </c>
      <c r="AO48" s="151" t="s">
        <v>80</v>
      </c>
      <c r="AP48" s="151" t="s">
        <v>80</v>
      </c>
      <c r="AQ48" s="164"/>
      <c r="AR48" s="151" t="s">
        <v>158</v>
      </c>
      <c r="AS48" s="159">
        <v>46162.0</v>
      </c>
      <c r="AT48" s="160">
        <f>Calculo!AQ48</f>
        <v>41</v>
      </c>
      <c r="AU48" s="161" t="str">
        <f>Calculo!AV48</f>
        <v>SEM-RISCO</v>
      </c>
      <c r="AV48" s="162" t="str">
        <f>Calculo!AW48</f>
        <v>LIBERADO</v>
      </c>
      <c r="AW48" s="161" t="str">
        <f>Calculo!AX48</f>
        <v>N/A</v>
      </c>
      <c r="AX48" s="161" t="str">
        <f>Calculo!K48</f>
        <v>SOLIC CONTRATO DE ENTREGA</v>
      </c>
      <c r="AY48" s="161" t="str">
        <f>Calculo!AY48</f>
        <v>N/A</v>
      </c>
      <c r="AZ48" s="161" t="str">
        <f>Calculo!AZ48</f>
        <v>N/A</v>
      </c>
      <c r="BA48" s="163"/>
    </row>
    <row r="49" ht="12.0" customHeight="1">
      <c r="A49" s="88" t="str">
        <f>'Parâmetros'!$A$19</f>
        <v>Rel. Básico PJ</v>
      </c>
      <c r="B49" s="146">
        <v>209.0</v>
      </c>
      <c r="C49" s="146">
        <v>243118.0</v>
      </c>
      <c r="D49" s="146" t="s">
        <v>142</v>
      </c>
      <c r="E49" s="149" t="s">
        <v>301</v>
      </c>
      <c r="F49" s="151">
        <v>13720.0</v>
      </c>
      <c r="G49" s="151" t="s">
        <v>147</v>
      </c>
      <c r="H49" s="146" t="s">
        <v>22</v>
      </c>
      <c r="I49" s="146" t="s">
        <v>25</v>
      </c>
      <c r="J49" s="146" t="s">
        <v>25</v>
      </c>
      <c r="K49" s="146" t="s">
        <v>25</v>
      </c>
      <c r="L49" s="146" t="s">
        <v>22</v>
      </c>
      <c r="M49" s="146" t="s">
        <v>22</v>
      </c>
      <c r="N49" s="146" t="s">
        <v>173</v>
      </c>
      <c r="O49" s="146" t="s">
        <v>140</v>
      </c>
      <c r="P49" s="146" t="s">
        <v>25</v>
      </c>
      <c r="Q49" s="146">
        <v>100.0</v>
      </c>
      <c r="R49" s="146" t="s">
        <v>25</v>
      </c>
      <c r="S49" s="146" t="s">
        <v>25</v>
      </c>
      <c r="T49" s="146" t="s">
        <v>25</v>
      </c>
      <c r="U49" s="146" t="s">
        <v>22</v>
      </c>
      <c r="V49" s="146" t="s">
        <v>22</v>
      </c>
      <c r="W49" s="146" t="s">
        <v>25</v>
      </c>
      <c r="X49" s="146" t="s">
        <v>22</v>
      </c>
      <c r="Y49" s="146" t="s">
        <v>25</v>
      </c>
      <c r="Z49" s="146" t="s">
        <v>25</v>
      </c>
      <c r="AA49" s="146" t="s">
        <v>22</v>
      </c>
      <c r="AB49" s="153">
        <v>24469.0</v>
      </c>
      <c r="AC49" s="146" t="s">
        <v>25</v>
      </c>
      <c r="AD49" s="151"/>
      <c r="AE49" s="151" t="s">
        <v>22</v>
      </c>
      <c r="AF49" s="151" t="s">
        <v>22</v>
      </c>
      <c r="AG49" s="151" t="s">
        <v>25</v>
      </c>
      <c r="AH49" s="151" t="s">
        <v>22</v>
      </c>
      <c r="AI49" s="151">
        <v>1158674.54</v>
      </c>
      <c r="AJ49" s="146">
        <v>331.0</v>
      </c>
      <c r="AK49" s="155" t="s">
        <v>302</v>
      </c>
      <c r="AL49" s="151" t="s">
        <v>22</v>
      </c>
      <c r="AM49" s="151" t="s">
        <v>22</v>
      </c>
      <c r="AN49" s="151" t="s">
        <v>155</v>
      </c>
      <c r="AO49" s="151" t="s">
        <v>80</v>
      </c>
      <c r="AP49" s="151" t="s">
        <v>80</v>
      </c>
      <c r="AQ49" s="157"/>
      <c r="AR49" s="151" t="s">
        <v>190</v>
      </c>
      <c r="AS49" s="159">
        <v>46162.0</v>
      </c>
      <c r="AT49" s="160">
        <f>Calculo!AQ49</f>
        <v>-20</v>
      </c>
      <c r="AU49" s="161" t="str">
        <f>Calculo!AV49</f>
        <v>EMPRESINHA</v>
      </c>
      <c r="AV49" s="162" t="str">
        <f>Calculo!AW49</f>
        <v>VER E-MAIL CORPORATIVO SITE REFERENC COML NFE 3S ALTO VALOR FATURADO</v>
      </c>
      <c r="AW49" s="161" t="str">
        <f>Calculo!AX49</f>
        <v>SOLICITAR PED COMPRA</v>
      </c>
      <c r="AX49" s="161" t="str">
        <f>Calculo!K49</f>
        <v>SOLIC CONTRATO DE ENTREGA</v>
      </c>
      <c r="AY49" s="161" t="str">
        <f>Calculo!AY49</f>
        <v>N/A</v>
      </c>
      <c r="AZ49" s="161" t="str">
        <f>Calculo!AZ49</f>
        <v>N/A</v>
      </c>
      <c r="BA49" s="163"/>
    </row>
    <row r="50" ht="12.0" customHeight="1">
      <c r="A50" s="88" t="str">
        <f>'Parâmetros'!$A$19</f>
        <v>Rel. Básico PJ</v>
      </c>
      <c r="B50" s="146">
        <v>528.0</v>
      </c>
      <c r="C50" s="146">
        <v>25225.0</v>
      </c>
      <c r="D50" s="146" t="s">
        <v>176</v>
      </c>
      <c r="E50" s="149" t="s">
        <v>303</v>
      </c>
      <c r="F50" s="151">
        <v>4388.0</v>
      </c>
      <c r="G50" s="151" t="s">
        <v>147</v>
      </c>
      <c r="H50" s="146" t="s">
        <v>22</v>
      </c>
      <c r="I50" s="146" t="s">
        <v>25</v>
      </c>
      <c r="J50" s="146" t="s">
        <v>25</v>
      </c>
      <c r="K50" s="146" t="s">
        <v>25</v>
      </c>
      <c r="L50" s="146" t="s">
        <v>22</v>
      </c>
      <c r="M50" s="146" t="s">
        <v>22</v>
      </c>
      <c r="N50" s="146" t="s">
        <v>173</v>
      </c>
      <c r="O50" s="146">
        <v>5.0</v>
      </c>
      <c r="P50" s="146" t="s">
        <v>22</v>
      </c>
      <c r="Q50" s="146">
        <v>100.0</v>
      </c>
      <c r="R50" s="146" t="s">
        <v>25</v>
      </c>
      <c r="S50" s="146" t="s">
        <v>25</v>
      </c>
      <c r="T50" s="146" t="s">
        <v>25</v>
      </c>
      <c r="U50" s="146" t="s">
        <v>22</v>
      </c>
      <c r="V50" s="146" t="s">
        <v>22</v>
      </c>
      <c r="W50" s="146" t="s">
        <v>25</v>
      </c>
      <c r="X50" s="146" t="s">
        <v>22</v>
      </c>
      <c r="Y50" s="146" t="s">
        <v>22</v>
      </c>
      <c r="Z50" s="146" t="s">
        <v>25</v>
      </c>
      <c r="AA50" s="146" t="s">
        <v>22</v>
      </c>
      <c r="AB50" s="153">
        <v>37771.0</v>
      </c>
      <c r="AC50" s="146" t="s">
        <v>25</v>
      </c>
      <c r="AD50" s="151" t="s">
        <v>304</v>
      </c>
      <c r="AE50" s="151" t="s">
        <v>22</v>
      </c>
      <c r="AF50" s="151" t="s">
        <v>25</v>
      </c>
      <c r="AG50" s="151" t="s">
        <v>25</v>
      </c>
      <c r="AH50" s="151" t="s">
        <v>25</v>
      </c>
      <c r="AI50" s="151">
        <v>0.0</v>
      </c>
      <c r="AJ50" s="146">
        <v>822.0</v>
      </c>
      <c r="AK50" s="155" t="s">
        <v>305</v>
      </c>
      <c r="AL50" s="151" t="s">
        <v>22</v>
      </c>
      <c r="AM50" s="151" t="s">
        <v>22</v>
      </c>
      <c r="AN50" s="151" t="s">
        <v>155</v>
      </c>
      <c r="AO50" s="151" t="s">
        <v>80</v>
      </c>
      <c r="AP50" s="151" t="s">
        <v>80</v>
      </c>
      <c r="AQ50" s="164"/>
      <c r="AR50" s="151" t="s">
        <v>158</v>
      </c>
      <c r="AS50" s="159">
        <v>46162.0</v>
      </c>
      <c r="AT50" s="160">
        <f>Calculo!AQ50</f>
        <v>46</v>
      </c>
      <c r="AU50" s="161" t="str">
        <f>Calculo!AV50</f>
        <v>SEM-RISCO</v>
      </c>
      <c r="AV50" s="162" t="str">
        <f>Calculo!AW50</f>
        <v>LIBERADO</v>
      </c>
      <c r="AW50" s="161" t="str">
        <f>Calculo!AX50</f>
        <v>N/A</v>
      </c>
      <c r="AX50" s="161" t="str">
        <f>Calculo!K50</f>
        <v>SOLIC CONTRATO DE ENTREGA</v>
      </c>
      <c r="AY50" s="161" t="str">
        <f>Calculo!AY50</f>
        <v>N/A</v>
      </c>
      <c r="AZ50" s="161" t="str">
        <f>Calculo!AZ50</f>
        <v>N/A</v>
      </c>
      <c r="BA50" s="163"/>
    </row>
    <row r="51" ht="12.0" customHeight="1">
      <c r="A51" s="88" t="str">
        <f>'Parâmetros'!$A$19</f>
        <v>Rel. Básico PJ</v>
      </c>
      <c r="B51" s="146">
        <v>531.0</v>
      </c>
      <c r="C51" s="146">
        <v>25237.0</v>
      </c>
      <c r="D51" s="146" t="s">
        <v>176</v>
      </c>
      <c r="E51" s="149" t="s">
        <v>306</v>
      </c>
      <c r="F51" s="151">
        <v>19528.0</v>
      </c>
      <c r="G51" s="151" t="s">
        <v>147</v>
      </c>
      <c r="H51" s="146" t="s">
        <v>22</v>
      </c>
      <c r="I51" s="146" t="s">
        <v>25</v>
      </c>
      <c r="J51" s="146" t="s">
        <v>25</v>
      </c>
      <c r="K51" s="146" t="s">
        <v>25</v>
      </c>
      <c r="L51" s="146" t="s">
        <v>22</v>
      </c>
      <c r="M51" s="146" t="s">
        <v>22</v>
      </c>
      <c r="N51" s="146" t="s">
        <v>173</v>
      </c>
      <c r="O51" s="146">
        <v>5.0</v>
      </c>
      <c r="P51" s="146" t="s">
        <v>25</v>
      </c>
      <c r="Q51" s="146">
        <v>100.0</v>
      </c>
      <c r="R51" s="146" t="s">
        <v>25</v>
      </c>
      <c r="S51" s="146" t="s">
        <v>22</v>
      </c>
      <c r="T51" s="146" t="s">
        <v>25</v>
      </c>
      <c r="U51" s="146" t="s">
        <v>22</v>
      </c>
      <c r="V51" s="146" t="s">
        <v>22</v>
      </c>
      <c r="W51" s="146" t="s">
        <v>25</v>
      </c>
      <c r="X51" s="146" t="s">
        <v>22</v>
      </c>
      <c r="Y51" s="146" t="s">
        <v>22</v>
      </c>
      <c r="Z51" s="146" t="s">
        <v>25</v>
      </c>
      <c r="AA51" s="146" t="s">
        <v>22</v>
      </c>
      <c r="AB51" s="153">
        <v>24379.0</v>
      </c>
      <c r="AC51" s="146" t="s">
        <v>22</v>
      </c>
      <c r="AD51" s="151" t="s">
        <v>307</v>
      </c>
      <c r="AE51" s="151" t="s">
        <v>22</v>
      </c>
      <c r="AF51" s="151" t="s">
        <v>22</v>
      </c>
      <c r="AG51" s="151" t="s">
        <v>25</v>
      </c>
      <c r="AH51" s="151" t="s">
        <v>22</v>
      </c>
      <c r="AI51" s="151">
        <v>36737.04</v>
      </c>
      <c r="AJ51" s="146">
        <v>731.0</v>
      </c>
      <c r="AK51" s="155" t="s">
        <v>308</v>
      </c>
      <c r="AL51" s="151" t="s">
        <v>22</v>
      </c>
      <c r="AM51" s="151" t="s">
        <v>22</v>
      </c>
      <c r="AN51" s="151" t="s">
        <v>155</v>
      </c>
      <c r="AO51" s="151" t="s">
        <v>80</v>
      </c>
      <c r="AP51" s="151" t="s">
        <v>80</v>
      </c>
      <c r="AQ51" s="157"/>
      <c r="AR51" s="151" t="s">
        <v>158</v>
      </c>
      <c r="AS51" s="159">
        <v>46163.0</v>
      </c>
      <c r="AT51" s="160">
        <f>Calculo!AQ51</f>
        <v>46</v>
      </c>
      <c r="AU51" s="161" t="str">
        <f>Calculo!AV51</f>
        <v>SEM-RISCO</v>
      </c>
      <c r="AV51" s="162" t="str">
        <f>Calculo!AW51</f>
        <v>LIBERADO</v>
      </c>
      <c r="AW51" s="161" t="str">
        <f>Calculo!AX51</f>
        <v>SOLICITAR PED COMPRA</v>
      </c>
      <c r="AX51" s="161" t="str">
        <f>Calculo!K51</f>
        <v>SOLIC CONTRATO DE ENTREGA</v>
      </c>
      <c r="AY51" s="161" t="str">
        <f>Calculo!AY51</f>
        <v>N/A</v>
      </c>
      <c r="AZ51" s="161" t="str">
        <f>Calculo!AZ51</f>
        <v>N/A</v>
      </c>
      <c r="BA51" s="163"/>
    </row>
    <row r="52" ht="12.0" customHeight="1">
      <c r="A52" s="88" t="str">
        <f>'Parâmetros'!$A$19</f>
        <v>Rel. Básico PJ</v>
      </c>
      <c r="B52" s="146">
        <v>212.0</v>
      </c>
      <c r="C52" s="146">
        <v>25424.0</v>
      </c>
      <c r="D52" s="146" t="s">
        <v>142</v>
      </c>
      <c r="E52" s="149" t="s">
        <v>309</v>
      </c>
      <c r="F52" s="151">
        <v>6819.0</v>
      </c>
      <c r="G52" s="151" t="s">
        <v>147</v>
      </c>
      <c r="H52" s="146" t="s">
        <v>22</v>
      </c>
      <c r="I52" s="146" t="s">
        <v>25</v>
      </c>
      <c r="J52" s="146" t="s">
        <v>25</v>
      </c>
      <c r="K52" s="146" t="s">
        <v>25</v>
      </c>
      <c r="L52" s="146" t="s">
        <v>22</v>
      </c>
      <c r="M52" s="146" t="s">
        <v>22</v>
      </c>
      <c r="N52" s="146" t="s">
        <v>173</v>
      </c>
      <c r="O52" s="146">
        <v>5.0</v>
      </c>
      <c r="P52" s="146" t="s">
        <v>22</v>
      </c>
      <c r="Q52" s="146">
        <v>100.0</v>
      </c>
      <c r="R52" s="146" t="s">
        <v>25</v>
      </c>
      <c r="S52" s="146" t="s">
        <v>22</v>
      </c>
      <c r="T52" s="146" t="s">
        <v>25</v>
      </c>
      <c r="U52" s="146" t="s">
        <v>22</v>
      </c>
      <c r="V52" s="146" t="s">
        <v>22</v>
      </c>
      <c r="W52" s="146" t="s">
        <v>25</v>
      </c>
      <c r="X52" s="146" t="s">
        <v>22</v>
      </c>
      <c r="Y52" s="146" t="s">
        <v>22</v>
      </c>
      <c r="Z52" s="146" t="s">
        <v>25</v>
      </c>
      <c r="AA52" s="146" t="s">
        <v>22</v>
      </c>
      <c r="AB52" s="153">
        <v>26064.0</v>
      </c>
      <c r="AC52" s="146" t="s">
        <v>25</v>
      </c>
      <c r="AD52" s="151"/>
      <c r="AE52" s="151" t="s">
        <v>22</v>
      </c>
      <c r="AF52" s="151" t="s">
        <v>25</v>
      </c>
      <c r="AG52" s="151" t="s">
        <v>25</v>
      </c>
      <c r="AH52" s="151" t="s">
        <v>25</v>
      </c>
      <c r="AI52" s="151">
        <v>0.0</v>
      </c>
      <c r="AJ52" s="146">
        <v>799.0</v>
      </c>
      <c r="AK52" s="155" t="s">
        <v>310</v>
      </c>
      <c r="AL52" s="151" t="s">
        <v>22</v>
      </c>
      <c r="AM52" s="151" t="s">
        <v>22</v>
      </c>
      <c r="AN52" s="151" t="s">
        <v>155</v>
      </c>
      <c r="AO52" s="151" t="s">
        <v>80</v>
      </c>
      <c r="AP52" s="151" t="s">
        <v>80</v>
      </c>
      <c r="AQ52" s="164"/>
      <c r="AR52" s="151" t="s">
        <v>158</v>
      </c>
      <c r="AS52" s="159">
        <v>46164.0</v>
      </c>
      <c r="AT52" s="160">
        <f>Calculo!AQ52</f>
        <v>45</v>
      </c>
      <c r="AU52" s="161" t="str">
        <f>Calculo!AV52</f>
        <v>SEM-RISCO</v>
      </c>
      <c r="AV52" s="162" t="str">
        <f>Calculo!AW52</f>
        <v>LIBERADO</v>
      </c>
      <c r="AW52" s="161" t="str">
        <f>Calculo!AX52</f>
        <v>SOLICITAR PED COMPRA</v>
      </c>
      <c r="AX52" s="161" t="str">
        <f>Calculo!K52</f>
        <v>SOLIC CONTRATO DE ENTREGA</v>
      </c>
      <c r="AY52" s="161" t="str">
        <f>Calculo!AY52</f>
        <v>N/A</v>
      </c>
      <c r="AZ52" s="161" t="str">
        <f>Calculo!AZ52</f>
        <v>N/A</v>
      </c>
      <c r="BA52" s="163"/>
    </row>
    <row r="53" ht="12.0" customHeight="1">
      <c r="A53" s="88" t="str">
        <f>'Parâmetros'!$A$19</f>
        <v>Rel. Básico PJ</v>
      </c>
      <c r="B53" s="146">
        <v>542.0</v>
      </c>
      <c r="C53" s="146">
        <v>25372.0</v>
      </c>
      <c r="D53" s="146" t="s">
        <v>176</v>
      </c>
      <c r="E53" s="149" t="s">
        <v>311</v>
      </c>
      <c r="F53" s="151">
        <v>2511.0</v>
      </c>
      <c r="G53" s="151" t="s">
        <v>147</v>
      </c>
      <c r="H53" s="146" t="s">
        <v>22</v>
      </c>
      <c r="I53" s="146" t="s">
        <v>25</v>
      </c>
      <c r="J53" s="146" t="s">
        <v>25</v>
      </c>
      <c r="K53" s="146" t="s">
        <v>25</v>
      </c>
      <c r="L53" s="146" t="s">
        <v>22</v>
      </c>
      <c r="M53" s="146" t="s">
        <v>22</v>
      </c>
      <c r="N53" s="146" t="s">
        <v>289</v>
      </c>
      <c r="O53" s="146">
        <v>5.0</v>
      </c>
      <c r="P53" s="146" t="s">
        <v>22</v>
      </c>
      <c r="Q53" s="146">
        <v>100.0</v>
      </c>
      <c r="R53" s="146" t="s">
        <v>25</v>
      </c>
      <c r="S53" s="146" t="s">
        <v>22</v>
      </c>
      <c r="T53" s="146" t="s">
        <v>25</v>
      </c>
      <c r="U53" s="146" t="s">
        <v>22</v>
      </c>
      <c r="V53" s="146" t="s">
        <v>22</v>
      </c>
      <c r="W53" s="146" t="s">
        <v>22</v>
      </c>
      <c r="X53" s="146" t="s">
        <v>22</v>
      </c>
      <c r="Y53" s="146" t="s">
        <v>22</v>
      </c>
      <c r="Z53" s="146" t="s">
        <v>22</v>
      </c>
      <c r="AA53" s="146" t="s">
        <v>22</v>
      </c>
      <c r="AB53" s="153">
        <v>26172.0</v>
      </c>
      <c r="AC53" s="146" t="s">
        <v>22</v>
      </c>
      <c r="AD53" s="151" t="s">
        <v>312</v>
      </c>
      <c r="AE53" s="151" t="s">
        <v>22</v>
      </c>
      <c r="AF53" s="151" t="s">
        <v>22</v>
      </c>
      <c r="AG53" s="151" t="s">
        <v>25</v>
      </c>
      <c r="AH53" s="151" t="s">
        <v>22</v>
      </c>
      <c r="AI53" s="151">
        <v>1145924.22</v>
      </c>
      <c r="AJ53" s="146">
        <v>671.0</v>
      </c>
      <c r="AK53" s="155" t="s">
        <v>313</v>
      </c>
      <c r="AL53" s="151" t="s">
        <v>22</v>
      </c>
      <c r="AM53" s="151" t="s">
        <v>22</v>
      </c>
      <c r="AN53" s="151" t="s">
        <v>155</v>
      </c>
      <c r="AO53" s="151" t="s">
        <v>80</v>
      </c>
      <c r="AP53" s="151" t="s">
        <v>80</v>
      </c>
      <c r="AQ53" s="164"/>
      <c r="AR53" s="151" t="s">
        <v>158</v>
      </c>
      <c r="AS53" s="159">
        <v>46168.0</v>
      </c>
      <c r="AT53" s="160">
        <f>Calculo!AQ53</f>
        <v>16</v>
      </c>
      <c r="AU53" s="161" t="str">
        <f>Calculo!AV53</f>
        <v>SEM-RISCO</v>
      </c>
      <c r="AV53" s="162" t="str">
        <f>Calculo!AW53</f>
        <v>LIBERADO</v>
      </c>
      <c r="AW53" s="161" t="str">
        <f>Calculo!AX53</f>
        <v>N/A</v>
      </c>
      <c r="AX53" s="161" t="str">
        <f>Calculo!K53</f>
        <v>SOLIC CONTRATO DE ENTREGA</v>
      </c>
      <c r="AY53" s="161" t="str">
        <f>Calculo!AY53</f>
        <v>N/A</v>
      </c>
      <c r="AZ53" s="161" t="str">
        <f>Calculo!AZ53</f>
        <v>N/A</v>
      </c>
      <c r="BA53" s="163"/>
    </row>
    <row r="54" ht="12.0" customHeight="1">
      <c r="A54" s="88" t="str">
        <f>'Parâmetros'!$A$19</f>
        <v>Rel. Básico PJ</v>
      </c>
      <c r="B54" s="146">
        <v>217.0</v>
      </c>
      <c r="C54" s="146">
        <v>25421.0</v>
      </c>
      <c r="D54" s="146" t="s">
        <v>142</v>
      </c>
      <c r="E54" s="149" t="s">
        <v>314</v>
      </c>
      <c r="F54" s="151">
        <v>7475.0</v>
      </c>
      <c r="G54" s="151" t="s">
        <v>147</v>
      </c>
      <c r="H54" s="146" t="s">
        <v>22</v>
      </c>
      <c r="I54" s="146" t="s">
        <v>25</v>
      </c>
      <c r="J54" s="146" t="s">
        <v>25</v>
      </c>
      <c r="K54" s="146" t="s">
        <v>25</v>
      </c>
      <c r="L54" s="146" t="s">
        <v>22</v>
      </c>
      <c r="M54" s="146" t="s">
        <v>22</v>
      </c>
      <c r="N54" s="146" t="s">
        <v>178</v>
      </c>
      <c r="O54" s="146" t="s">
        <v>140</v>
      </c>
      <c r="P54" s="146" t="s">
        <v>25</v>
      </c>
      <c r="Q54" s="146">
        <v>100.0</v>
      </c>
      <c r="R54" s="146" t="s">
        <v>25</v>
      </c>
      <c r="S54" s="146" t="s">
        <v>22</v>
      </c>
      <c r="T54" s="146" t="s">
        <v>25</v>
      </c>
      <c r="U54" s="146" t="s">
        <v>22</v>
      </c>
      <c r="V54" s="146" t="s">
        <v>22</v>
      </c>
      <c r="W54" s="146" t="s">
        <v>25</v>
      </c>
      <c r="X54" s="146" t="s">
        <v>22</v>
      </c>
      <c r="Y54" s="146" t="s">
        <v>22</v>
      </c>
      <c r="Z54" s="146" t="s">
        <v>25</v>
      </c>
      <c r="AA54" s="146" t="s">
        <v>22</v>
      </c>
      <c r="AB54" s="153">
        <v>26591.0</v>
      </c>
      <c r="AC54" s="146" t="s">
        <v>25</v>
      </c>
      <c r="AD54" s="151" t="s">
        <v>315</v>
      </c>
      <c r="AE54" s="151" t="s">
        <v>22</v>
      </c>
      <c r="AF54" s="151" t="s">
        <v>25</v>
      </c>
      <c r="AG54" s="151" t="s">
        <v>25</v>
      </c>
      <c r="AH54" s="151" t="s">
        <v>25</v>
      </c>
      <c r="AI54" s="151">
        <v>0.0</v>
      </c>
      <c r="AJ54" s="146">
        <v>797.0</v>
      </c>
      <c r="AK54" s="155" t="s">
        <v>316</v>
      </c>
      <c r="AL54" s="151" t="s">
        <v>22</v>
      </c>
      <c r="AM54" s="151" t="s">
        <v>22</v>
      </c>
      <c r="AN54" s="151" t="s">
        <v>155</v>
      </c>
      <c r="AO54" s="151" t="s">
        <v>80</v>
      </c>
      <c r="AP54" s="151" t="s">
        <v>80</v>
      </c>
      <c r="AQ54" s="157"/>
      <c r="AR54" s="151" t="s">
        <v>158</v>
      </c>
      <c r="AS54" s="159">
        <v>46169.0</v>
      </c>
      <c r="AT54" s="160">
        <f>Calculo!AQ54</f>
        <v>59</v>
      </c>
      <c r="AU54" s="161" t="str">
        <f>Calculo!AV54</f>
        <v>SEM-RISCO</v>
      </c>
      <c r="AV54" s="162" t="str">
        <f>Calculo!AW54</f>
        <v>LIBERADO</v>
      </c>
      <c r="AW54" s="161" t="str">
        <f>Calculo!AX54</f>
        <v>SOLICITAR PED COMPRA</v>
      </c>
      <c r="AX54" s="161" t="str">
        <f>Calculo!K54</f>
        <v>SOLIC CONTRATO DE ENTREGA</v>
      </c>
      <c r="AY54" s="161" t="str">
        <f>Calculo!AY54</f>
        <v>N/A</v>
      </c>
      <c r="AZ54" s="161" t="str">
        <f>Calculo!AZ54</f>
        <v>N/A</v>
      </c>
      <c r="BA54" s="163"/>
    </row>
    <row r="55" ht="12.0" customHeight="1">
      <c r="A55" s="88" t="str">
        <f>'Parâmetros'!$A$19</f>
        <v>Rel. Básico PJ</v>
      </c>
      <c r="B55" s="146">
        <v>218.0</v>
      </c>
      <c r="C55" s="146">
        <v>25475.0</v>
      </c>
      <c r="D55" s="146" t="s">
        <v>142</v>
      </c>
      <c r="E55" s="149" t="s">
        <v>317</v>
      </c>
      <c r="F55" s="151">
        <v>14402.56</v>
      </c>
      <c r="G55" s="151" t="s">
        <v>147</v>
      </c>
      <c r="H55" s="146" t="s">
        <v>22</v>
      </c>
      <c r="I55" s="146" t="s">
        <v>25</v>
      </c>
      <c r="J55" s="146" t="s">
        <v>25</v>
      </c>
      <c r="K55" s="146" t="s">
        <v>25</v>
      </c>
      <c r="L55" s="146" t="s">
        <v>22</v>
      </c>
      <c r="M55" s="146" t="s">
        <v>25</v>
      </c>
      <c r="N55" s="146" t="s">
        <v>178</v>
      </c>
      <c r="O55" s="146">
        <v>0.0</v>
      </c>
      <c r="P55" s="146" t="s">
        <v>22</v>
      </c>
      <c r="Q55" s="146">
        <v>100.0</v>
      </c>
      <c r="R55" s="146" t="s">
        <v>25</v>
      </c>
      <c r="S55" s="146" t="s">
        <v>22</v>
      </c>
      <c r="T55" s="146" t="s">
        <v>25</v>
      </c>
      <c r="U55" s="146" t="s">
        <v>22</v>
      </c>
      <c r="V55" s="146" t="s">
        <v>22</v>
      </c>
      <c r="W55" s="146" t="s">
        <v>25</v>
      </c>
      <c r="X55" s="146" t="s">
        <v>22</v>
      </c>
      <c r="Y55" s="146" t="s">
        <v>22</v>
      </c>
      <c r="Z55" s="146" t="s">
        <v>25</v>
      </c>
      <c r="AA55" s="146" t="s">
        <v>22</v>
      </c>
      <c r="AB55" s="153">
        <v>37245.0</v>
      </c>
      <c r="AC55" s="146" t="s">
        <v>25</v>
      </c>
      <c r="AD55" s="151" t="s">
        <v>318</v>
      </c>
      <c r="AE55" s="151" t="s">
        <v>22</v>
      </c>
      <c r="AF55" s="151" t="s">
        <v>25</v>
      </c>
      <c r="AG55" s="151" t="s">
        <v>25</v>
      </c>
      <c r="AH55" s="151" t="s">
        <v>25</v>
      </c>
      <c r="AI55" s="151">
        <v>0.0</v>
      </c>
      <c r="AJ55" s="146">
        <v>552.0</v>
      </c>
      <c r="AK55" s="155" t="s">
        <v>319</v>
      </c>
      <c r="AL55" s="151" t="s">
        <v>22</v>
      </c>
      <c r="AM55" s="151" t="s">
        <v>22</v>
      </c>
      <c r="AN55" s="151" t="s">
        <v>155</v>
      </c>
      <c r="AO55" s="151" t="s">
        <v>80</v>
      </c>
      <c r="AP55" s="151" t="s">
        <v>80</v>
      </c>
      <c r="AQ55" s="164"/>
      <c r="AR55" s="151" t="s">
        <v>158</v>
      </c>
      <c r="AS55" s="159">
        <v>46169.0</v>
      </c>
      <c r="AT55" s="160">
        <f>Calculo!AQ55</f>
        <v>43</v>
      </c>
      <c r="AU55" s="161" t="str">
        <f>Calculo!AV55</f>
        <v>SEM-RISCO</v>
      </c>
      <c r="AV55" s="162" t="str">
        <f>Calculo!AW55</f>
        <v>LIBERADO</v>
      </c>
      <c r="AW55" s="161" t="str">
        <f>Calculo!AX55</f>
        <v>SOLICITAR PED COMPRA</v>
      </c>
      <c r="AX55" s="161" t="str">
        <f>Calculo!K55</f>
        <v>SOLIC CONTRATO DE ENTREGA</v>
      </c>
      <c r="AY55" s="161" t="str">
        <f>Calculo!AY55</f>
        <v>CHECAGEM REVERSA</v>
      </c>
      <c r="AZ55" s="161" t="str">
        <f>Calculo!AZ55</f>
        <v>N/A</v>
      </c>
      <c r="BA55" s="163"/>
    </row>
    <row r="56" ht="12.0" customHeight="1">
      <c r="A56" s="88" t="str">
        <f>'Parâmetros'!$A$19</f>
        <v>Rel. Básico PJ</v>
      </c>
      <c r="B56" s="146">
        <v>220.0</v>
      </c>
      <c r="C56" s="146">
        <v>25493.0</v>
      </c>
      <c r="D56" s="146" t="s">
        <v>142</v>
      </c>
      <c r="E56" s="149" t="s">
        <v>228</v>
      </c>
      <c r="F56" s="151">
        <v>43428.0</v>
      </c>
      <c r="G56" s="151" t="s">
        <v>147</v>
      </c>
      <c r="H56" s="146" t="s">
        <v>22</v>
      </c>
      <c r="I56" s="146" t="s">
        <v>25</v>
      </c>
      <c r="J56" s="146" t="s">
        <v>25</v>
      </c>
      <c r="K56" s="146" t="s">
        <v>25</v>
      </c>
      <c r="L56" s="146" t="s">
        <v>22</v>
      </c>
      <c r="M56" s="146" t="s">
        <v>25</v>
      </c>
      <c r="N56" s="146" t="s">
        <v>229</v>
      </c>
      <c r="O56" s="146">
        <v>0.0</v>
      </c>
      <c r="P56" s="146" t="s">
        <v>140</v>
      </c>
      <c r="Q56" s="146">
        <v>100.0</v>
      </c>
      <c r="R56" s="146" t="s">
        <v>25</v>
      </c>
      <c r="S56" s="146" t="s">
        <v>22</v>
      </c>
      <c r="T56" s="146" t="s">
        <v>25</v>
      </c>
      <c r="U56" s="146" t="s">
        <v>22</v>
      </c>
      <c r="V56" s="146" t="s">
        <v>22</v>
      </c>
      <c r="W56" s="146" t="s">
        <v>25</v>
      </c>
      <c r="X56" s="146" t="s">
        <v>22</v>
      </c>
      <c r="Y56" s="146" t="s">
        <v>22</v>
      </c>
      <c r="Z56" s="146" t="s">
        <v>25</v>
      </c>
      <c r="AA56" s="146" t="s">
        <v>22</v>
      </c>
      <c r="AB56" s="153">
        <v>45125.0</v>
      </c>
      <c r="AC56" s="146" t="s">
        <v>25</v>
      </c>
      <c r="AD56" s="151" t="s">
        <v>230</v>
      </c>
      <c r="AE56" s="151" t="s">
        <v>22</v>
      </c>
      <c r="AF56" s="151" t="s">
        <v>25</v>
      </c>
      <c r="AG56" s="151" t="s">
        <v>25</v>
      </c>
      <c r="AH56" s="151" t="s">
        <v>25</v>
      </c>
      <c r="AI56" s="151">
        <v>0.0</v>
      </c>
      <c r="AJ56" s="146">
        <v>699.0</v>
      </c>
      <c r="AK56" s="155" t="s">
        <v>231</v>
      </c>
      <c r="AL56" s="151" t="s">
        <v>22</v>
      </c>
      <c r="AM56" s="151" t="s">
        <v>22</v>
      </c>
      <c r="AN56" s="151" t="s">
        <v>155</v>
      </c>
      <c r="AO56" s="151" t="s">
        <v>80</v>
      </c>
      <c r="AP56" s="151" t="s">
        <v>80</v>
      </c>
      <c r="AQ56" s="157"/>
      <c r="AR56" s="151" t="s">
        <v>158</v>
      </c>
      <c r="AS56" s="159">
        <v>46170.0</v>
      </c>
      <c r="AT56" s="160">
        <f>Calculo!AQ56</f>
        <v>19</v>
      </c>
      <c r="AU56" s="161" t="str">
        <f>Calculo!AV56</f>
        <v>SEM-RISCO</v>
      </c>
      <c r="AV56" s="162" t="str">
        <f>Calculo!AW56</f>
        <v>LIBERADO</v>
      </c>
      <c r="AW56" s="161" t="str">
        <f>Calculo!AX56</f>
        <v>SOLICITAR PED COMPRA</v>
      </c>
      <c r="AX56" s="161" t="str">
        <f>Calculo!K56</f>
        <v>SOLIC CONTRATO DE ENTREGA</v>
      </c>
      <c r="AY56" s="161" t="str">
        <f>Calculo!AY56</f>
        <v>CHECAGEM REVERSA</v>
      </c>
      <c r="AZ56" s="161" t="str">
        <f>Calculo!AZ56</f>
        <v>N/A</v>
      </c>
      <c r="BA56" s="163"/>
    </row>
    <row r="57" ht="12.0" customHeight="1">
      <c r="A57" s="88" t="str">
        <f>'Parâmetros'!$A$19</f>
        <v>Rel. Básico PJ</v>
      </c>
      <c r="B57" s="146">
        <v>549.0</v>
      </c>
      <c r="C57" s="146">
        <v>23969.0</v>
      </c>
      <c r="D57" s="146" t="s">
        <v>176</v>
      </c>
      <c r="E57" s="149" t="s">
        <v>320</v>
      </c>
      <c r="F57" s="151">
        <v>13452.0</v>
      </c>
      <c r="G57" s="151" t="s">
        <v>147</v>
      </c>
      <c r="H57" s="146" t="s">
        <v>22</v>
      </c>
      <c r="I57" s="146" t="s">
        <v>25</v>
      </c>
      <c r="J57" s="146" t="s">
        <v>25</v>
      </c>
      <c r="K57" s="146" t="s">
        <v>25</v>
      </c>
      <c r="L57" s="146" t="s">
        <v>22</v>
      </c>
      <c r="M57" s="146" t="s">
        <v>22</v>
      </c>
      <c r="N57" s="146" t="s">
        <v>173</v>
      </c>
      <c r="O57" s="146">
        <v>5.0</v>
      </c>
      <c r="P57" s="146" t="s">
        <v>22</v>
      </c>
      <c r="Q57" s="146">
        <v>100.0</v>
      </c>
      <c r="R57" s="146" t="s">
        <v>25</v>
      </c>
      <c r="S57" s="146" t="s">
        <v>25</v>
      </c>
      <c r="T57" s="146" t="s">
        <v>25</v>
      </c>
      <c r="U57" s="146" t="s">
        <v>22</v>
      </c>
      <c r="V57" s="146" t="s">
        <v>22</v>
      </c>
      <c r="W57" s="146" t="s">
        <v>25</v>
      </c>
      <c r="X57" s="146" t="s">
        <v>22</v>
      </c>
      <c r="Y57" s="146" t="s">
        <v>22</v>
      </c>
      <c r="Z57" s="146" t="s">
        <v>25</v>
      </c>
      <c r="AA57" s="146" t="s">
        <v>22</v>
      </c>
      <c r="AB57" s="153">
        <v>37330.0</v>
      </c>
      <c r="AC57" s="146" t="s">
        <v>22</v>
      </c>
      <c r="AD57" s="151" t="s">
        <v>321</v>
      </c>
      <c r="AE57" s="151" t="s">
        <v>22</v>
      </c>
      <c r="AF57" s="151" t="s">
        <v>25</v>
      </c>
      <c r="AG57" s="151" t="s">
        <v>25</v>
      </c>
      <c r="AH57" s="151" t="s">
        <v>22</v>
      </c>
      <c r="AI57" s="151">
        <v>87342.22</v>
      </c>
      <c r="AJ57" s="146">
        <v>757.0</v>
      </c>
      <c r="AK57" s="155" t="s">
        <v>322</v>
      </c>
      <c r="AL57" s="151" t="s">
        <v>22</v>
      </c>
      <c r="AM57" s="151" t="s">
        <v>22</v>
      </c>
      <c r="AN57" s="151" t="s">
        <v>155</v>
      </c>
      <c r="AO57" s="151" t="s">
        <v>80</v>
      </c>
      <c r="AP57" s="151" t="s">
        <v>80</v>
      </c>
      <c r="AQ57" s="164"/>
      <c r="AR57" s="151" t="s">
        <v>158</v>
      </c>
      <c r="AS57" s="159">
        <v>46170.0</v>
      </c>
      <c r="AT57" s="160">
        <f>Calculo!AQ57</f>
        <v>26</v>
      </c>
      <c r="AU57" s="161" t="str">
        <f>Calculo!AV57</f>
        <v>SEM-RISCO</v>
      </c>
      <c r="AV57" s="162" t="str">
        <f>Calculo!AW57</f>
        <v>LIBERADO</v>
      </c>
      <c r="AW57" s="161" t="str">
        <f>Calculo!AX57</f>
        <v>SOLICITAR PED COMPRA</v>
      </c>
      <c r="AX57" s="161" t="str">
        <f>Calculo!K57</f>
        <v>SOLIC CONTRATO DE ENTREGA</v>
      </c>
      <c r="AY57" s="161" t="str">
        <f>Calculo!AY57</f>
        <v>N/A</v>
      </c>
      <c r="AZ57" s="161" t="str">
        <f>Calculo!AZ57</f>
        <v>N/A</v>
      </c>
      <c r="BA57" s="163"/>
    </row>
    <row r="58" ht="12.0" customHeight="1">
      <c r="A58" s="88" t="str">
        <f>'Parâmetros'!$A$19</f>
        <v>Rel. Básico PJ</v>
      </c>
      <c r="B58" s="146">
        <v>550.0</v>
      </c>
      <c r="C58" s="146">
        <v>25502.0</v>
      </c>
      <c r="D58" s="146" t="s">
        <v>176</v>
      </c>
      <c r="E58" s="149" t="s">
        <v>323</v>
      </c>
      <c r="F58" s="151">
        <v>5806.0</v>
      </c>
      <c r="G58" s="151" t="s">
        <v>147</v>
      </c>
      <c r="H58" s="146" t="s">
        <v>22</v>
      </c>
      <c r="I58" s="146" t="s">
        <v>25</v>
      </c>
      <c r="J58" s="146" t="s">
        <v>25</v>
      </c>
      <c r="K58" s="146" t="s">
        <v>25</v>
      </c>
      <c r="L58" s="146" t="s">
        <v>22</v>
      </c>
      <c r="M58" s="146" t="s">
        <v>22</v>
      </c>
      <c r="N58" s="146" t="s">
        <v>173</v>
      </c>
      <c r="O58" s="146">
        <v>5.0</v>
      </c>
      <c r="P58" s="146" t="s">
        <v>22</v>
      </c>
      <c r="Q58" s="146">
        <v>100.0</v>
      </c>
      <c r="R58" s="146" t="s">
        <v>25</v>
      </c>
      <c r="S58" s="146" t="s">
        <v>25</v>
      </c>
      <c r="T58" s="146" t="s">
        <v>25</v>
      </c>
      <c r="U58" s="146" t="s">
        <v>22</v>
      </c>
      <c r="V58" s="146" t="s">
        <v>22</v>
      </c>
      <c r="W58" s="146" t="s">
        <v>25</v>
      </c>
      <c r="X58" s="146" t="s">
        <v>22</v>
      </c>
      <c r="Y58" s="146" t="s">
        <v>22</v>
      </c>
      <c r="Z58" s="146" t="s">
        <v>25</v>
      </c>
      <c r="AA58" s="146" t="s">
        <v>22</v>
      </c>
      <c r="AB58" s="153">
        <v>37330.0</v>
      </c>
      <c r="AC58" s="146" t="s">
        <v>22</v>
      </c>
      <c r="AD58" s="151" t="s">
        <v>321</v>
      </c>
      <c r="AE58" s="151" t="s">
        <v>22</v>
      </c>
      <c r="AF58" s="151" t="s">
        <v>25</v>
      </c>
      <c r="AG58" s="151" t="s">
        <v>25</v>
      </c>
      <c r="AH58" s="151" t="s">
        <v>22</v>
      </c>
      <c r="AI58" s="151">
        <v>87342.22</v>
      </c>
      <c r="AJ58" s="146">
        <v>757.0</v>
      </c>
      <c r="AK58" s="155" t="s">
        <v>322</v>
      </c>
      <c r="AL58" s="151" t="s">
        <v>22</v>
      </c>
      <c r="AM58" s="151" t="s">
        <v>22</v>
      </c>
      <c r="AN58" s="151" t="s">
        <v>155</v>
      </c>
      <c r="AO58" s="151" t="s">
        <v>80</v>
      </c>
      <c r="AP58" s="151" t="s">
        <v>80</v>
      </c>
      <c r="AQ58" s="164"/>
      <c r="AR58" s="151" t="s">
        <v>158</v>
      </c>
      <c r="AS58" s="159">
        <v>46171.0</v>
      </c>
      <c r="AT58" s="160">
        <f>Calculo!AQ58</f>
        <v>26</v>
      </c>
      <c r="AU58" s="161" t="str">
        <f>Calculo!AV58</f>
        <v>SEM-RISCO</v>
      </c>
      <c r="AV58" s="162" t="str">
        <f>Calculo!AW58</f>
        <v>LIBERADO</v>
      </c>
      <c r="AW58" s="161" t="str">
        <f>Calculo!AX58</f>
        <v>SOLICITAR PED COMPRA</v>
      </c>
      <c r="AX58" s="161" t="str">
        <f>Calculo!K58</f>
        <v>SOLIC CONTRATO DE ENTREGA</v>
      </c>
      <c r="AY58" s="161" t="str">
        <f>Calculo!AY58</f>
        <v>N/A</v>
      </c>
      <c r="AZ58" s="161" t="str">
        <f>Calculo!AZ58</f>
        <v>N/A</v>
      </c>
      <c r="BA58" s="163"/>
    </row>
    <row r="59" ht="12.0" customHeight="1">
      <c r="A59" s="88" t="str">
        <f>'Parâmetros'!$A$19</f>
        <v>Rel. Básico PJ</v>
      </c>
      <c r="B59" s="146">
        <v>222.0</v>
      </c>
      <c r="C59" s="146">
        <v>25448.0</v>
      </c>
      <c r="D59" s="146" t="s">
        <v>142</v>
      </c>
      <c r="E59" s="149" t="s">
        <v>324</v>
      </c>
      <c r="F59" s="151">
        <v>13198.0</v>
      </c>
      <c r="G59" s="151" t="s">
        <v>147</v>
      </c>
      <c r="H59" s="146" t="s">
        <v>22</v>
      </c>
      <c r="I59" s="146" t="s">
        <v>25</v>
      </c>
      <c r="J59" s="146" t="s">
        <v>25</v>
      </c>
      <c r="K59" s="146" t="s">
        <v>25</v>
      </c>
      <c r="L59" s="146" t="s">
        <v>22</v>
      </c>
      <c r="M59" s="146" t="s">
        <v>22</v>
      </c>
      <c r="N59" s="146" t="s">
        <v>173</v>
      </c>
      <c r="O59" s="146" t="s">
        <v>140</v>
      </c>
      <c r="P59" s="146" t="s">
        <v>25</v>
      </c>
      <c r="Q59" s="146">
        <v>100.0</v>
      </c>
      <c r="R59" s="146" t="s">
        <v>25</v>
      </c>
      <c r="S59" s="146" t="s">
        <v>25</v>
      </c>
      <c r="T59" s="146" t="s">
        <v>25</v>
      </c>
      <c r="U59" s="146" t="s">
        <v>22</v>
      </c>
      <c r="V59" s="146" t="s">
        <v>22</v>
      </c>
      <c r="W59" s="146" t="s">
        <v>25</v>
      </c>
      <c r="X59" s="146" t="s">
        <v>22</v>
      </c>
      <c r="Y59" s="146" t="s">
        <v>22</v>
      </c>
      <c r="Z59" s="146" t="s">
        <v>25</v>
      </c>
      <c r="AA59" s="146" t="s">
        <v>22</v>
      </c>
      <c r="AB59" s="153">
        <v>41380.0</v>
      </c>
      <c r="AC59" s="146" t="s">
        <v>22</v>
      </c>
      <c r="AD59" s="151" t="s">
        <v>325</v>
      </c>
      <c r="AE59" s="151" t="s">
        <v>22</v>
      </c>
      <c r="AF59" s="151" t="s">
        <v>25</v>
      </c>
      <c r="AG59" s="151" t="s">
        <v>25</v>
      </c>
      <c r="AH59" s="151" t="s">
        <v>22</v>
      </c>
      <c r="AI59" s="151">
        <v>13904.54</v>
      </c>
      <c r="AJ59" s="146">
        <v>757.0</v>
      </c>
      <c r="AK59" s="155" t="s">
        <v>326</v>
      </c>
      <c r="AL59" s="151" t="s">
        <v>22</v>
      </c>
      <c r="AM59" s="151" t="s">
        <v>22</v>
      </c>
      <c r="AN59" s="151" t="s">
        <v>155</v>
      </c>
      <c r="AO59" s="151" t="s">
        <v>80</v>
      </c>
      <c r="AP59" s="151" t="s">
        <v>80</v>
      </c>
      <c r="AQ59" s="157"/>
      <c r="AR59" s="151" t="s">
        <v>158</v>
      </c>
      <c r="AS59" s="159">
        <v>46171.0</v>
      </c>
      <c r="AT59" s="160">
        <f>Calculo!AQ59</f>
        <v>29</v>
      </c>
      <c r="AU59" s="161" t="str">
        <f>Calculo!AV59</f>
        <v>SEM-RISCO</v>
      </c>
      <c r="AV59" s="162" t="str">
        <f>Calculo!AW59</f>
        <v>LIBERADO</v>
      </c>
      <c r="AW59" s="161" t="str">
        <f>Calculo!AX59</f>
        <v>SOLICITAR PED COMPRA</v>
      </c>
      <c r="AX59" s="161" t="str">
        <f>Calculo!K59</f>
        <v>SOLIC CONTRATO DE ENTREGA</v>
      </c>
      <c r="AY59" s="161" t="str">
        <f>Calculo!AY59</f>
        <v>N/A</v>
      </c>
      <c r="AZ59" s="161" t="str">
        <f>Calculo!AZ59</f>
        <v>N/A</v>
      </c>
      <c r="BA59" s="163"/>
    </row>
    <row r="60" ht="12.0" customHeight="1">
      <c r="A60" s="88" t="str">
        <f>'Parâmetros'!$A$19</f>
        <v>Rel. Básico PJ</v>
      </c>
      <c r="B60" s="146">
        <v>224.0</v>
      </c>
      <c r="C60" s="146">
        <v>24998.0</v>
      </c>
      <c r="D60" s="146" t="s">
        <v>142</v>
      </c>
      <c r="E60" s="149" t="s">
        <v>327</v>
      </c>
      <c r="F60" s="151">
        <v>6822.0</v>
      </c>
      <c r="G60" s="151" t="s">
        <v>147</v>
      </c>
      <c r="H60" s="146" t="s">
        <v>22</v>
      </c>
      <c r="I60" s="146" t="s">
        <v>25</v>
      </c>
      <c r="J60" s="146" t="s">
        <v>25</v>
      </c>
      <c r="K60" s="146" t="s">
        <v>25</v>
      </c>
      <c r="L60" s="146" t="s">
        <v>22</v>
      </c>
      <c r="M60" s="146" t="s">
        <v>22</v>
      </c>
      <c r="N60" s="146" t="s">
        <v>173</v>
      </c>
      <c r="O60" s="146" t="s">
        <v>140</v>
      </c>
      <c r="P60" s="146" t="s">
        <v>22</v>
      </c>
      <c r="Q60" s="146">
        <v>100.0</v>
      </c>
      <c r="R60" s="146" t="s">
        <v>25</v>
      </c>
      <c r="S60" s="146" t="s">
        <v>25</v>
      </c>
      <c r="T60" s="146" t="s">
        <v>25</v>
      </c>
      <c r="U60" s="146" t="s">
        <v>22</v>
      </c>
      <c r="V60" s="146" t="s">
        <v>22</v>
      </c>
      <c r="W60" s="146" t="s">
        <v>22</v>
      </c>
      <c r="X60" s="146" t="s">
        <v>22</v>
      </c>
      <c r="Y60" s="146" t="s">
        <v>22</v>
      </c>
      <c r="Z60" s="146" t="s">
        <v>25</v>
      </c>
      <c r="AA60" s="146" t="s">
        <v>22</v>
      </c>
      <c r="AB60" s="153">
        <v>41142.0</v>
      </c>
      <c r="AC60" s="146" t="s">
        <v>25</v>
      </c>
      <c r="AD60" s="151">
        <v>3779963.0</v>
      </c>
      <c r="AE60" s="151" t="s">
        <v>22</v>
      </c>
      <c r="AF60" s="151" t="s">
        <v>22</v>
      </c>
      <c r="AG60" s="151" t="s">
        <v>25</v>
      </c>
      <c r="AH60" s="151" t="s">
        <v>25</v>
      </c>
      <c r="AI60" s="151">
        <v>575.0</v>
      </c>
      <c r="AJ60" s="146">
        <v>757.0</v>
      </c>
      <c r="AK60" s="155" t="s">
        <v>328</v>
      </c>
      <c r="AL60" s="151" t="s">
        <v>22</v>
      </c>
      <c r="AM60" s="151" t="s">
        <v>22</v>
      </c>
      <c r="AN60" s="151" t="s">
        <v>155</v>
      </c>
      <c r="AO60" s="151" t="s">
        <v>80</v>
      </c>
      <c r="AP60" s="151" t="s">
        <v>80</v>
      </c>
      <c r="AQ60" s="164"/>
      <c r="AR60" s="151" t="s">
        <v>158</v>
      </c>
      <c r="AS60" s="159">
        <v>46174.0</v>
      </c>
      <c r="AT60" s="160">
        <f>Calculo!AQ60</f>
        <v>21</v>
      </c>
      <c r="AU60" s="161" t="str">
        <f>Calculo!AV60</f>
        <v>SEM-RISCO</v>
      </c>
      <c r="AV60" s="162" t="str">
        <f>Calculo!AW60</f>
        <v>LIBERADO</v>
      </c>
      <c r="AW60" s="161" t="str">
        <f>Calculo!AX60</f>
        <v>SOLICITAR PED COMPRA</v>
      </c>
      <c r="AX60" s="161" t="str">
        <f>Calculo!K60</f>
        <v>SOLIC CONTRATO DE ENTREGA</v>
      </c>
      <c r="AY60" s="161" t="str">
        <f>Calculo!AY60</f>
        <v>N/A</v>
      </c>
      <c r="AZ60" s="161" t="str">
        <f>Calculo!AZ60</f>
        <v>N/A</v>
      </c>
      <c r="BA60" s="163"/>
    </row>
    <row r="61" ht="12.0" customHeight="1">
      <c r="A61" s="88" t="str">
        <f>'Parâmetros'!$A$19</f>
        <v>Rel. Básico PJ</v>
      </c>
      <c r="B61" s="146">
        <v>560.0</v>
      </c>
      <c r="C61" s="146">
        <v>25430.0</v>
      </c>
      <c r="D61" s="146" t="s">
        <v>142</v>
      </c>
      <c r="E61" s="149" t="s">
        <v>329</v>
      </c>
      <c r="F61" s="151">
        <v>12540.0</v>
      </c>
      <c r="G61" s="151" t="s">
        <v>147</v>
      </c>
      <c r="H61" s="146" t="s">
        <v>22</v>
      </c>
      <c r="I61" s="146" t="s">
        <v>25</v>
      </c>
      <c r="J61" s="146" t="s">
        <v>22</v>
      </c>
      <c r="K61" s="146" t="s">
        <v>25</v>
      </c>
      <c r="L61" s="146" t="s">
        <v>25</v>
      </c>
      <c r="M61" s="146" t="s">
        <v>22</v>
      </c>
      <c r="N61" s="146" t="s">
        <v>178</v>
      </c>
      <c r="O61" s="146">
        <v>5.0</v>
      </c>
      <c r="P61" s="146" t="s">
        <v>22</v>
      </c>
      <c r="Q61" s="146">
        <v>100.0</v>
      </c>
      <c r="R61" s="146" t="s">
        <v>25</v>
      </c>
      <c r="S61" s="146" t="s">
        <v>22</v>
      </c>
      <c r="T61" s="146" t="s">
        <v>25</v>
      </c>
      <c r="U61" s="146" t="s">
        <v>22</v>
      </c>
      <c r="V61" s="146" t="s">
        <v>22</v>
      </c>
      <c r="W61" s="146" t="s">
        <v>25</v>
      </c>
      <c r="X61" s="146" t="s">
        <v>22</v>
      </c>
      <c r="Y61" s="146" t="s">
        <v>22</v>
      </c>
      <c r="Z61" s="146" t="s">
        <v>25</v>
      </c>
      <c r="AA61" s="146" t="s">
        <v>22</v>
      </c>
      <c r="AB61" s="153">
        <v>41558.0</v>
      </c>
      <c r="AC61" s="146" t="s">
        <v>25</v>
      </c>
      <c r="AD61" s="151" t="s">
        <v>330</v>
      </c>
      <c r="AE61" s="151" t="s">
        <v>22</v>
      </c>
      <c r="AF61" s="151" t="s">
        <v>22</v>
      </c>
      <c r="AG61" s="151" t="s">
        <v>25</v>
      </c>
      <c r="AH61" s="151" t="s">
        <v>22</v>
      </c>
      <c r="AI61" s="151">
        <v>285856.34</v>
      </c>
      <c r="AJ61" s="146">
        <v>791.0</v>
      </c>
      <c r="AK61" s="155" t="s">
        <v>331</v>
      </c>
      <c r="AL61" s="151" t="s">
        <v>22</v>
      </c>
      <c r="AM61" s="151" t="s">
        <v>22</v>
      </c>
      <c r="AN61" s="151" t="s">
        <v>155</v>
      </c>
      <c r="AO61" s="151" t="s">
        <v>80</v>
      </c>
      <c r="AP61" s="151" t="s">
        <v>80</v>
      </c>
      <c r="AQ61" s="157"/>
      <c r="AR61" s="151" t="s">
        <v>158</v>
      </c>
      <c r="AS61" s="159">
        <v>46175.0</v>
      </c>
      <c r="AT61" s="160">
        <f>Calculo!AQ61</f>
        <v>9</v>
      </c>
      <c r="AU61" s="161" t="str">
        <f>Calculo!AV61</f>
        <v>SEM-RISCO</v>
      </c>
      <c r="AV61" s="162" t="str">
        <f>Calculo!AW61</f>
        <v>LIBERADO</v>
      </c>
      <c r="AW61" s="161" t="str">
        <f>Calculo!AX61</f>
        <v>SOLICITAR PED COMPRA</v>
      </c>
      <c r="AX61" s="161" t="str">
        <f>Calculo!K61</f>
        <v>N/A</v>
      </c>
      <c r="AY61" s="161" t="str">
        <f>Calculo!AY61</f>
        <v>N/A</v>
      </c>
      <c r="AZ61" s="161" t="str">
        <f>Calculo!AZ61</f>
        <v>N/A</v>
      </c>
      <c r="BA61" s="163"/>
    </row>
    <row r="62" ht="12.0" customHeight="1">
      <c r="A62" s="88" t="str">
        <f>'Parâmetros'!$A$19</f>
        <v>Rel. Básico PJ</v>
      </c>
      <c r="B62" s="146">
        <v>228.0</v>
      </c>
      <c r="C62" s="146">
        <v>25534.0</v>
      </c>
      <c r="D62" s="146" t="s">
        <v>142</v>
      </c>
      <c r="E62" s="149" t="s">
        <v>332</v>
      </c>
      <c r="F62" s="151">
        <v>7336.0</v>
      </c>
      <c r="G62" s="151" t="s">
        <v>147</v>
      </c>
      <c r="H62" s="146" t="s">
        <v>22</v>
      </c>
      <c r="I62" s="146" t="s">
        <v>25</v>
      </c>
      <c r="J62" s="146" t="s">
        <v>25</v>
      </c>
      <c r="K62" s="146" t="s">
        <v>25</v>
      </c>
      <c r="L62" s="146" t="s">
        <v>22</v>
      </c>
      <c r="M62" s="146" t="s">
        <v>22</v>
      </c>
      <c r="N62" s="146" t="s">
        <v>173</v>
      </c>
      <c r="O62" s="146">
        <v>5.0</v>
      </c>
      <c r="P62" s="146" t="s">
        <v>25</v>
      </c>
      <c r="Q62" s="146">
        <v>100.0</v>
      </c>
      <c r="R62" s="146" t="s">
        <v>25</v>
      </c>
      <c r="S62" s="146" t="s">
        <v>22</v>
      </c>
      <c r="T62" s="146" t="s">
        <v>25</v>
      </c>
      <c r="U62" s="146" t="s">
        <v>22</v>
      </c>
      <c r="V62" s="146" t="s">
        <v>22</v>
      </c>
      <c r="W62" s="146" t="s">
        <v>25</v>
      </c>
      <c r="X62" s="146" t="s">
        <v>22</v>
      </c>
      <c r="Y62" s="146" t="s">
        <v>22</v>
      </c>
      <c r="Z62" s="146" t="s">
        <v>25</v>
      </c>
      <c r="AA62" s="146" t="s">
        <v>22</v>
      </c>
      <c r="AB62" s="153">
        <v>44309.0</v>
      </c>
      <c r="AC62" s="146" t="s">
        <v>25</v>
      </c>
      <c r="AD62" s="151" t="s">
        <v>333</v>
      </c>
      <c r="AE62" s="151" t="s">
        <v>22</v>
      </c>
      <c r="AF62" s="151" t="s">
        <v>25</v>
      </c>
      <c r="AG62" s="151" t="s">
        <v>25</v>
      </c>
      <c r="AH62" s="151" t="s">
        <v>22</v>
      </c>
      <c r="AI62" s="151">
        <v>2333.48</v>
      </c>
      <c r="AJ62" s="146">
        <v>548.0</v>
      </c>
      <c r="AK62" s="155" t="s">
        <v>334</v>
      </c>
      <c r="AL62" s="151" t="s">
        <v>22</v>
      </c>
      <c r="AM62" s="151" t="s">
        <v>25</v>
      </c>
      <c r="AN62" s="151" t="s">
        <v>155</v>
      </c>
      <c r="AO62" s="151" t="s">
        <v>80</v>
      </c>
      <c r="AP62" s="151" t="s">
        <v>80</v>
      </c>
      <c r="AQ62" s="164"/>
      <c r="AR62" s="151" t="s">
        <v>158</v>
      </c>
      <c r="AS62" s="159">
        <v>46175.0</v>
      </c>
      <c r="AT62" s="160">
        <f>Calculo!AQ62</f>
        <v>19</v>
      </c>
      <c r="AU62" s="161" t="str">
        <f>Calculo!AV62</f>
        <v>SEM-RISCO</v>
      </c>
      <c r="AV62" s="162" t="str">
        <f>Calculo!AW62</f>
        <v>LIBERADO</v>
      </c>
      <c r="AW62" s="161" t="str">
        <f>Calculo!AX62</f>
        <v>SOLICITAR PED COMPRA</v>
      </c>
      <c r="AX62" s="161" t="str">
        <f>Calculo!K62</f>
        <v>SOLIC CONTRATO DE ENTREGA</v>
      </c>
      <c r="AY62" s="161" t="str">
        <f>Calculo!AY62</f>
        <v>N/A</v>
      </c>
      <c r="AZ62" s="161" t="str">
        <f>Calculo!AZ62</f>
        <v>N/A</v>
      </c>
      <c r="BA62" s="163"/>
    </row>
    <row r="63" ht="12.0" customHeight="1">
      <c r="A63" s="88" t="str">
        <f>'Parâmetros'!$A$19</f>
        <v>Rel. Básico PJ</v>
      </c>
      <c r="B63" s="146">
        <v>231.0</v>
      </c>
      <c r="C63" s="146">
        <v>25132.0</v>
      </c>
      <c r="D63" s="146" t="s">
        <v>142</v>
      </c>
      <c r="E63" s="149" t="s">
        <v>335</v>
      </c>
      <c r="F63" s="151">
        <v>7418.0</v>
      </c>
      <c r="G63" s="151" t="s">
        <v>147</v>
      </c>
      <c r="H63" s="146" t="s">
        <v>22</v>
      </c>
      <c r="I63" s="146" t="s">
        <v>25</v>
      </c>
      <c r="J63" s="146" t="s">
        <v>25</v>
      </c>
      <c r="K63" s="146" t="s">
        <v>25</v>
      </c>
      <c r="L63" s="146" t="s">
        <v>22</v>
      </c>
      <c r="M63" s="146" t="s">
        <v>22</v>
      </c>
      <c r="N63" s="146" t="s">
        <v>165</v>
      </c>
      <c r="O63" s="146">
        <v>5.0</v>
      </c>
      <c r="P63" s="146" t="s">
        <v>22</v>
      </c>
      <c r="Q63" s="146">
        <v>100.0</v>
      </c>
      <c r="R63" s="146" t="s">
        <v>25</v>
      </c>
      <c r="S63" s="146" t="s">
        <v>25</v>
      </c>
      <c r="T63" s="146" t="s">
        <v>25</v>
      </c>
      <c r="U63" s="146" t="s">
        <v>22</v>
      </c>
      <c r="V63" s="146" t="s">
        <v>22</v>
      </c>
      <c r="W63" s="146" t="s">
        <v>25</v>
      </c>
      <c r="X63" s="146" t="s">
        <v>22</v>
      </c>
      <c r="Y63" s="146" t="s">
        <v>22</v>
      </c>
      <c r="Z63" s="146" t="s">
        <v>25</v>
      </c>
      <c r="AA63" s="146" t="s">
        <v>22</v>
      </c>
      <c r="AB63" s="153">
        <v>27848.0</v>
      </c>
      <c r="AC63" s="146" t="s">
        <v>22</v>
      </c>
      <c r="AD63" s="151" t="s">
        <v>336</v>
      </c>
      <c r="AE63" s="151" t="s">
        <v>22</v>
      </c>
      <c r="AF63" s="151" t="s">
        <v>22</v>
      </c>
      <c r="AG63" s="151" t="s">
        <v>25</v>
      </c>
      <c r="AH63" s="151" t="s">
        <v>22</v>
      </c>
      <c r="AI63" s="151">
        <v>202466.03</v>
      </c>
      <c r="AJ63" s="146">
        <v>727.0</v>
      </c>
      <c r="AK63" s="155" t="s">
        <v>337</v>
      </c>
      <c r="AL63" s="151" t="s">
        <v>22</v>
      </c>
      <c r="AM63" s="151" t="s">
        <v>22</v>
      </c>
      <c r="AN63" s="151" t="s">
        <v>155</v>
      </c>
      <c r="AO63" s="151" t="s">
        <v>80</v>
      </c>
      <c r="AP63" s="151" t="s">
        <v>80</v>
      </c>
      <c r="AQ63" s="164"/>
      <c r="AR63" s="151" t="s">
        <v>158</v>
      </c>
      <c r="AS63" s="159">
        <v>46176.0</v>
      </c>
      <c r="AT63" s="160">
        <f>Calculo!AQ63</f>
        <v>24</v>
      </c>
      <c r="AU63" s="161" t="str">
        <f>Calculo!AV63</f>
        <v>SEM-RISCO</v>
      </c>
      <c r="AV63" s="162" t="str">
        <f>Calculo!AW63</f>
        <v>LIBERADO</v>
      </c>
      <c r="AW63" s="161" t="str">
        <f>Calculo!AX63</f>
        <v>SOLICITAR PED COMPRA</v>
      </c>
      <c r="AX63" s="161" t="str">
        <f>Calculo!K63</f>
        <v>SOLIC CONTRATO DE ENTREGA</v>
      </c>
      <c r="AY63" s="161" t="str">
        <f>Calculo!AY63</f>
        <v>N/A</v>
      </c>
      <c r="AZ63" s="161" t="str">
        <f>Calculo!AZ63</f>
        <v>N/A</v>
      </c>
      <c r="BA63" s="163"/>
    </row>
    <row r="64" ht="12.0" customHeight="1">
      <c r="A64" s="88" t="str">
        <f>'Parâmetros'!$A$19</f>
        <v>Rel. Básico PJ</v>
      </c>
      <c r="B64" s="146">
        <v>232.0</v>
      </c>
      <c r="C64" s="146">
        <v>25219.0</v>
      </c>
      <c r="D64" s="146" t="s">
        <v>142</v>
      </c>
      <c r="E64" s="149" t="s">
        <v>338</v>
      </c>
      <c r="F64" s="151">
        <v>7350.0</v>
      </c>
      <c r="G64" s="151" t="s">
        <v>147</v>
      </c>
      <c r="H64" s="146" t="s">
        <v>22</v>
      </c>
      <c r="I64" s="146" t="s">
        <v>25</v>
      </c>
      <c r="J64" s="146" t="s">
        <v>25</v>
      </c>
      <c r="K64" s="146" t="s">
        <v>25</v>
      </c>
      <c r="L64" s="146" t="s">
        <v>22</v>
      </c>
      <c r="M64" s="146" t="s">
        <v>22</v>
      </c>
      <c r="N64" s="146" t="s">
        <v>178</v>
      </c>
      <c r="O64" s="146">
        <v>5.0</v>
      </c>
      <c r="P64" s="146" t="s">
        <v>22</v>
      </c>
      <c r="Q64" s="146">
        <v>100.0</v>
      </c>
      <c r="R64" s="146" t="s">
        <v>25</v>
      </c>
      <c r="S64" s="146" t="s">
        <v>25</v>
      </c>
      <c r="T64" s="146" t="s">
        <v>25</v>
      </c>
      <c r="U64" s="146" t="s">
        <v>22</v>
      </c>
      <c r="V64" s="146" t="s">
        <v>22</v>
      </c>
      <c r="W64" s="146" t="s">
        <v>25</v>
      </c>
      <c r="X64" s="146" t="s">
        <v>22</v>
      </c>
      <c r="Y64" s="146" t="s">
        <v>22</v>
      </c>
      <c r="Z64" s="146" t="s">
        <v>25</v>
      </c>
      <c r="AA64" s="146" t="s">
        <v>22</v>
      </c>
      <c r="AB64" s="153">
        <v>27848.0</v>
      </c>
      <c r="AC64" s="146" t="s">
        <v>22</v>
      </c>
      <c r="AD64" s="151" t="s">
        <v>336</v>
      </c>
      <c r="AE64" s="151" t="s">
        <v>22</v>
      </c>
      <c r="AF64" s="151" t="s">
        <v>22</v>
      </c>
      <c r="AG64" s="151" t="s">
        <v>25</v>
      </c>
      <c r="AH64" s="151" t="s">
        <v>22</v>
      </c>
      <c r="AI64" s="151">
        <v>202466.03</v>
      </c>
      <c r="AJ64" s="146">
        <v>727.0</v>
      </c>
      <c r="AK64" s="155" t="s">
        <v>337</v>
      </c>
      <c r="AL64" s="151" t="s">
        <v>22</v>
      </c>
      <c r="AM64" s="151" t="s">
        <v>22</v>
      </c>
      <c r="AN64" s="151" t="s">
        <v>155</v>
      </c>
      <c r="AO64" s="151" t="s">
        <v>80</v>
      </c>
      <c r="AP64" s="151" t="s">
        <v>80</v>
      </c>
      <c r="AQ64" s="157"/>
      <c r="AR64" s="151" t="s">
        <v>158</v>
      </c>
      <c r="AS64" s="159">
        <v>46176.0</v>
      </c>
      <c r="AT64" s="160">
        <f>Calculo!AQ64</f>
        <v>24</v>
      </c>
      <c r="AU64" s="161" t="str">
        <f>Calculo!AV64</f>
        <v>SEM-RISCO</v>
      </c>
      <c r="AV64" s="162" t="str">
        <f>Calculo!AW64</f>
        <v>LIBERADO</v>
      </c>
      <c r="AW64" s="161" t="str">
        <f>Calculo!AX64</f>
        <v>SOLICITAR PED COMPRA</v>
      </c>
      <c r="AX64" s="161" t="str">
        <f>Calculo!K64</f>
        <v>SOLIC CONTRATO DE ENTREGA</v>
      </c>
      <c r="AY64" s="161" t="str">
        <f>Calculo!AY64</f>
        <v>N/A</v>
      </c>
      <c r="AZ64" s="161" t="str">
        <f>Calculo!AZ64</f>
        <v>N/A</v>
      </c>
      <c r="BA64" s="163"/>
    </row>
    <row r="65" ht="12.0" customHeight="1">
      <c r="A65" s="88" t="str">
        <f>'Parâmetros'!$A$19</f>
        <v>Rel. Básico PJ</v>
      </c>
      <c r="B65" s="146">
        <v>1873.0</v>
      </c>
      <c r="C65" s="146">
        <v>11678.0</v>
      </c>
      <c r="D65" s="146" t="s">
        <v>171</v>
      </c>
      <c r="E65" s="149" t="s">
        <v>277</v>
      </c>
      <c r="F65" s="151">
        <v>906.0</v>
      </c>
      <c r="G65" s="151" t="s">
        <v>147</v>
      </c>
      <c r="H65" s="146" t="s">
        <v>22</v>
      </c>
      <c r="I65" s="146" t="s">
        <v>25</v>
      </c>
      <c r="J65" s="146" t="s">
        <v>25</v>
      </c>
      <c r="K65" s="146" t="s">
        <v>25</v>
      </c>
      <c r="L65" s="146" t="s">
        <v>25</v>
      </c>
      <c r="M65" s="146" t="s">
        <v>25</v>
      </c>
      <c r="N65" s="146" t="s">
        <v>173</v>
      </c>
      <c r="O65" s="146">
        <v>0.0</v>
      </c>
      <c r="P65" s="146" t="s">
        <v>25</v>
      </c>
      <c r="Q65" s="146">
        <v>100.0</v>
      </c>
      <c r="R65" s="146" t="s">
        <v>25</v>
      </c>
      <c r="S65" s="146" t="s">
        <v>22</v>
      </c>
      <c r="T65" s="146" t="s">
        <v>22</v>
      </c>
      <c r="U65" s="146" t="s">
        <v>22</v>
      </c>
      <c r="V65" s="146" t="s">
        <v>22</v>
      </c>
      <c r="W65" s="146" t="s">
        <v>25</v>
      </c>
      <c r="X65" s="146" t="s">
        <v>22</v>
      </c>
      <c r="Y65" s="146" t="s">
        <v>22</v>
      </c>
      <c r="Z65" s="146" t="s">
        <v>25</v>
      </c>
      <c r="AA65" s="146" t="s">
        <v>22</v>
      </c>
      <c r="AB65" s="153">
        <v>24596.0</v>
      </c>
      <c r="AC65" s="146" t="s">
        <v>25</v>
      </c>
      <c r="AD65" s="151"/>
      <c r="AE65" s="151" t="s">
        <v>22</v>
      </c>
      <c r="AF65" s="151" t="s">
        <v>22</v>
      </c>
      <c r="AG65" s="151" t="s">
        <v>25</v>
      </c>
      <c r="AH65" s="151" t="s">
        <v>25</v>
      </c>
      <c r="AI65" s="151">
        <v>5682788.88</v>
      </c>
      <c r="AJ65" s="146">
        <v>643.0</v>
      </c>
      <c r="AK65" s="155" t="s">
        <v>278</v>
      </c>
      <c r="AL65" s="151" t="s">
        <v>22</v>
      </c>
      <c r="AM65" s="151" t="s">
        <v>22</v>
      </c>
      <c r="AN65" s="151" t="s">
        <v>155</v>
      </c>
      <c r="AO65" s="151" t="s">
        <v>80</v>
      </c>
      <c r="AP65" s="151" t="s">
        <v>80</v>
      </c>
      <c r="AQ65" s="164"/>
      <c r="AR65" s="151" t="s">
        <v>158</v>
      </c>
      <c r="AS65" s="159">
        <v>46181.0</v>
      </c>
      <c r="AT65" s="160">
        <f>Calculo!AQ65</f>
        <v>31</v>
      </c>
      <c r="AU65" s="161" t="str">
        <f>Calculo!AV65</f>
        <v>SEM-RISCO</v>
      </c>
      <c r="AV65" s="162" t="str">
        <f>Calculo!AW65</f>
        <v>LIBERADO</v>
      </c>
      <c r="AW65" s="161" t="str">
        <f>Calculo!AX65</f>
        <v>N/A</v>
      </c>
      <c r="AX65" s="161" t="str">
        <f>Calculo!K65</f>
        <v>N/A</v>
      </c>
      <c r="AY65" s="161" t="str">
        <f>Calculo!AY65</f>
        <v>CHECAGEM REVERSA</v>
      </c>
      <c r="AZ65" s="161" t="str">
        <f>Calculo!AZ65</f>
        <v>N/A</v>
      </c>
      <c r="BA65" s="163"/>
    </row>
    <row r="66" ht="12.0" customHeight="1">
      <c r="A66" s="88" t="str">
        <f>'Parâmetros'!$A$19</f>
        <v>Rel. Básico PJ</v>
      </c>
      <c r="B66" s="146">
        <v>233.0</v>
      </c>
      <c r="C66" s="146">
        <v>25551.0</v>
      </c>
      <c r="D66" s="146" t="s">
        <v>142</v>
      </c>
      <c r="E66" s="149" t="s">
        <v>339</v>
      </c>
      <c r="F66" s="151">
        <v>7165.0</v>
      </c>
      <c r="G66" s="151" t="s">
        <v>147</v>
      </c>
      <c r="H66" s="146" t="s">
        <v>22</v>
      </c>
      <c r="I66" s="146" t="s">
        <v>22</v>
      </c>
      <c r="J66" s="146" t="s">
        <v>25</v>
      </c>
      <c r="K66" s="146" t="s">
        <v>25</v>
      </c>
      <c r="L66" s="146" t="s">
        <v>22</v>
      </c>
      <c r="M66" s="146" t="s">
        <v>22</v>
      </c>
      <c r="N66" s="146" t="s">
        <v>229</v>
      </c>
      <c r="O66" s="146" t="s">
        <v>140</v>
      </c>
      <c r="P66" s="146" t="s">
        <v>25</v>
      </c>
      <c r="Q66" s="146">
        <v>100.0</v>
      </c>
      <c r="R66" s="146" t="s">
        <v>25</v>
      </c>
      <c r="S66" s="146" t="s">
        <v>25</v>
      </c>
      <c r="T66" s="146" t="s">
        <v>25</v>
      </c>
      <c r="U66" s="146" t="s">
        <v>22</v>
      </c>
      <c r="V66" s="146" t="s">
        <v>22</v>
      </c>
      <c r="W66" s="146" t="s">
        <v>25</v>
      </c>
      <c r="X66" s="146" t="s">
        <v>22</v>
      </c>
      <c r="Y66" s="146" t="s">
        <v>22</v>
      </c>
      <c r="Z66" s="146" t="s">
        <v>25</v>
      </c>
      <c r="AA66" s="146" t="s">
        <v>22</v>
      </c>
      <c r="AB66" s="153">
        <v>42165.0</v>
      </c>
      <c r="AC66" s="146" t="s">
        <v>25</v>
      </c>
      <c r="AD66" s="151" t="s">
        <v>234</v>
      </c>
      <c r="AE66" s="151" t="s">
        <v>22</v>
      </c>
      <c r="AF66" s="151" t="s">
        <v>25</v>
      </c>
      <c r="AG66" s="151" t="s">
        <v>25</v>
      </c>
      <c r="AH66" s="151" t="s">
        <v>25</v>
      </c>
      <c r="AI66" s="151">
        <v>0.0</v>
      </c>
      <c r="AJ66" s="146">
        <v>542.0</v>
      </c>
      <c r="AK66" s="155" t="s">
        <v>340</v>
      </c>
      <c r="AL66" s="151" t="s">
        <v>22</v>
      </c>
      <c r="AM66" s="151" t="s">
        <v>22</v>
      </c>
      <c r="AN66" s="151" t="s">
        <v>155</v>
      </c>
      <c r="AO66" s="151" t="s">
        <v>80</v>
      </c>
      <c r="AP66" s="151" t="s">
        <v>80</v>
      </c>
      <c r="AQ66" s="157"/>
      <c r="AR66" s="151" t="s">
        <v>158</v>
      </c>
      <c r="AS66" s="159">
        <v>46181.0</v>
      </c>
      <c r="AT66" s="160">
        <f>Calculo!AQ66</f>
        <v>51</v>
      </c>
      <c r="AU66" s="161" t="str">
        <f>Calculo!AV66</f>
        <v>SEM-RISCO</v>
      </c>
      <c r="AV66" s="162" t="str">
        <f>Calculo!AW66</f>
        <v>LIBERADO</v>
      </c>
      <c r="AW66" s="161" t="str">
        <f>Calculo!AX66</f>
        <v>SOLICITAR PED COMPRA</v>
      </c>
      <c r="AX66" s="161" t="str">
        <f>Calculo!K66</f>
        <v>SOLIC CONTRATO DE ENTREGA</v>
      </c>
      <c r="AY66" s="161" t="str">
        <f>Calculo!AY66</f>
        <v>N/A</v>
      </c>
      <c r="AZ66" s="161" t="str">
        <f>Calculo!AZ66</f>
        <v>N/A</v>
      </c>
      <c r="BA66" s="163"/>
    </row>
    <row r="67" ht="12.0" customHeight="1">
      <c r="A67" s="88" t="str">
        <f>'Parâmetros'!$A$19</f>
        <v>Rel. Básico PJ</v>
      </c>
      <c r="B67" s="146">
        <v>234.0</v>
      </c>
      <c r="C67" s="146">
        <v>25397.0</v>
      </c>
      <c r="D67" s="146" t="s">
        <v>142</v>
      </c>
      <c r="E67" s="149" t="s">
        <v>341</v>
      </c>
      <c r="F67" s="151">
        <v>21987.0</v>
      </c>
      <c r="G67" s="151" t="s">
        <v>147</v>
      </c>
      <c r="H67" s="146" t="s">
        <v>22</v>
      </c>
      <c r="I67" s="146" t="s">
        <v>25</v>
      </c>
      <c r="J67" s="146" t="s">
        <v>25</v>
      </c>
      <c r="K67" s="146" t="s">
        <v>25</v>
      </c>
      <c r="L67" s="146" t="s">
        <v>22</v>
      </c>
      <c r="M67" s="146" t="s">
        <v>22</v>
      </c>
      <c r="N67" s="146" t="s">
        <v>233</v>
      </c>
      <c r="O67" s="146" t="s">
        <v>140</v>
      </c>
      <c r="P67" s="146" t="s">
        <v>22</v>
      </c>
      <c r="Q67" s="146">
        <v>100.0</v>
      </c>
      <c r="R67" s="146" t="s">
        <v>25</v>
      </c>
      <c r="S67" s="146" t="s">
        <v>22</v>
      </c>
      <c r="T67" s="146" t="s">
        <v>25</v>
      </c>
      <c r="U67" s="146" t="s">
        <v>22</v>
      </c>
      <c r="V67" s="146" t="s">
        <v>22</v>
      </c>
      <c r="W67" s="146" t="s">
        <v>25</v>
      </c>
      <c r="X67" s="146" t="s">
        <v>22</v>
      </c>
      <c r="Y67" s="146" t="s">
        <v>22</v>
      </c>
      <c r="Z67" s="146" t="s">
        <v>25</v>
      </c>
      <c r="AA67" s="146" t="s">
        <v>22</v>
      </c>
      <c r="AB67" s="153">
        <v>31827.0</v>
      </c>
      <c r="AC67" s="146" t="s">
        <v>22</v>
      </c>
      <c r="AD67" s="151" t="s">
        <v>342</v>
      </c>
      <c r="AE67" s="151" t="s">
        <v>22</v>
      </c>
      <c r="AF67" s="151" t="s">
        <v>22</v>
      </c>
      <c r="AG67" s="151" t="s">
        <v>25</v>
      </c>
      <c r="AH67" s="151" t="s">
        <v>22</v>
      </c>
      <c r="AI67" s="151">
        <v>402881.44</v>
      </c>
      <c r="AJ67" s="146">
        <v>727.0</v>
      </c>
      <c r="AK67" s="155" t="s">
        <v>343</v>
      </c>
      <c r="AL67" s="151" t="s">
        <v>22</v>
      </c>
      <c r="AM67" s="151" t="s">
        <v>22</v>
      </c>
      <c r="AN67" s="151" t="s">
        <v>155</v>
      </c>
      <c r="AO67" s="151" t="s">
        <v>80</v>
      </c>
      <c r="AP67" s="151" t="s">
        <v>80</v>
      </c>
      <c r="AQ67" s="164"/>
      <c r="AR67" s="151" t="s">
        <v>158</v>
      </c>
      <c r="AS67" s="159">
        <v>46182.0</v>
      </c>
      <c r="AT67" s="160">
        <f>Calculo!AQ67</f>
        <v>25</v>
      </c>
      <c r="AU67" s="161" t="str">
        <f>Calculo!AV67</f>
        <v>SEM-RISCO</v>
      </c>
      <c r="AV67" s="162" t="str">
        <f>Calculo!AW67</f>
        <v>LIBERADO</v>
      </c>
      <c r="AW67" s="161" t="str">
        <f>Calculo!AX67</f>
        <v>SOLICITAR PED COMPRA</v>
      </c>
      <c r="AX67" s="161" t="str">
        <f>Calculo!K67</f>
        <v>SOLIC CONTRATO DE ENTREGA</v>
      </c>
      <c r="AY67" s="161" t="str">
        <f>Calculo!AY67</f>
        <v>N/A</v>
      </c>
      <c r="AZ67" s="161" t="str">
        <f>Calculo!AZ67</f>
        <v>N/A</v>
      </c>
      <c r="BA67" s="163"/>
    </row>
    <row r="68" ht="12.0" customHeight="1">
      <c r="A68" s="88" t="str">
        <f>'Parâmetros'!$A$19</f>
        <v>Rel. Básico PJ</v>
      </c>
      <c r="B68" s="146" t="s">
        <v>140</v>
      </c>
      <c r="C68" s="146" t="s">
        <v>140</v>
      </c>
      <c r="D68" s="146" t="s">
        <v>142</v>
      </c>
      <c r="E68" s="149" t="s">
        <v>140</v>
      </c>
      <c r="F68" s="151">
        <v>12804.0</v>
      </c>
      <c r="G68" s="151" t="s">
        <v>147</v>
      </c>
      <c r="H68" s="146" t="s">
        <v>22</v>
      </c>
      <c r="I68" s="146" t="s">
        <v>25</v>
      </c>
      <c r="J68" s="146" t="s">
        <v>25</v>
      </c>
      <c r="K68" s="146" t="s">
        <v>25</v>
      </c>
      <c r="L68" s="146" t="s">
        <v>22</v>
      </c>
      <c r="M68" s="146" t="s">
        <v>22</v>
      </c>
      <c r="N68" s="146" t="s">
        <v>173</v>
      </c>
      <c r="O68" s="146">
        <v>5.0</v>
      </c>
      <c r="P68" s="146" t="s">
        <v>25</v>
      </c>
      <c r="Q68" s="146">
        <v>100.0</v>
      </c>
      <c r="R68" s="146" t="s">
        <v>25</v>
      </c>
      <c r="S68" s="146" t="s">
        <v>25</v>
      </c>
      <c r="T68" s="146" t="s">
        <v>25</v>
      </c>
      <c r="U68" s="146" t="s">
        <v>22</v>
      </c>
      <c r="V68" s="146" t="s">
        <v>22</v>
      </c>
      <c r="W68" s="146" t="s">
        <v>25</v>
      </c>
      <c r="X68" s="146" t="s">
        <v>22</v>
      </c>
      <c r="Y68" s="146" t="s">
        <v>22</v>
      </c>
      <c r="Z68" s="146" t="s">
        <v>25</v>
      </c>
      <c r="AA68" s="146" t="s">
        <v>22</v>
      </c>
      <c r="AB68" s="153">
        <v>42520.0</v>
      </c>
      <c r="AC68" s="146" t="s">
        <v>25</v>
      </c>
      <c r="AD68" s="151" t="s">
        <v>344</v>
      </c>
      <c r="AE68" s="151" t="s">
        <v>22</v>
      </c>
      <c r="AF68" s="151" t="s">
        <v>22</v>
      </c>
      <c r="AG68" s="151" t="s">
        <v>25</v>
      </c>
      <c r="AH68" s="151" t="s">
        <v>22</v>
      </c>
      <c r="AI68" s="151">
        <v>2628.56</v>
      </c>
      <c r="AJ68" s="146">
        <v>773.0</v>
      </c>
      <c r="AK68" s="155" t="s">
        <v>345</v>
      </c>
      <c r="AL68" s="151" t="s">
        <v>22</v>
      </c>
      <c r="AM68" s="151" t="s">
        <v>22</v>
      </c>
      <c r="AN68" s="151" t="s">
        <v>155</v>
      </c>
      <c r="AO68" s="151" t="s">
        <v>80</v>
      </c>
      <c r="AP68" s="151" t="s">
        <v>80</v>
      </c>
      <c r="AQ68" s="157" t="s">
        <v>346</v>
      </c>
      <c r="AR68" s="151" t="s">
        <v>158</v>
      </c>
      <c r="AS68" s="159">
        <v>46182.0</v>
      </c>
      <c r="AT68" s="160">
        <f>Calculo!AQ68</f>
        <v>21</v>
      </c>
      <c r="AU68" s="161" t="str">
        <f>Calculo!AV68</f>
        <v>SEM-RISCO</v>
      </c>
      <c r="AV68" s="162" t="str">
        <f>Calculo!AW68</f>
        <v>LIBERADO</v>
      </c>
      <c r="AW68" s="161" t="str">
        <f>Calculo!AX68</f>
        <v>SOLICITAR PED COMPRA</v>
      </c>
      <c r="AX68" s="161" t="str">
        <f>Calculo!K68</f>
        <v>SOLIC CONTRATO DE ENTREGA</v>
      </c>
      <c r="AY68" s="161" t="str">
        <f>Calculo!AY68</f>
        <v>N/A</v>
      </c>
      <c r="AZ68" s="161" t="str">
        <f>Calculo!AZ68</f>
        <v>N/A</v>
      </c>
      <c r="BA68" s="163"/>
    </row>
    <row r="69" ht="12.0" customHeight="1">
      <c r="A69" s="88" t="str">
        <f>'Parâmetros'!$A$19</f>
        <v>Rel. Básico PJ</v>
      </c>
      <c r="B69" s="146">
        <v>237.0</v>
      </c>
      <c r="C69" s="146">
        <v>25173.0</v>
      </c>
      <c r="D69" s="146" t="s">
        <v>142</v>
      </c>
      <c r="E69" s="149" t="s">
        <v>347</v>
      </c>
      <c r="F69" s="151">
        <v>4305.0</v>
      </c>
      <c r="G69" s="151" t="s">
        <v>147</v>
      </c>
      <c r="H69" s="146" t="s">
        <v>22</v>
      </c>
      <c r="I69" s="146" t="s">
        <v>25</v>
      </c>
      <c r="J69" s="146" t="s">
        <v>25</v>
      </c>
      <c r="K69" s="146" t="s">
        <v>25</v>
      </c>
      <c r="L69" s="146" t="s">
        <v>22</v>
      </c>
      <c r="M69" s="146" t="s">
        <v>22</v>
      </c>
      <c r="N69" s="146" t="s">
        <v>173</v>
      </c>
      <c r="O69" s="146">
        <v>5.0</v>
      </c>
      <c r="P69" s="146" t="s">
        <v>22</v>
      </c>
      <c r="Q69" s="146">
        <v>100.0</v>
      </c>
      <c r="R69" s="146" t="s">
        <v>25</v>
      </c>
      <c r="S69" s="146" t="s">
        <v>25</v>
      </c>
      <c r="T69" s="146" t="s">
        <v>25</v>
      </c>
      <c r="U69" s="146" t="s">
        <v>22</v>
      </c>
      <c r="V69" s="146" t="s">
        <v>22</v>
      </c>
      <c r="W69" s="146" t="s">
        <v>25</v>
      </c>
      <c r="X69" s="146" t="s">
        <v>22</v>
      </c>
      <c r="Y69" s="146" t="s">
        <v>22</v>
      </c>
      <c r="Z69" s="146" t="s">
        <v>25</v>
      </c>
      <c r="AA69" s="146" t="s">
        <v>22</v>
      </c>
      <c r="AB69" s="153">
        <v>28633.0</v>
      </c>
      <c r="AC69" s="146" t="s">
        <v>25</v>
      </c>
      <c r="AD69" s="151" t="s">
        <v>348</v>
      </c>
      <c r="AE69" s="151" t="s">
        <v>22</v>
      </c>
      <c r="AF69" s="151" t="s">
        <v>22</v>
      </c>
      <c r="AG69" s="151" t="s">
        <v>25</v>
      </c>
      <c r="AH69" s="151" t="s">
        <v>22</v>
      </c>
      <c r="AI69" s="151">
        <v>34478.86</v>
      </c>
      <c r="AJ69" s="146">
        <v>900.0</v>
      </c>
      <c r="AK69" s="155" t="s">
        <v>349</v>
      </c>
      <c r="AL69" s="151" t="s">
        <v>22</v>
      </c>
      <c r="AM69" s="151" t="s">
        <v>22</v>
      </c>
      <c r="AN69" s="151" t="s">
        <v>155</v>
      </c>
      <c r="AO69" s="151" t="s">
        <v>80</v>
      </c>
      <c r="AP69" s="151" t="s">
        <v>80</v>
      </c>
      <c r="AQ69" s="157"/>
      <c r="AR69" s="151" t="s">
        <v>158</v>
      </c>
      <c r="AS69" s="159">
        <v>46182.0</v>
      </c>
      <c r="AT69" s="160">
        <f>Calculo!AQ69</f>
        <v>19</v>
      </c>
      <c r="AU69" s="161" t="str">
        <f>Calculo!AV69</f>
        <v>SEM-RISCO</v>
      </c>
      <c r="AV69" s="162" t="str">
        <f>Calculo!AW69</f>
        <v>LIBERADO</v>
      </c>
      <c r="AW69" s="161" t="str">
        <f>Calculo!AX69</f>
        <v>N/A</v>
      </c>
      <c r="AX69" s="161" t="str">
        <f>Calculo!K69</f>
        <v>SOLIC CONTRATO DE ENTREGA</v>
      </c>
      <c r="AY69" s="161" t="str">
        <f>Calculo!AY69</f>
        <v>N/A</v>
      </c>
      <c r="AZ69" s="161" t="str">
        <f>Calculo!AZ69</f>
        <v>N/A</v>
      </c>
      <c r="BA69" s="163"/>
    </row>
    <row r="70" ht="12.0" customHeight="1">
      <c r="A70" s="88" t="str">
        <f>'Parâmetros'!$A$19</f>
        <v>Rel. Básico PJ</v>
      </c>
      <c r="B70" s="146">
        <v>1874.0</v>
      </c>
      <c r="C70" s="146">
        <v>25585.0</v>
      </c>
      <c r="D70" s="146" t="s">
        <v>142</v>
      </c>
      <c r="E70" s="149" t="s">
        <v>350</v>
      </c>
      <c r="F70" s="151">
        <v>689.0</v>
      </c>
      <c r="G70" s="151" t="s">
        <v>147</v>
      </c>
      <c r="H70" s="146" t="s">
        <v>22</v>
      </c>
      <c r="I70" s="146" t="s">
        <v>25</v>
      </c>
      <c r="J70" s="146" t="s">
        <v>25</v>
      </c>
      <c r="K70" s="146" t="s">
        <v>25</v>
      </c>
      <c r="L70" s="146" t="s">
        <v>22</v>
      </c>
      <c r="M70" s="146" t="s">
        <v>22</v>
      </c>
      <c r="N70" s="146" t="s">
        <v>233</v>
      </c>
      <c r="O70" s="146" t="s">
        <v>140</v>
      </c>
      <c r="P70" s="146" t="s">
        <v>22</v>
      </c>
      <c r="Q70" s="146">
        <v>100.0</v>
      </c>
      <c r="R70" s="146" t="s">
        <v>25</v>
      </c>
      <c r="S70" s="146" t="s">
        <v>22</v>
      </c>
      <c r="T70" s="146" t="s">
        <v>25</v>
      </c>
      <c r="U70" s="146" t="s">
        <v>22</v>
      </c>
      <c r="V70" s="146" t="s">
        <v>22</v>
      </c>
      <c r="W70" s="146" t="s">
        <v>25</v>
      </c>
      <c r="X70" s="146" t="s">
        <v>22</v>
      </c>
      <c r="Y70" s="146" t="s">
        <v>22</v>
      </c>
      <c r="Z70" s="146" t="s">
        <v>25</v>
      </c>
      <c r="AA70" s="146" t="s">
        <v>22</v>
      </c>
      <c r="AB70" s="153">
        <v>25590.0</v>
      </c>
      <c r="AC70" s="146" t="s">
        <v>22</v>
      </c>
      <c r="AD70" s="151" t="s">
        <v>351</v>
      </c>
      <c r="AE70" s="151" t="s">
        <v>22</v>
      </c>
      <c r="AF70" s="151" t="s">
        <v>22</v>
      </c>
      <c r="AG70" s="151" t="s">
        <v>25</v>
      </c>
      <c r="AH70" s="151" t="s">
        <v>22</v>
      </c>
      <c r="AI70" s="151">
        <v>193830.16</v>
      </c>
      <c r="AJ70" s="146">
        <v>727.0</v>
      </c>
      <c r="AK70" s="155" t="s">
        <v>352</v>
      </c>
      <c r="AL70" s="151" t="s">
        <v>22</v>
      </c>
      <c r="AM70" s="151" t="s">
        <v>22</v>
      </c>
      <c r="AN70" s="151" t="s">
        <v>155</v>
      </c>
      <c r="AO70" s="151" t="s">
        <v>80</v>
      </c>
      <c r="AP70" s="151" t="s">
        <v>80</v>
      </c>
      <c r="AQ70" s="164"/>
      <c r="AR70" s="151" t="s">
        <v>158</v>
      </c>
      <c r="AS70" s="159">
        <v>46182.0</v>
      </c>
      <c r="AT70" s="160">
        <f>Calculo!AQ70</f>
        <v>33</v>
      </c>
      <c r="AU70" s="161" t="str">
        <f>Calculo!AV70</f>
        <v>SEM-RISCO</v>
      </c>
      <c r="AV70" s="162" t="str">
        <f>Calculo!AW70</f>
        <v>LIBERADO</v>
      </c>
      <c r="AW70" s="161" t="str">
        <f>Calculo!AX70</f>
        <v>N/A</v>
      </c>
      <c r="AX70" s="161" t="str">
        <f>Calculo!K70</f>
        <v>SOLIC CONTRATO DE ENTREGA</v>
      </c>
      <c r="AY70" s="161" t="str">
        <f>Calculo!AY70</f>
        <v>N/A</v>
      </c>
      <c r="AZ70" s="161" t="str">
        <f>Calculo!AZ70</f>
        <v>N/A</v>
      </c>
      <c r="BA70" s="163"/>
    </row>
    <row r="71" ht="12.0" customHeight="1">
      <c r="A71" s="88" t="str">
        <f>'Parâmetros'!$A$19</f>
        <v>Rel. Básico PJ</v>
      </c>
      <c r="B71" s="146">
        <v>571.0</v>
      </c>
      <c r="C71" s="146">
        <v>25577.0</v>
      </c>
      <c r="D71" s="146" t="s">
        <v>176</v>
      </c>
      <c r="E71" s="149" t="s">
        <v>353</v>
      </c>
      <c r="F71" s="151">
        <v>8921.0</v>
      </c>
      <c r="G71" s="151" t="s">
        <v>147</v>
      </c>
      <c r="H71" s="146" t="s">
        <v>22</v>
      </c>
      <c r="I71" s="146" t="s">
        <v>25</v>
      </c>
      <c r="J71" s="146" t="s">
        <v>25</v>
      </c>
      <c r="K71" s="146" t="s">
        <v>25</v>
      </c>
      <c r="L71" s="146" t="s">
        <v>22</v>
      </c>
      <c r="M71" s="146" t="s">
        <v>22</v>
      </c>
      <c r="N71" s="146" t="s">
        <v>178</v>
      </c>
      <c r="O71" s="146" t="s">
        <v>140</v>
      </c>
      <c r="P71" s="146" t="s">
        <v>25</v>
      </c>
      <c r="Q71" s="146">
        <v>100.0</v>
      </c>
      <c r="R71" s="146" t="s">
        <v>25</v>
      </c>
      <c r="S71" s="146" t="s">
        <v>22</v>
      </c>
      <c r="T71" s="146" t="s">
        <v>25</v>
      </c>
      <c r="U71" s="146" t="s">
        <v>22</v>
      </c>
      <c r="V71" s="146" t="s">
        <v>22</v>
      </c>
      <c r="W71" s="146" t="s">
        <v>25</v>
      </c>
      <c r="X71" s="146" t="s">
        <v>22</v>
      </c>
      <c r="Y71" s="146" t="s">
        <v>22</v>
      </c>
      <c r="Z71" s="146" t="s">
        <v>25</v>
      </c>
      <c r="AA71" s="146" t="s">
        <v>22</v>
      </c>
      <c r="AB71" s="153">
        <v>39129.0</v>
      </c>
      <c r="AC71" s="146" t="s">
        <v>22</v>
      </c>
      <c r="AD71" s="151" t="s">
        <v>354</v>
      </c>
      <c r="AE71" s="151" t="s">
        <v>22</v>
      </c>
      <c r="AF71" s="151" t="s">
        <v>22</v>
      </c>
      <c r="AG71" s="151" t="s">
        <v>25</v>
      </c>
      <c r="AH71" s="151" t="s">
        <v>22</v>
      </c>
      <c r="AI71" s="151">
        <v>134991.76</v>
      </c>
      <c r="AJ71" s="146">
        <v>406.0</v>
      </c>
      <c r="AK71" s="155" t="s">
        <v>355</v>
      </c>
      <c r="AL71" s="151" t="s">
        <v>22</v>
      </c>
      <c r="AM71" s="151" t="s">
        <v>22</v>
      </c>
      <c r="AN71" s="151" t="s">
        <v>155</v>
      </c>
      <c r="AO71" s="151" t="s">
        <v>80</v>
      </c>
      <c r="AP71" s="151" t="s">
        <v>80</v>
      </c>
      <c r="AQ71" s="157"/>
      <c r="AR71" s="151" t="s">
        <v>158</v>
      </c>
      <c r="AS71" s="159">
        <v>46183.0</v>
      </c>
      <c r="AT71" s="160">
        <f>Calculo!AQ71</f>
        <v>17</v>
      </c>
      <c r="AU71" s="161" t="str">
        <f>Calculo!AV71</f>
        <v>SEM-RISCO</v>
      </c>
      <c r="AV71" s="162" t="str">
        <f>Calculo!AW71</f>
        <v>LIBERADO</v>
      </c>
      <c r="AW71" s="161" t="str">
        <f>Calculo!AX71</f>
        <v>SOLICITAR PED COMPRA</v>
      </c>
      <c r="AX71" s="161" t="str">
        <f>Calculo!K71</f>
        <v>SOLIC CONTRATO DE ENTREGA</v>
      </c>
      <c r="AY71" s="161" t="str">
        <f>Calculo!AY71</f>
        <v>N/A</v>
      </c>
      <c r="AZ71" s="161" t="str">
        <f>Calculo!AZ71</f>
        <v>N/A</v>
      </c>
      <c r="BA71" s="163"/>
    </row>
    <row r="72" ht="12.0" customHeight="1">
      <c r="A72" s="88" t="str">
        <f>'Parâmetros'!$A$19</f>
        <v>Rel. Básico PJ</v>
      </c>
      <c r="B72" s="146">
        <v>572.0</v>
      </c>
      <c r="C72" s="146">
        <v>25596.0</v>
      </c>
      <c r="D72" s="146" t="s">
        <v>176</v>
      </c>
      <c r="E72" s="149" t="s">
        <v>353</v>
      </c>
      <c r="F72" s="151">
        <v>4247.0</v>
      </c>
      <c r="G72" s="151" t="s">
        <v>147</v>
      </c>
      <c r="H72" s="146" t="s">
        <v>22</v>
      </c>
      <c r="I72" s="146" t="s">
        <v>25</v>
      </c>
      <c r="J72" s="146" t="s">
        <v>25</v>
      </c>
      <c r="K72" s="146" t="s">
        <v>25</v>
      </c>
      <c r="L72" s="146" t="s">
        <v>22</v>
      </c>
      <c r="M72" s="146" t="s">
        <v>22</v>
      </c>
      <c r="N72" s="146" t="s">
        <v>178</v>
      </c>
      <c r="O72" s="146" t="s">
        <v>140</v>
      </c>
      <c r="P72" s="146" t="s">
        <v>25</v>
      </c>
      <c r="Q72" s="146">
        <v>100.0</v>
      </c>
      <c r="R72" s="146" t="s">
        <v>25</v>
      </c>
      <c r="S72" s="146" t="s">
        <v>22</v>
      </c>
      <c r="T72" s="146" t="s">
        <v>25</v>
      </c>
      <c r="U72" s="146" t="s">
        <v>22</v>
      </c>
      <c r="V72" s="146" t="s">
        <v>22</v>
      </c>
      <c r="W72" s="146" t="s">
        <v>25</v>
      </c>
      <c r="X72" s="146" t="s">
        <v>22</v>
      </c>
      <c r="Y72" s="146" t="s">
        <v>22</v>
      </c>
      <c r="Z72" s="146" t="s">
        <v>25</v>
      </c>
      <c r="AA72" s="146" t="s">
        <v>22</v>
      </c>
      <c r="AB72" s="153">
        <v>39129.0</v>
      </c>
      <c r="AC72" s="146" t="s">
        <v>22</v>
      </c>
      <c r="AD72" s="151" t="s">
        <v>354</v>
      </c>
      <c r="AE72" s="151" t="s">
        <v>22</v>
      </c>
      <c r="AF72" s="151" t="s">
        <v>22</v>
      </c>
      <c r="AG72" s="151" t="s">
        <v>25</v>
      </c>
      <c r="AH72" s="151" t="s">
        <v>22</v>
      </c>
      <c r="AI72" s="151">
        <v>134991.76</v>
      </c>
      <c r="AJ72" s="146">
        <v>406.0</v>
      </c>
      <c r="AK72" s="155" t="s">
        <v>355</v>
      </c>
      <c r="AL72" s="151" t="s">
        <v>22</v>
      </c>
      <c r="AM72" s="151" t="s">
        <v>22</v>
      </c>
      <c r="AN72" s="151" t="s">
        <v>155</v>
      </c>
      <c r="AO72" s="151" t="s">
        <v>80</v>
      </c>
      <c r="AP72" s="151" t="s">
        <v>80</v>
      </c>
      <c r="AQ72" s="164"/>
      <c r="AR72" s="151" t="s">
        <v>158</v>
      </c>
      <c r="AS72" s="159">
        <v>46183.0</v>
      </c>
      <c r="AT72" s="160">
        <f>Calculo!AQ72</f>
        <v>17</v>
      </c>
      <c r="AU72" s="161" t="str">
        <f>Calculo!AV72</f>
        <v>SEM-RISCO</v>
      </c>
      <c r="AV72" s="162" t="str">
        <f>Calculo!AW72</f>
        <v>LIBERADO</v>
      </c>
      <c r="AW72" s="161" t="str">
        <f>Calculo!AX72</f>
        <v>N/A</v>
      </c>
      <c r="AX72" s="161" t="str">
        <f>Calculo!K72</f>
        <v>SOLIC CONTRATO DE ENTREGA</v>
      </c>
      <c r="AY72" s="161" t="str">
        <f>Calculo!AY72</f>
        <v>N/A</v>
      </c>
      <c r="AZ72" s="161" t="str">
        <f>Calculo!AZ72</f>
        <v>N/A</v>
      </c>
      <c r="BA72" s="163"/>
    </row>
    <row r="73" ht="12.0" customHeight="1">
      <c r="A73" s="88" t="str">
        <f>'Parâmetros'!$A$19</f>
        <v>Rel. Básico PJ</v>
      </c>
      <c r="B73" s="146">
        <v>238.0</v>
      </c>
      <c r="C73" s="146">
        <v>25236.0</v>
      </c>
      <c r="D73" s="146" t="s">
        <v>142</v>
      </c>
      <c r="E73" s="149" t="s">
        <v>356</v>
      </c>
      <c r="F73" s="151">
        <v>4103.1</v>
      </c>
      <c r="G73" s="151" t="s">
        <v>147</v>
      </c>
      <c r="H73" s="146" t="s">
        <v>22</v>
      </c>
      <c r="I73" s="146" t="s">
        <v>25</v>
      </c>
      <c r="J73" s="146" t="s">
        <v>25</v>
      </c>
      <c r="K73" s="146" t="s">
        <v>25</v>
      </c>
      <c r="L73" s="146" t="s">
        <v>22</v>
      </c>
      <c r="M73" s="146" t="s">
        <v>25</v>
      </c>
      <c r="N73" s="146" t="s">
        <v>173</v>
      </c>
      <c r="O73" s="146">
        <v>0.0</v>
      </c>
      <c r="P73" s="146" t="s">
        <v>22</v>
      </c>
      <c r="Q73" s="146">
        <v>100.0</v>
      </c>
      <c r="R73" s="146" t="s">
        <v>25</v>
      </c>
      <c r="S73" s="146" t="s">
        <v>25</v>
      </c>
      <c r="T73" s="146" t="s">
        <v>25</v>
      </c>
      <c r="U73" s="146" t="s">
        <v>22</v>
      </c>
      <c r="V73" s="146" t="s">
        <v>22</v>
      </c>
      <c r="W73" s="146" t="s">
        <v>25</v>
      </c>
      <c r="X73" s="146" t="s">
        <v>22</v>
      </c>
      <c r="Y73" s="146" t="s">
        <v>22</v>
      </c>
      <c r="Z73" s="146" t="s">
        <v>25</v>
      </c>
      <c r="AA73" s="146" t="s">
        <v>22</v>
      </c>
      <c r="AB73" s="153">
        <v>40259.0</v>
      </c>
      <c r="AC73" s="146" t="s">
        <v>25</v>
      </c>
      <c r="AD73" s="151" t="s">
        <v>357</v>
      </c>
      <c r="AE73" s="151" t="s">
        <v>22</v>
      </c>
      <c r="AF73" s="151" t="s">
        <v>22</v>
      </c>
      <c r="AG73" s="151" t="s">
        <v>25</v>
      </c>
      <c r="AH73" s="151" t="s">
        <v>25</v>
      </c>
      <c r="AI73" s="151">
        <v>11936.49</v>
      </c>
      <c r="AJ73" s="146">
        <v>435.0</v>
      </c>
      <c r="AK73" s="155" t="s">
        <v>358</v>
      </c>
      <c r="AL73" s="151" t="s">
        <v>22</v>
      </c>
      <c r="AM73" s="151" t="s">
        <v>22</v>
      </c>
      <c r="AN73" s="151" t="s">
        <v>155</v>
      </c>
      <c r="AO73" s="151" t="s">
        <v>80</v>
      </c>
      <c r="AP73" s="151" t="s">
        <v>80</v>
      </c>
      <c r="AQ73" s="164"/>
      <c r="AR73" s="151" t="s">
        <v>158</v>
      </c>
      <c r="AS73" s="159">
        <v>46184.0</v>
      </c>
      <c r="AT73" s="160">
        <f>Calculo!AQ73</f>
        <v>7</v>
      </c>
      <c r="AU73" s="161" t="str">
        <f>Calculo!AV73</f>
        <v>SEM-RISCO</v>
      </c>
      <c r="AV73" s="162" t="str">
        <f>Calculo!AW73</f>
        <v>LIBERADO</v>
      </c>
      <c r="AW73" s="161" t="str">
        <f>Calculo!AX73</f>
        <v>N/A</v>
      </c>
      <c r="AX73" s="161" t="str">
        <f>Calculo!K73</f>
        <v>SOLIC CONTRATO DE ENTREGA</v>
      </c>
      <c r="AY73" s="161" t="str">
        <f>Calculo!AY73</f>
        <v>CHECAGEM REVERSA</v>
      </c>
      <c r="AZ73" s="161" t="str">
        <f>Calculo!AZ73</f>
        <v>N/A</v>
      </c>
      <c r="BA73" s="163"/>
    </row>
    <row r="74" ht="12.0" customHeight="1">
      <c r="A74" s="88" t="str">
        <f>'Parâmetros'!$A$19</f>
        <v>Rel. Básico PJ</v>
      </c>
      <c r="B74" s="146">
        <v>240.0</v>
      </c>
      <c r="C74" s="146">
        <v>25609.0</v>
      </c>
      <c r="D74" s="146" t="s">
        <v>142</v>
      </c>
      <c r="E74" s="149" t="s">
        <v>359</v>
      </c>
      <c r="F74" s="151">
        <v>3145.0</v>
      </c>
      <c r="G74" s="151" t="s">
        <v>147</v>
      </c>
      <c r="H74" s="146" t="s">
        <v>22</v>
      </c>
      <c r="I74" s="146" t="s">
        <v>25</v>
      </c>
      <c r="J74" s="146" t="s">
        <v>25</v>
      </c>
      <c r="K74" s="146" t="s">
        <v>25</v>
      </c>
      <c r="L74" s="146" t="s">
        <v>22</v>
      </c>
      <c r="M74" s="146" t="s">
        <v>22</v>
      </c>
      <c r="N74" s="146" t="s">
        <v>173</v>
      </c>
      <c r="O74" s="146">
        <v>5.0</v>
      </c>
      <c r="P74" s="146" t="s">
        <v>25</v>
      </c>
      <c r="Q74" s="146">
        <v>100.0</v>
      </c>
      <c r="R74" s="146" t="s">
        <v>25</v>
      </c>
      <c r="S74" s="146" t="s">
        <v>25</v>
      </c>
      <c r="T74" s="146" t="s">
        <v>25</v>
      </c>
      <c r="U74" s="146" t="s">
        <v>22</v>
      </c>
      <c r="V74" s="146" t="s">
        <v>22</v>
      </c>
      <c r="W74" s="146" t="s">
        <v>25</v>
      </c>
      <c r="X74" s="146" t="s">
        <v>22</v>
      </c>
      <c r="Y74" s="146" t="s">
        <v>22</v>
      </c>
      <c r="Z74" s="146" t="s">
        <v>25</v>
      </c>
      <c r="AA74" s="146" t="s">
        <v>22</v>
      </c>
      <c r="AB74" s="153">
        <v>42083.0</v>
      </c>
      <c r="AC74" s="146" t="s">
        <v>25</v>
      </c>
      <c r="AD74" s="151" t="s">
        <v>360</v>
      </c>
      <c r="AE74" s="151" t="s">
        <v>22</v>
      </c>
      <c r="AF74" s="151" t="s">
        <v>25</v>
      </c>
      <c r="AG74" s="151" t="s">
        <v>25</v>
      </c>
      <c r="AH74" s="151" t="s">
        <v>25</v>
      </c>
      <c r="AI74" s="151">
        <v>0.0</v>
      </c>
      <c r="AJ74" s="146">
        <v>409.0</v>
      </c>
      <c r="AK74" s="155" t="s">
        <v>361</v>
      </c>
      <c r="AL74" s="151" t="s">
        <v>22</v>
      </c>
      <c r="AM74" s="151" t="s">
        <v>22</v>
      </c>
      <c r="AN74" s="151" t="s">
        <v>155</v>
      </c>
      <c r="AO74" s="151" t="s">
        <v>80</v>
      </c>
      <c r="AP74" s="151" t="s">
        <v>80</v>
      </c>
      <c r="AQ74" s="157"/>
      <c r="AR74" s="151" t="s">
        <v>158</v>
      </c>
      <c r="AS74" s="159">
        <v>46184.0</v>
      </c>
      <c r="AT74" s="160">
        <f>Calculo!AQ74</f>
        <v>30</v>
      </c>
      <c r="AU74" s="161" t="str">
        <f>Calculo!AV74</f>
        <v>SEM-RISCO</v>
      </c>
      <c r="AV74" s="162" t="str">
        <f>Calculo!AW74</f>
        <v>LIBERADO</v>
      </c>
      <c r="AW74" s="161" t="str">
        <f>Calculo!AX74</f>
        <v>N/A</v>
      </c>
      <c r="AX74" s="161" t="str">
        <f>Calculo!K74</f>
        <v>SOLIC CONTRATO DE ENTREGA</v>
      </c>
      <c r="AY74" s="161" t="str">
        <f>Calculo!AY74</f>
        <v>N/A</v>
      </c>
      <c r="AZ74" s="161" t="str">
        <f>Calculo!AZ74</f>
        <v>N/A</v>
      </c>
      <c r="BA74" s="163"/>
    </row>
    <row r="75" ht="12.0" customHeight="1">
      <c r="A75" s="88" t="str">
        <f>'Parâmetros'!$A$19</f>
        <v>Rel. Básico PJ</v>
      </c>
      <c r="B75" s="146">
        <v>241.0</v>
      </c>
      <c r="C75" s="146">
        <v>25472.0</v>
      </c>
      <c r="D75" s="146" t="s">
        <v>142</v>
      </c>
      <c r="E75" s="149" t="s">
        <v>362</v>
      </c>
      <c r="F75" s="151">
        <v>7691.0</v>
      </c>
      <c r="G75" s="151" t="s">
        <v>147</v>
      </c>
      <c r="H75" s="146" t="s">
        <v>22</v>
      </c>
      <c r="I75" s="146" t="s">
        <v>25</v>
      </c>
      <c r="J75" s="146" t="s">
        <v>25</v>
      </c>
      <c r="K75" s="146" t="s">
        <v>25</v>
      </c>
      <c r="L75" s="146" t="s">
        <v>22</v>
      </c>
      <c r="M75" s="146" t="s">
        <v>22</v>
      </c>
      <c r="N75" s="146" t="s">
        <v>173</v>
      </c>
      <c r="O75" s="146">
        <v>5.0</v>
      </c>
      <c r="P75" s="146" t="s">
        <v>22</v>
      </c>
      <c r="Q75" s="146">
        <v>100.0</v>
      </c>
      <c r="R75" s="146" t="s">
        <v>25</v>
      </c>
      <c r="S75" s="146" t="s">
        <v>25</v>
      </c>
      <c r="T75" s="146" t="s">
        <v>25</v>
      </c>
      <c r="U75" s="146" t="s">
        <v>22</v>
      </c>
      <c r="V75" s="146" t="s">
        <v>22</v>
      </c>
      <c r="W75" s="146" t="s">
        <v>25</v>
      </c>
      <c r="X75" s="146" t="s">
        <v>22</v>
      </c>
      <c r="Y75" s="146" t="s">
        <v>22</v>
      </c>
      <c r="Z75" s="146" t="s">
        <v>25</v>
      </c>
      <c r="AA75" s="146" t="s">
        <v>22</v>
      </c>
      <c r="AB75" s="153">
        <v>25366.0</v>
      </c>
      <c r="AC75" s="146" t="s">
        <v>22</v>
      </c>
      <c r="AD75" s="151" t="s">
        <v>363</v>
      </c>
      <c r="AE75" s="151" t="s">
        <v>22</v>
      </c>
      <c r="AF75" s="151" t="s">
        <v>25</v>
      </c>
      <c r="AG75" s="151" t="s">
        <v>25</v>
      </c>
      <c r="AH75" s="151" t="s">
        <v>22</v>
      </c>
      <c r="AI75" s="151">
        <v>1985.8</v>
      </c>
      <c r="AJ75" s="146">
        <v>344.0</v>
      </c>
      <c r="AK75" s="155" t="s">
        <v>364</v>
      </c>
      <c r="AL75" s="151" t="s">
        <v>22</v>
      </c>
      <c r="AM75" s="151" t="s">
        <v>22</v>
      </c>
      <c r="AN75" s="151" t="s">
        <v>155</v>
      </c>
      <c r="AO75" s="151" t="s">
        <v>80</v>
      </c>
      <c r="AP75" s="151" t="s">
        <v>80</v>
      </c>
      <c r="AQ75" s="164"/>
      <c r="AR75" s="151" t="s">
        <v>158</v>
      </c>
      <c r="AS75" s="159">
        <v>46185.0</v>
      </c>
      <c r="AT75" s="160">
        <f>Calculo!AQ75</f>
        <v>28</v>
      </c>
      <c r="AU75" s="161" t="str">
        <f>Calculo!AV75</f>
        <v>SEM-RISCO</v>
      </c>
      <c r="AV75" s="162" t="str">
        <f>Calculo!AW75</f>
        <v>LIBERADO</v>
      </c>
      <c r="AW75" s="161" t="str">
        <f>Calculo!AX75</f>
        <v>SOLICITAR PED COMPRA</v>
      </c>
      <c r="AX75" s="161" t="str">
        <f>Calculo!K75</f>
        <v>SOLIC CONTRATO DE ENTREGA</v>
      </c>
      <c r="AY75" s="161" t="str">
        <f>Calculo!AY75</f>
        <v>N/A</v>
      </c>
      <c r="AZ75" s="161" t="str">
        <f>Calculo!AZ75</f>
        <v>N/A</v>
      </c>
      <c r="BA75" s="163"/>
    </row>
    <row r="76" ht="12.0" customHeight="1">
      <c r="A76" s="88" t="str">
        <f>'Parâmetros'!$A$19</f>
        <v>Rel. Básico PJ</v>
      </c>
      <c r="B76" s="146">
        <v>577.0</v>
      </c>
      <c r="C76" s="146">
        <v>25589.0</v>
      </c>
      <c r="D76" s="146" t="s">
        <v>176</v>
      </c>
      <c r="E76" s="149" t="s">
        <v>303</v>
      </c>
      <c r="F76" s="151">
        <v>1040.0</v>
      </c>
      <c r="G76" s="151" t="s">
        <v>147</v>
      </c>
      <c r="H76" s="146" t="s">
        <v>22</v>
      </c>
      <c r="I76" s="146" t="s">
        <v>25</v>
      </c>
      <c r="J76" s="146" t="s">
        <v>25</v>
      </c>
      <c r="K76" s="146" t="s">
        <v>25</v>
      </c>
      <c r="L76" s="146" t="s">
        <v>25</v>
      </c>
      <c r="M76" s="146" t="s">
        <v>22</v>
      </c>
      <c r="N76" s="146" t="s">
        <v>173</v>
      </c>
      <c r="O76" s="146">
        <v>5.0</v>
      </c>
      <c r="P76" s="146" t="s">
        <v>22</v>
      </c>
      <c r="Q76" s="146">
        <v>100.0</v>
      </c>
      <c r="R76" s="146" t="s">
        <v>22</v>
      </c>
      <c r="S76" s="146" t="s">
        <v>22</v>
      </c>
      <c r="T76" s="146" t="s">
        <v>25</v>
      </c>
      <c r="U76" s="146" t="s">
        <v>22</v>
      </c>
      <c r="V76" s="146" t="s">
        <v>22</v>
      </c>
      <c r="W76" s="146" t="s">
        <v>25</v>
      </c>
      <c r="X76" s="146" t="s">
        <v>22</v>
      </c>
      <c r="Y76" s="146" t="s">
        <v>22</v>
      </c>
      <c r="Z76" s="146" t="s">
        <v>25</v>
      </c>
      <c r="AA76" s="146" t="s">
        <v>22</v>
      </c>
      <c r="AB76" s="153">
        <v>37771.0</v>
      </c>
      <c r="AC76" s="146" t="s">
        <v>25</v>
      </c>
      <c r="AD76" s="151" t="s">
        <v>304</v>
      </c>
      <c r="AE76" s="151" t="s">
        <v>22</v>
      </c>
      <c r="AF76" s="151" t="s">
        <v>25</v>
      </c>
      <c r="AG76" s="151" t="s">
        <v>25</v>
      </c>
      <c r="AH76" s="151" t="s">
        <v>25</v>
      </c>
      <c r="AI76" s="151">
        <v>0.0</v>
      </c>
      <c r="AJ76" s="146">
        <v>822.0</v>
      </c>
      <c r="AK76" s="155" t="s">
        <v>305</v>
      </c>
      <c r="AL76" s="151" t="s">
        <v>22</v>
      </c>
      <c r="AM76" s="151" t="s">
        <v>22</v>
      </c>
      <c r="AN76" s="151" t="s">
        <v>155</v>
      </c>
      <c r="AO76" s="151" t="s">
        <v>80</v>
      </c>
      <c r="AP76" s="151" t="s">
        <v>80</v>
      </c>
      <c r="AQ76" s="157"/>
      <c r="AR76" s="151" t="s">
        <v>158</v>
      </c>
      <c r="AS76" s="159">
        <v>46188.0</v>
      </c>
      <c r="AT76" s="160">
        <f>Calculo!AQ76</f>
        <v>54</v>
      </c>
      <c r="AU76" s="161" t="str">
        <f>Calculo!AV76</f>
        <v>SEM-RISCO</v>
      </c>
      <c r="AV76" s="162" t="str">
        <f>Calculo!AW76</f>
        <v>LIBERADO</v>
      </c>
      <c r="AW76" s="161" t="str">
        <f>Calculo!AX76</f>
        <v>N/A</v>
      </c>
      <c r="AX76" s="161" t="str">
        <f>Calculo!K76</f>
        <v>N/A</v>
      </c>
      <c r="AY76" s="161" t="str">
        <f>Calculo!AY76</f>
        <v>N/A</v>
      </c>
      <c r="AZ76" s="161" t="str">
        <f>Calculo!AZ76</f>
        <v>N/A</v>
      </c>
      <c r="BA76" s="163"/>
    </row>
    <row r="77" ht="12.0" customHeight="1">
      <c r="A77" s="88" t="str">
        <f>'Parâmetros'!$A$19</f>
        <v>Rel. Básico PJ</v>
      </c>
      <c r="B77" s="146">
        <v>242.0</v>
      </c>
      <c r="C77" s="146">
        <v>25617.0</v>
      </c>
      <c r="D77" s="146" t="s">
        <v>142</v>
      </c>
      <c r="E77" s="149" t="s">
        <v>365</v>
      </c>
      <c r="F77" s="151">
        <v>3045.0</v>
      </c>
      <c r="G77" s="151" t="s">
        <v>147</v>
      </c>
      <c r="H77" s="146" t="s">
        <v>22</v>
      </c>
      <c r="I77" s="146" t="s">
        <v>25</v>
      </c>
      <c r="J77" s="146" t="s">
        <v>25</v>
      </c>
      <c r="K77" s="146" t="s">
        <v>25</v>
      </c>
      <c r="L77" s="146" t="s">
        <v>25</v>
      </c>
      <c r="M77" s="146" t="s">
        <v>25</v>
      </c>
      <c r="N77" s="146" t="s">
        <v>173</v>
      </c>
      <c r="O77" s="146">
        <v>0.0</v>
      </c>
      <c r="P77" s="146" t="s">
        <v>22</v>
      </c>
      <c r="Q77" s="146">
        <v>100.0</v>
      </c>
      <c r="R77" s="146" t="s">
        <v>25</v>
      </c>
      <c r="S77" s="146" t="s">
        <v>22</v>
      </c>
      <c r="T77" s="146" t="s">
        <v>25</v>
      </c>
      <c r="U77" s="146" t="s">
        <v>22</v>
      </c>
      <c r="V77" s="146" t="s">
        <v>22</v>
      </c>
      <c r="W77" s="146" t="s">
        <v>25</v>
      </c>
      <c r="X77" s="146" t="s">
        <v>22</v>
      </c>
      <c r="Y77" s="146" t="s">
        <v>22</v>
      </c>
      <c r="Z77" s="146" t="s">
        <v>25</v>
      </c>
      <c r="AA77" s="146" t="s">
        <v>22</v>
      </c>
      <c r="AB77" s="153">
        <v>34612.0</v>
      </c>
      <c r="AC77" s="146" t="s">
        <v>22</v>
      </c>
      <c r="AD77" s="151" t="s">
        <v>366</v>
      </c>
      <c r="AE77" s="151" t="s">
        <v>22</v>
      </c>
      <c r="AF77" s="151" t="s">
        <v>22</v>
      </c>
      <c r="AG77" s="151" t="s">
        <v>25</v>
      </c>
      <c r="AH77" s="151" t="s">
        <v>22</v>
      </c>
      <c r="AI77" s="151">
        <v>961326.61</v>
      </c>
      <c r="AJ77" s="146">
        <v>603.0</v>
      </c>
      <c r="AK77" s="155" t="s">
        <v>367</v>
      </c>
      <c r="AL77" s="151" t="s">
        <v>22</v>
      </c>
      <c r="AM77" s="151" t="s">
        <v>22</v>
      </c>
      <c r="AN77" s="151" t="s">
        <v>155</v>
      </c>
      <c r="AO77" s="151" t="s">
        <v>80</v>
      </c>
      <c r="AP77" s="151" t="s">
        <v>80</v>
      </c>
      <c r="AQ77" s="164"/>
      <c r="AR77" s="151" t="s">
        <v>158</v>
      </c>
      <c r="AS77" s="159">
        <v>46188.0</v>
      </c>
      <c r="AT77" s="160">
        <f>Calculo!AQ77</f>
        <v>21</v>
      </c>
      <c r="AU77" s="161" t="str">
        <f>Calculo!AV77</f>
        <v>SEM-RISCO</v>
      </c>
      <c r="AV77" s="162" t="str">
        <f>Calculo!AW77</f>
        <v>LIBERADO</v>
      </c>
      <c r="AW77" s="161" t="str">
        <f>Calculo!AX77</f>
        <v>N/A</v>
      </c>
      <c r="AX77" s="161" t="str">
        <f>Calculo!K77</f>
        <v>N/A</v>
      </c>
      <c r="AY77" s="161" t="str">
        <f>Calculo!AY77</f>
        <v>CHECAGEM REVERSA</v>
      </c>
      <c r="AZ77" s="161" t="str">
        <f>Calculo!AZ77</f>
        <v>N/A</v>
      </c>
      <c r="BA77" s="163"/>
    </row>
    <row r="78" ht="12.0" customHeight="1">
      <c r="A78" s="88" t="str">
        <f>'Parâmetros'!$A$19</f>
        <v>Rel. Básico PJ</v>
      </c>
      <c r="B78" s="146">
        <v>579.0</v>
      </c>
      <c r="C78" s="146">
        <v>24736.0</v>
      </c>
      <c r="D78" s="146" t="s">
        <v>176</v>
      </c>
      <c r="E78" s="149" t="s">
        <v>368</v>
      </c>
      <c r="F78" s="151">
        <v>4239.0</v>
      </c>
      <c r="G78" s="151" t="s">
        <v>147</v>
      </c>
      <c r="H78" s="146" t="s">
        <v>22</v>
      </c>
      <c r="I78" s="146" t="s">
        <v>25</v>
      </c>
      <c r="J78" s="146" t="s">
        <v>25</v>
      </c>
      <c r="K78" s="146" t="s">
        <v>25</v>
      </c>
      <c r="L78" s="146" t="s">
        <v>22</v>
      </c>
      <c r="M78" s="146" t="s">
        <v>22</v>
      </c>
      <c r="N78" s="146" t="s">
        <v>173</v>
      </c>
      <c r="O78" s="146">
        <v>5.0</v>
      </c>
      <c r="P78" s="146" t="s">
        <v>22</v>
      </c>
      <c r="Q78" s="146">
        <v>100.0</v>
      </c>
      <c r="R78" s="146" t="s">
        <v>25</v>
      </c>
      <c r="S78" s="146" t="s">
        <v>25</v>
      </c>
      <c r="T78" s="146" t="s">
        <v>25</v>
      </c>
      <c r="U78" s="146" t="s">
        <v>22</v>
      </c>
      <c r="V78" s="146" t="s">
        <v>22</v>
      </c>
      <c r="W78" s="146" t="s">
        <v>25</v>
      </c>
      <c r="X78" s="146" t="s">
        <v>22</v>
      </c>
      <c r="Y78" s="146" t="s">
        <v>22</v>
      </c>
      <c r="Z78" s="146" t="s">
        <v>25</v>
      </c>
      <c r="AA78" s="146" t="s">
        <v>22</v>
      </c>
      <c r="AB78" s="153">
        <v>22666.0</v>
      </c>
      <c r="AC78" s="146" t="s">
        <v>25</v>
      </c>
      <c r="AD78" s="151" t="s">
        <v>369</v>
      </c>
      <c r="AE78" s="151" t="s">
        <v>22</v>
      </c>
      <c r="AF78" s="151" t="s">
        <v>22</v>
      </c>
      <c r="AG78" s="151" t="s">
        <v>25</v>
      </c>
      <c r="AH78" s="151" t="s">
        <v>25</v>
      </c>
      <c r="AI78" s="151">
        <v>1110.0</v>
      </c>
      <c r="AJ78" s="146">
        <v>512.0</v>
      </c>
      <c r="AK78" s="155" t="s">
        <v>370</v>
      </c>
      <c r="AL78" s="151" t="s">
        <v>22</v>
      </c>
      <c r="AM78" s="151" t="s">
        <v>22</v>
      </c>
      <c r="AN78" s="151" t="s">
        <v>155</v>
      </c>
      <c r="AO78" s="151" t="s">
        <v>80</v>
      </c>
      <c r="AP78" s="151" t="s">
        <v>80</v>
      </c>
      <c r="AQ78" s="164"/>
      <c r="AR78" s="151" t="s">
        <v>158</v>
      </c>
      <c r="AS78" s="159">
        <v>46189.0</v>
      </c>
      <c r="AT78" s="160">
        <f>Calculo!AQ78</f>
        <v>40</v>
      </c>
      <c r="AU78" s="161" t="str">
        <f>Calculo!AV78</f>
        <v>SEM-RISCO</v>
      </c>
      <c r="AV78" s="162" t="str">
        <f>Calculo!AW78</f>
        <v>LIBERADO</v>
      </c>
      <c r="AW78" s="161" t="str">
        <f>Calculo!AX78</f>
        <v>N/A</v>
      </c>
      <c r="AX78" s="161" t="str">
        <f>Calculo!K78</f>
        <v>SOLIC CONTRATO DE ENTREGA</v>
      </c>
      <c r="AY78" s="161" t="str">
        <f>Calculo!AY78</f>
        <v>N/A</v>
      </c>
      <c r="AZ78" s="161" t="str">
        <f>Calculo!AZ78</f>
        <v>N/A</v>
      </c>
      <c r="BA78" s="163"/>
    </row>
    <row r="79" ht="12.0" customHeight="1">
      <c r="A79" s="88" t="str">
        <f>'Parâmetros'!$A$19</f>
        <v>Rel. Básico PJ</v>
      </c>
      <c r="B79" s="146">
        <v>580.0</v>
      </c>
      <c r="C79" s="146">
        <v>25581.0</v>
      </c>
      <c r="D79" s="146" t="s">
        <v>176</v>
      </c>
      <c r="E79" s="149" t="s">
        <v>371</v>
      </c>
      <c r="F79" s="151">
        <v>1070.0</v>
      </c>
      <c r="G79" s="151" t="s">
        <v>147</v>
      </c>
      <c r="H79" s="146" t="s">
        <v>22</v>
      </c>
      <c r="I79" s="146" t="s">
        <v>25</v>
      </c>
      <c r="J79" s="146" t="s">
        <v>25</v>
      </c>
      <c r="K79" s="146" t="s">
        <v>25</v>
      </c>
      <c r="L79" s="146" t="s">
        <v>25</v>
      </c>
      <c r="M79" s="146" t="s">
        <v>22</v>
      </c>
      <c r="N79" s="146" t="s">
        <v>222</v>
      </c>
      <c r="O79" s="146" t="s">
        <v>140</v>
      </c>
      <c r="P79" s="146" t="s">
        <v>25</v>
      </c>
      <c r="Q79" s="146">
        <v>100.0</v>
      </c>
      <c r="R79" s="146" t="s">
        <v>25</v>
      </c>
      <c r="S79" s="146" t="s">
        <v>22</v>
      </c>
      <c r="T79" s="146" t="s">
        <v>22</v>
      </c>
      <c r="U79" s="146" t="s">
        <v>22</v>
      </c>
      <c r="V79" s="146" t="s">
        <v>22</v>
      </c>
      <c r="W79" s="146" t="s">
        <v>22</v>
      </c>
      <c r="X79" s="146" t="s">
        <v>22</v>
      </c>
      <c r="Y79" s="146" t="s">
        <v>22</v>
      </c>
      <c r="Z79" s="146" t="s">
        <v>25</v>
      </c>
      <c r="AA79" s="146" t="s">
        <v>22</v>
      </c>
      <c r="AB79" s="153">
        <v>31876.0</v>
      </c>
      <c r="AC79" s="146" t="s">
        <v>22</v>
      </c>
      <c r="AD79" s="151" t="s">
        <v>372</v>
      </c>
      <c r="AE79" s="151" t="s">
        <v>22</v>
      </c>
      <c r="AF79" s="151" t="s">
        <v>25</v>
      </c>
      <c r="AG79" s="151" t="s">
        <v>25</v>
      </c>
      <c r="AH79" s="151" t="s">
        <v>25</v>
      </c>
      <c r="AI79" s="151">
        <v>0.0</v>
      </c>
      <c r="AJ79" s="146">
        <v>651.0</v>
      </c>
      <c r="AK79" s="155" t="s">
        <v>373</v>
      </c>
      <c r="AL79" s="151" t="s">
        <v>22</v>
      </c>
      <c r="AM79" s="151" t="s">
        <v>22</v>
      </c>
      <c r="AN79" s="151" t="s">
        <v>155</v>
      </c>
      <c r="AO79" s="151" t="s">
        <v>80</v>
      </c>
      <c r="AP79" s="151" t="s">
        <v>80</v>
      </c>
      <c r="AQ79" s="157"/>
      <c r="AR79" s="151" t="s">
        <v>158</v>
      </c>
      <c r="AS79" s="159">
        <v>46189.0</v>
      </c>
      <c r="AT79" s="160">
        <f>Calculo!AQ79</f>
        <v>77</v>
      </c>
      <c r="AU79" s="161" t="str">
        <f>Calculo!AV79</f>
        <v>SEM-RISCO</v>
      </c>
      <c r="AV79" s="162" t="str">
        <f>Calculo!AW79</f>
        <v>LIBERADO</v>
      </c>
      <c r="AW79" s="161" t="str">
        <f>Calculo!AX79</f>
        <v>N/A</v>
      </c>
      <c r="AX79" s="161" t="str">
        <f>Calculo!K79</f>
        <v>N/A</v>
      </c>
      <c r="AY79" s="161" t="str">
        <f>Calculo!AY79</f>
        <v>N/A</v>
      </c>
      <c r="AZ79" s="161" t="str">
        <f>Calculo!AZ79</f>
        <v>N/A</v>
      </c>
      <c r="BA79" s="163"/>
    </row>
    <row r="80" ht="12.0" customHeight="1">
      <c r="A80" s="88" t="str">
        <f>'Parâmetros'!$A$19</f>
        <v>Rel. Básico PJ</v>
      </c>
      <c r="B80" s="146">
        <v>588.0</v>
      </c>
      <c r="C80" s="146">
        <v>25666.0</v>
      </c>
      <c r="D80" s="146" t="s">
        <v>176</v>
      </c>
      <c r="E80" s="149" t="s">
        <v>374</v>
      </c>
      <c r="F80" s="151">
        <v>2899.0</v>
      </c>
      <c r="G80" s="151" t="s">
        <v>147</v>
      </c>
      <c r="H80" s="146" t="s">
        <v>22</v>
      </c>
      <c r="I80" s="146" t="s">
        <v>25</v>
      </c>
      <c r="J80" s="146" t="s">
        <v>25</v>
      </c>
      <c r="K80" s="146" t="s">
        <v>25</v>
      </c>
      <c r="L80" s="146" t="s">
        <v>22</v>
      </c>
      <c r="M80" s="146" t="s">
        <v>22</v>
      </c>
      <c r="N80" s="146" t="s">
        <v>173</v>
      </c>
      <c r="O80" s="146">
        <v>5.0</v>
      </c>
      <c r="P80" s="146" t="s">
        <v>22</v>
      </c>
      <c r="Q80" s="146">
        <v>100.0</v>
      </c>
      <c r="R80" s="146" t="s">
        <v>25</v>
      </c>
      <c r="S80" s="146" t="s">
        <v>25</v>
      </c>
      <c r="T80" s="146" t="s">
        <v>25</v>
      </c>
      <c r="U80" s="146" t="s">
        <v>22</v>
      </c>
      <c r="V80" s="146" t="s">
        <v>22</v>
      </c>
      <c r="W80" s="146" t="s">
        <v>25</v>
      </c>
      <c r="X80" s="146" t="s">
        <v>22</v>
      </c>
      <c r="Y80" s="146" t="s">
        <v>22</v>
      </c>
      <c r="Z80" s="146" t="s">
        <v>25</v>
      </c>
      <c r="AA80" s="146" t="s">
        <v>22</v>
      </c>
      <c r="AB80" s="153">
        <v>26967.0</v>
      </c>
      <c r="AC80" s="146" t="s">
        <v>25</v>
      </c>
      <c r="AD80" s="151" t="s">
        <v>375</v>
      </c>
      <c r="AE80" s="151" t="s">
        <v>22</v>
      </c>
      <c r="AF80" s="151" t="s">
        <v>22</v>
      </c>
      <c r="AG80" s="151" t="s">
        <v>25</v>
      </c>
      <c r="AH80" s="151" t="s">
        <v>22</v>
      </c>
      <c r="AI80" s="151">
        <v>73178.38</v>
      </c>
      <c r="AJ80" s="146">
        <v>590.0</v>
      </c>
      <c r="AK80" s="155" t="s">
        <v>376</v>
      </c>
      <c r="AL80" s="151" t="s">
        <v>22</v>
      </c>
      <c r="AM80" s="151" t="s">
        <v>22</v>
      </c>
      <c r="AN80" s="151" t="s">
        <v>155</v>
      </c>
      <c r="AO80" s="151" t="s">
        <v>80</v>
      </c>
      <c r="AP80" s="151" t="s">
        <v>80</v>
      </c>
      <c r="AQ80" s="164"/>
      <c r="AR80" s="151" t="s">
        <v>158</v>
      </c>
      <c r="AS80" s="159">
        <v>46190.0</v>
      </c>
      <c r="AT80" s="160">
        <f>Calculo!AQ80</f>
        <v>15</v>
      </c>
      <c r="AU80" s="161" t="str">
        <f>Calculo!AV80</f>
        <v>SEM-RISCO</v>
      </c>
      <c r="AV80" s="162" t="str">
        <f>Calculo!AW80</f>
        <v>LIBERADO</v>
      </c>
      <c r="AW80" s="161" t="str">
        <f>Calculo!AX80</f>
        <v>N/A</v>
      </c>
      <c r="AX80" s="161" t="str">
        <f>Calculo!K80</f>
        <v>SOLIC CONTRATO DE ENTREGA</v>
      </c>
      <c r="AY80" s="161" t="str">
        <f>Calculo!AY80</f>
        <v>N/A</v>
      </c>
      <c r="AZ80" s="161" t="str">
        <f>Calculo!AZ80</f>
        <v>N/A</v>
      </c>
      <c r="BA80" s="163"/>
    </row>
    <row r="81" ht="12.0" customHeight="1">
      <c r="A81" s="88" t="str">
        <f>'Parâmetros'!$A$19</f>
        <v>Rel. Básico PJ</v>
      </c>
      <c r="B81" s="146">
        <v>245.0</v>
      </c>
      <c r="C81" s="146">
        <v>24866.0</v>
      </c>
      <c r="D81" s="146" t="s">
        <v>142</v>
      </c>
      <c r="E81" s="149" t="s">
        <v>377</v>
      </c>
      <c r="F81" s="151">
        <v>4771.0</v>
      </c>
      <c r="G81" s="151" t="s">
        <v>147</v>
      </c>
      <c r="H81" s="146" t="s">
        <v>22</v>
      </c>
      <c r="I81" s="146" t="s">
        <v>25</v>
      </c>
      <c r="J81" s="146" t="s">
        <v>25</v>
      </c>
      <c r="K81" s="146" t="s">
        <v>25</v>
      </c>
      <c r="L81" s="146" t="s">
        <v>22</v>
      </c>
      <c r="M81" s="146" t="s">
        <v>22</v>
      </c>
      <c r="N81" s="146" t="s">
        <v>229</v>
      </c>
      <c r="O81" s="146" t="s">
        <v>140</v>
      </c>
      <c r="P81" s="146" t="s">
        <v>25</v>
      </c>
      <c r="Q81" s="146">
        <v>100.0</v>
      </c>
      <c r="R81" s="146" t="s">
        <v>25</v>
      </c>
      <c r="S81" s="146" t="s">
        <v>25</v>
      </c>
      <c r="T81" s="146" t="s">
        <v>25</v>
      </c>
      <c r="U81" s="146" t="s">
        <v>22</v>
      </c>
      <c r="V81" s="146" t="s">
        <v>22</v>
      </c>
      <c r="W81" s="146" t="s">
        <v>25</v>
      </c>
      <c r="X81" s="146" t="s">
        <v>22</v>
      </c>
      <c r="Y81" s="146" t="s">
        <v>22</v>
      </c>
      <c r="Z81" s="146" t="s">
        <v>25</v>
      </c>
      <c r="AA81" s="146" t="s">
        <v>22</v>
      </c>
      <c r="AB81" s="153">
        <v>45079.0</v>
      </c>
      <c r="AC81" s="146" t="s">
        <v>22</v>
      </c>
      <c r="AD81" s="151" t="s">
        <v>378</v>
      </c>
      <c r="AE81" s="151" t="s">
        <v>22</v>
      </c>
      <c r="AF81" s="151" t="s">
        <v>25</v>
      </c>
      <c r="AG81" s="151" t="s">
        <v>25</v>
      </c>
      <c r="AH81" s="151" t="s">
        <v>25</v>
      </c>
      <c r="AI81" s="151">
        <v>0.0</v>
      </c>
      <c r="AJ81" s="146">
        <v>511.0</v>
      </c>
      <c r="AK81" s="155" t="s">
        <v>379</v>
      </c>
      <c r="AL81" s="151" t="s">
        <v>22</v>
      </c>
      <c r="AM81" s="151" t="s">
        <v>22</v>
      </c>
      <c r="AN81" s="151" t="s">
        <v>155</v>
      </c>
      <c r="AO81" s="151" t="s">
        <v>80</v>
      </c>
      <c r="AP81" s="151" t="s">
        <v>80</v>
      </c>
      <c r="AQ81" s="157"/>
      <c r="AR81" s="151" t="s">
        <v>158</v>
      </c>
      <c r="AS81" s="159">
        <v>46190.0</v>
      </c>
      <c r="AT81" s="160">
        <f>Calculo!AQ81</f>
        <v>34</v>
      </c>
      <c r="AU81" s="161" t="str">
        <f>Calculo!AV81</f>
        <v>SEM-RISCO</v>
      </c>
      <c r="AV81" s="162" t="str">
        <f>Calculo!AW81</f>
        <v>LIBERADO</v>
      </c>
      <c r="AW81" s="161" t="str">
        <f>Calculo!AX81</f>
        <v>N/A</v>
      </c>
      <c r="AX81" s="161" t="str">
        <f>Calculo!K81</f>
        <v>SOLIC CONTRATO DE ENTREGA</v>
      </c>
      <c r="AY81" s="161" t="str">
        <f>Calculo!AY81</f>
        <v>N/A</v>
      </c>
      <c r="AZ81" s="161" t="str">
        <f>Calculo!AZ81</f>
        <v>N/A</v>
      </c>
      <c r="BA81" s="163"/>
    </row>
    <row r="82" ht="12.0" customHeight="1">
      <c r="A82" s="88" t="str">
        <f>'Parâmetros'!$A$19</f>
        <v>Rel. Básico PJ</v>
      </c>
      <c r="B82" s="146">
        <v>246.0</v>
      </c>
      <c r="C82" s="146">
        <v>25648.0</v>
      </c>
      <c r="D82" s="146" t="s">
        <v>142</v>
      </c>
      <c r="E82" s="149" t="s">
        <v>380</v>
      </c>
      <c r="F82" s="151">
        <v>4333.1</v>
      </c>
      <c r="G82" s="151" t="s">
        <v>147</v>
      </c>
      <c r="H82" s="146" t="s">
        <v>22</v>
      </c>
      <c r="I82" s="146" t="s">
        <v>22</v>
      </c>
      <c r="J82" s="146" t="s">
        <v>25</v>
      </c>
      <c r="K82" s="146" t="s">
        <v>25</v>
      </c>
      <c r="L82" s="146" t="s">
        <v>22</v>
      </c>
      <c r="M82" s="146" t="s">
        <v>22</v>
      </c>
      <c r="N82" s="146" t="s">
        <v>173</v>
      </c>
      <c r="O82" s="146">
        <v>5.0</v>
      </c>
      <c r="P82" s="146" t="s">
        <v>25</v>
      </c>
      <c r="Q82" s="146">
        <v>100.0</v>
      </c>
      <c r="R82" s="146" t="s">
        <v>25</v>
      </c>
      <c r="S82" s="146" t="s">
        <v>25</v>
      </c>
      <c r="T82" s="146" t="s">
        <v>25</v>
      </c>
      <c r="U82" s="146" t="s">
        <v>22</v>
      </c>
      <c r="V82" s="146" t="s">
        <v>22</v>
      </c>
      <c r="W82" s="146" t="s">
        <v>25</v>
      </c>
      <c r="X82" s="146" t="s">
        <v>22</v>
      </c>
      <c r="Y82" s="146" t="s">
        <v>22</v>
      </c>
      <c r="Z82" s="146" t="s">
        <v>25</v>
      </c>
      <c r="AA82" s="146" t="s">
        <v>22</v>
      </c>
      <c r="AB82" s="168">
        <v>33480.0</v>
      </c>
      <c r="AC82" s="146" t="s">
        <v>25</v>
      </c>
      <c r="AD82" s="151" t="s">
        <v>381</v>
      </c>
      <c r="AE82" s="151" t="s">
        <v>22</v>
      </c>
      <c r="AF82" s="151" t="s">
        <v>25</v>
      </c>
      <c r="AG82" s="151" t="s">
        <v>25</v>
      </c>
      <c r="AH82" s="151" t="s">
        <v>25</v>
      </c>
      <c r="AI82" s="151">
        <v>0.0</v>
      </c>
      <c r="AJ82" s="146">
        <v>599.0</v>
      </c>
      <c r="AK82" s="155" t="s">
        <v>382</v>
      </c>
      <c r="AL82" s="151" t="s">
        <v>22</v>
      </c>
      <c r="AM82" s="151" t="s">
        <v>22</v>
      </c>
      <c r="AN82" s="151" t="s">
        <v>155</v>
      </c>
      <c r="AO82" s="151" t="s">
        <v>80</v>
      </c>
      <c r="AP82" s="151" t="s">
        <v>80</v>
      </c>
      <c r="AQ82" s="164"/>
      <c r="AR82" s="151" t="s">
        <v>158</v>
      </c>
      <c r="AS82" s="159">
        <v>46191.0</v>
      </c>
      <c r="AT82" s="160">
        <f>Calculo!AQ82</f>
        <v>62</v>
      </c>
      <c r="AU82" s="161" t="str">
        <f>Calculo!AV82</f>
        <v>SEM-RISCO</v>
      </c>
      <c r="AV82" s="162" t="str">
        <f>Calculo!AW82</f>
        <v>LIBERADO</v>
      </c>
      <c r="AW82" s="161" t="str">
        <f>Calculo!AX82</f>
        <v>N/A</v>
      </c>
      <c r="AX82" s="161" t="str">
        <f>Calculo!K82</f>
        <v>SOLIC CONTRATO DE ENTREGA</v>
      </c>
      <c r="AY82" s="161" t="str">
        <f>Calculo!AY82</f>
        <v>N/A</v>
      </c>
      <c r="AZ82" s="161" t="str">
        <f>Calculo!AZ82</f>
        <v>N/A</v>
      </c>
      <c r="BA82" s="163"/>
    </row>
    <row r="83" ht="12.0" customHeight="1">
      <c r="A83" s="88" t="str">
        <f>'Parâmetros'!$A$19</f>
        <v>Rel. Básico PJ</v>
      </c>
      <c r="B83" s="146">
        <v>594.0</v>
      </c>
      <c r="C83" s="146">
        <v>25602.0</v>
      </c>
      <c r="D83" s="146" t="s">
        <v>142</v>
      </c>
      <c r="E83" s="149" t="s">
        <v>383</v>
      </c>
      <c r="F83" s="151">
        <v>6366.0</v>
      </c>
      <c r="G83" s="151" t="s">
        <v>147</v>
      </c>
      <c r="H83" s="146" t="s">
        <v>22</v>
      </c>
      <c r="I83" s="146" t="s">
        <v>25</v>
      </c>
      <c r="J83" s="146" t="s">
        <v>25</v>
      </c>
      <c r="K83" s="146" t="s">
        <v>25</v>
      </c>
      <c r="L83" s="146" t="s">
        <v>22</v>
      </c>
      <c r="M83" s="146" t="s">
        <v>22</v>
      </c>
      <c r="N83" s="146" t="s">
        <v>173</v>
      </c>
      <c r="O83" s="146">
        <v>5.0</v>
      </c>
      <c r="P83" s="146" t="s">
        <v>25</v>
      </c>
      <c r="Q83" s="146">
        <v>100.0</v>
      </c>
      <c r="R83" s="146" t="s">
        <v>22</v>
      </c>
      <c r="S83" s="146" t="s">
        <v>22</v>
      </c>
      <c r="T83" s="146" t="s">
        <v>25</v>
      </c>
      <c r="U83" s="146" t="s">
        <v>22</v>
      </c>
      <c r="V83" s="146" t="s">
        <v>22</v>
      </c>
      <c r="W83" s="146" t="s">
        <v>25</v>
      </c>
      <c r="X83" s="146" t="s">
        <v>22</v>
      </c>
      <c r="Y83" s="146" t="s">
        <v>22</v>
      </c>
      <c r="Z83" s="146" t="s">
        <v>25</v>
      </c>
      <c r="AA83" s="146" t="s">
        <v>22</v>
      </c>
      <c r="AB83" s="153">
        <v>24379.0</v>
      </c>
      <c r="AC83" s="146" t="s">
        <v>22</v>
      </c>
      <c r="AD83" s="151" t="s">
        <v>307</v>
      </c>
      <c r="AE83" s="151" t="s">
        <v>22</v>
      </c>
      <c r="AF83" s="151" t="s">
        <v>22</v>
      </c>
      <c r="AG83" s="151" t="s">
        <v>25</v>
      </c>
      <c r="AH83" s="151" t="s">
        <v>22</v>
      </c>
      <c r="AI83" s="151">
        <v>36737.04</v>
      </c>
      <c r="AJ83" s="146">
        <v>731.0</v>
      </c>
      <c r="AK83" s="155" t="s">
        <v>308</v>
      </c>
      <c r="AL83" s="151" t="s">
        <v>22</v>
      </c>
      <c r="AM83" s="151" t="s">
        <v>22</v>
      </c>
      <c r="AN83" s="151" t="s">
        <v>155</v>
      </c>
      <c r="AO83" s="151" t="s">
        <v>80</v>
      </c>
      <c r="AP83" s="151" t="s">
        <v>80</v>
      </c>
      <c r="AQ83" s="164"/>
      <c r="AR83" s="151" t="s">
        <v>158</v>
      </c>
      <c r="AS83" s="159">
        <v>46191.0</v>
      </c>
      <c r="AT83" s="160">
        <f>Calculo!AQ83</f>
        <v>32</v>
      </c>
      <c r="AU83" s="161" t="str">
        <f>Calculo!AV83</f>
        <v>SEM-RISCO</v>
      </c>
      <c r="AV83" s="162" t="str">
        <f>Calculo!AW83</f>
        <v>LIBERADO</v>
      </c>
      <c r="AW83" s="161" t="str">
        <f>Calculo!AX83</f>
        <v>SOLICITAR PED COMPRA</v>
      </c>
      <c r="AX83" s="161" t="str">
        <f>Calculo!K83</f>
        <v>SOLIC CONTRATO DE ENTREGA</v>
      </c>
      <c r="AY83" s="161" t="str">
        <f>Calculo!AY83</f>
        <v>N/A</v>
      </c>
      <c r="AZ83" s="161" t="str">
        <f>Calculo!AZ83</f>
        <v>N/A</v>
      </c>
      <c r="BA83" s="163"/>
    </row>
    <row r="84" ht="12.0" customHeight="1">
      <c r="A84" s="88" t="str">
        <f>'Parâmetros'!$A$19</f>
        <v>Rel. Básico PJ</v>
      </c>
      <c r="B84" s="146">
        <v>248.0</v>
      </c>
      <c r="C84" s="146">
        <v>24325.0</v>
      </c>
      <c r="D84" s="146" t="s">
        <v>142</v>
      </c>
      <c r="E84" s="149" t="s">
        <v>384</v>
      </c>
      <c r="F84" s="151">
        <v>7868.0</v>
      </c>
      <c r="G84" s="151" t="s">
        <v>147</v>
      </c>
      <c r="H84" s="146" t="s">
        <v>22</v>
      </c>
      <c r="I84" s="146" t="s">
        <v>25</v>
      </c>
      <c r="J84" s="146" t="s">
        <v>25</v>
      </c>
      <c r="K84" s="146" t="s">
        <v>25</v>
      </c>
      <c r="L84" s="146" t="s">
        <v>22</v>
      </c>
      <c r="M84" s="146" t="s">
        <v>22</v>
      </c>
      <c r="N84" s="146" t="s">
        <v>208</v>
      </c>
      <c r="O84" s="146" t="s">
        <v>140</v>
      </c>
      <c r="P84" s="146" t="s">
        <v>22</v>
      </c>
      <c r="Q84" s="146">
        <v>100.0</v>
      </c>
      <c r="R84" s="146" t="s">
        <v>25</v>
      </c>
      <c r="S84" s="146" t="s">
        <v>25</v>
      </c>
      <c r="T84" s="146" t="s">
        <v>25</v>
      </c>
      <c r="U84" s="146" t="s">
        <v>22</v>
      </c>
      <c r="V84" s="146" t="s">
        <v>22</v>
      </c>
      <c r="W84" s="146" t="s">
        <v>25</v>
      </c>
      <c r="X84" s="146" t="s">
        <v>22</v>
      </c>
      <c r="Y84" s="146" t="s">
        <v>22</v>
      </c>
      <c r="Z84" s="146" t="s">
        <v>25</v>
      </c>
      <c r="AA84" s="146" t="s">
        <v>22</v>
      </c>
      <c r="AB84" s="153">
        <v>45960.0</v>
      </c>
      <c r="AC84" s="146" t="s">
        <v>22</v>
      </c>
      <c r="AD84" s="151"/>
      <c r="AE84" s="151" t="s">
        <v>22</v>
      </c>
      <c r="AF84" s="151" t="s">
        <v>22</v>
      </c>
      <c r="AG84" s="151" t="s">
        <v>25</v>
      </c>
      <c r="AH84" s="151" t="s">
        <v>22</v>
      </c>
      <c r="AI84" s="151">
        <v>39684.93</v>
      </c>
      <c r="AJ84" s="146">
        <v>613.0</v>
      </c>
      <c r="AK84" s="155" t="s">
        <v>385</v>
      </c>
      <c r="AL84" s="151" t="s">
        <v>22</v>
      </c>
      <c r="AM84" s="151" t="s">
        <v>22</v>
      </c>
      <c r="AN84" s="151" t="s">
        <v>155</v>
      </c>
      <c r="AO84" s="151" t="s">
        <v>80</v>
      </c>
      <c r="AP84" s="151" t="s">
        <v>80</v>
      </c>
      <c r="AQ84" s="157"/>
      <c r="AR84" s="151" t="s">
        <v>190</v>
      </c>
      <c r="AS84" s="159">
        <v>46192.0</v>
      </c>
      <c r="AT84" s="160">
        <f>Calculo!AQ84</f>
        <v>-14</v>
      </c>
      <c r="AU84" s="161" t="str">
        <f>Calculo!AV84</f>
        <v>GOLPE</v>
      </c>
      <c r="AV84" s="162" t="str">
        <f>Calculo!AW84</f>
        <v>ENTRADA OU A VISTA</v>
      </c>
      <c r="AW84" s="161" t="str">
        <f>Calculo!AX84</f>
        <v>SOLICITAR PED COMPRA</v>
      </c>
      <c r="AX84" s="161" t="str">
        <f>Calculo!K84</f>
        <v>SOLIC CONTRATO DE ENTREGA</v>
      </c>
      <c r="AY84" s="161" t="str">
        <f>Calculo!AY84</f>
        <v>N/A</v>
      </c>
      <c r="AZ84" s="161" t="str">
        <f>Calculo!AZ84</f>
        <v>N/A</v>
      </c>
      <c r="BA84" s="163"/>
    </row>
    <row r="85" ht="12.0" customHeight="1">
      <c r="A85" s="88" t="str">
        <f>'Parâmetros'!$A$19</f>
        <v>Rel. Básico PJ</v>
      </c>
      <c r="B85" s="146">
        <v>595.0</v>
      </c>
      <c r="C85" s="146">
        <v>25678.0</v>
      </c>
      <c r="D85" s="146" t="s">
        <v>176</v>
      </c>
      <c r="E85" s="149" t="s">
        <v>386</v>
      </c>
      <c r="F85" s="151">
        <v>1098.0</v>
      </c>
      <c r="G85" s="151" t="s">
        <v>147</v>
      </c>
      <c r="H85" s="146" t="s">
        <v>22</v>
      </c>
      <c r="I85" s="146" t="s">
        <v>25</v>
      </c>
      <c r="J85" s="146" t="s">
        <v>25</v>
      </c>
      <c r="K85" s="146" t="s">
        <v>25</v>
      </c>
      <c r="L85" s="146" t="s">
        <v>25</v>
      </c>
      <c r="M85" s="146" t="s">
        <v>25</v>
      </c>
      <c r="N85" s="146" t="s">
        <v>173</v>
      </c>
      <c r="O85" s="146">
        <v>0.0</v>
      </c>
      <c r="P85" s="146" t="s">
        <v>25</v>
      </c>
      <c r="Q85" s="146">
        <v>100.0</v>
      </c>
      <c r="R85" s="146" t="s">
        <v>25</v>
      </c>
      <c r="S85" s="146" t="s">
        <v>22</v>
      </c>
      <c r="T85" s="146" t="s">
        <v>25</v>
      </c>
      <c r="U85" s="146" t="s">
        <v>22</v>
      </c>
      <c r="V85" s="146" t="s">
        <v>22</v>
      </c>
      <c r="W85" s="146" t="s">
        <v>25</v>
      </c>
      <c r="X85" s="146" t="s">
        <v>22</v>
      </c>
      <c r="Y85" s="146" t="s">
        <v>22</v>
      </c>
      <c r="Z85" s="146" t="s">
        <v>25</v>
      </c>
      <c r="AA85" s="146" t="s">
        <v>22</v>
      </c>
      <c r="AB85" s="153">
        <v>36242.0</v>
      </c>
      <c r="AC85" s="146" t="s">
        <v>25</v>
      </c>
      <c r="AD85" s="151" t="s">
        <v>387</v>
      </c>
      <c r="AE85" s="151" t="s">
        <v>22</v>
      </c>
      <c r="AF85" s="151" t="s">
        <v>22</v>
      </c>
      <c r="AG85" s="151" t="s">
        <v>25</v>
      </c>
      <c r="AH85" s="151" t="s">
        <v>25</v>
      </c>
      <c r="AI85" s="151">
        <v>4975.23</v>
      </c>
      <c r="AJ85" s="146">
        <v>640.0</v>
      </c>
      <c r="AK85" s="155" t="s">
        <v>388</v>
      </c>
      <c r="AL85" s="151" t="s">
        <v>22</v>
      </c>
      <c r="AM85" s="151" t="s">
        <v>22</v>
      </c>
      <c r="AN85" s="151" t="s">
        <v>155</v>
      </c>
      <c r="AO85" s="151" t="s">
        <v>80</v>
      </c>
      <c r="AP85" s="151" t="s">
        <v>80</v>
      </c>
      <c r="AQ85" s="164"/>
      <c r="AR85" s="151" t="s">
        <v>158</v>
      </c>
      <c r="AS85" s="159">
        <v>46192.0</v>
      </c>
      <c r="AT85" s="160">
        <f>Calculo!AQ85</f>
        <v>21</v>
      </c>
      <c r="AU85" s="161" t="str">
        <f>Calculo!AV85</f>
        <v>SEM-RISCO</v>
      </c>
      <c r="AV85" s="162" t="str">
        <f>Calculo!AW85</f>
        <v>LIBERADO</v>
      </c>
      <c r="AW85" s="161" t="str">
        <f>Calculo!AX85</f>
        <v>N/A</v>
      </c>
      <c r="AX85" s="161" t="str">
        <f>Calculo!K85</f>
        <v>N/A</v>
      </c>
      <c r="AY85" s="161" t="str">
        <f>Calculo!AY85</f>
        <v>CHECAGEM REVERSA</v>
      </c>
      <c r="AZ85" s="161" t="str">
        <f>Calculo!AZ85</f>
        <v>N/A</v>
      </c>
      <c r="BA85" s="163"/>
    </row>
    <row r="86" ht="12.0" customHeight="1">
      <c r="A86" s="88" t="str">
        <f>'Parâmetros'!$A$19</f>
        <v>Rel. Básico PJ</v>
      </c>
      <c r="B86" s="146">
        <v>249.0</v>
      </c>
      <c r="C86" s="146">
        <v>25684.0</v>
      </c>
      <c r="D86" s="146" t="s">
        <v>142</v>
      </c>
      <c r="E86" s="149" t="s">
        <v>389</v>
      </c>
      <c r="F86" s="151">
        <v>6929.0</v>
      </c>
      <c r="G86" s="151" t="s">
        <v>147</v>
      </c>
      <c r="H86" s="146" t="s">
        <v>22</v>
      </c>
      <c r="I86" s="146" t="s">
        <v>25</v>
      </c>
      <c r="J86" s="146" t="s">
        <v>25</v>
      </c>
      <c r="K86" s="146" t="s">
        <v>25</v>
      </c>
      <c r="L86" s="146" t="s">
        <v>22</v>
      </c>
      <c r="M86" s="146" t="s">
        <v>22</v>
      </c>
      <c r="N86" s="146" t="s">
        <v>173</v>
      </c>
      <c r="O86" s="146">
        <v>5.0</v>
      </c>
      <c r="P86" s="146" t="s">
        <v>22</v>
      </c>
      <c r="Q86" s="146">
        <v>100.0</v>
      </c>
      <c r="R86" s="146" t="s">
        <v>25</v>
      </c>
      <c r="S86" s="146" t="s">
        <v>22</v>
      </c>
      <c r="T86" s="146" t="s">
        <v>22</v>
      </c>
      <c r="U86" s="146" t="s">
        <v>22</v>
      </c>
      <c r="V86" s="146" t="s">
        <v>22</v>
      </c>
      <c r="W86" s="146" t="s">
        <v>25</v>
      </c>
      <c r="X86" s="146" t="s">
        <v>22</v>
      </c>
      <c r="Y86" s="146" t="s">
        <v>22</v>
      </c>
      <c r="Z86" s="146" t="s">
        <v>25</v>
      </c>
      <c r="AA86" s="146" t="s">
        <v>22</v>
      </c>
      <c r="AB86" s="153">
        <v>24709.0</v>
      </c>
      <c r="AC86" s="146" t="s">
        <v>22</v>
      </c>
      <c r="AD86" s="151"/>
      <c r="AE86" s="151" t="s">
        <v>22</v>
      </c>
      <c r="AF86" s="151" t="s">
        <v>25</v>
      </c>
      <c r="AG86" s="151" t="s">
        <v>25</v>
      </c>
      <c r="AH86" s="151" t="s">
        <v>22</v>
      </c>
      <c r="AI86" s="151">
        <v>2690.14</v>
      </c>
      <c r="AJ86" s="146">
        <v>711.0</v>
      </c>
      <c r="AK86" s="155" t="s">
        <v>390</v>
      </c>
      <c r="AL86" s="151" t="s">
        <v>22</v>
      </c>
      <c r="AM86" s="151" t="s">
        <v>22</v>
      </c>
      <c r="AN86" s="151" t="s">
        <v>155</v>
      </c>
      <c r="AO86" s="151" t="s">
        <v>80</v>
      </c>
      <c r="AP86" s="151" t="s">
        <v>80</v>
      </c>
      <c r="AQ86" s="157"/>
      <c r="AR86" s="151" t="s">
        <v>158</v>
      </c>
      <c r="AS86" s="159">
        <v>46192.0</v>
      </c>
      <c r="AT86" s="160">
        <f>Calculo!AQ86</f>
        <v>58</v>
      </c>
      <c r="AU86" s="161" t="str">
        <f>Calculo!AV86</f>
        <v>SEM-RISCO</v>
      </c>
      <c r="AV86" s="162" t="str">
        <f>Calculo!AW86</f>
        <v>LIBERADO</v>
      </c>
      <c r="AW86" s="161" t="str">
        <f>Calculo!AX86</f>
        <v>SOLICITAR PED COMPRA</v>
      </c>
      <c r="AX86" s="161" t="str">
        <f>Calculo!K86</f>
        <v>SOLIC CONTRATO DE ENTREGA</v>
      </c>
      <c r="AY86" s="161" t="str">
        <f>Calculo!AY86</f>
        <v>N/A</v>
      </c>
      <c r="AZ86" s="161" t="str">
        <f>Calculo!AZ86</f>
        <v>N/A</v>
      </c>
      <c r="BA86" s="163"/>
    </row>
    <row r="87" ht="12.0" customHeight="1">
      <c r="A87" s="88" t="str">
        <f>'Parâmetros'!$A$19</f>
        <v>Rel. Básico PJ</v>
      </c>
      <c r="B87" s="146">
        <v>596.0</v>
      </c>
      <c r="C87" s="146">
        <v>25677.0</v>
      </c>
      <c r="D87" s="146" t="s">
        <v>176</v>
      </c>
      <c r="E87" s="149" t="s">
        <v>391</v>
      </c>
      <c r="F87" s="151">
        <v>2280.0</v>
      </c>
      <c r="G87" s="151" t="s">
        <v>147</v>
      </c>
      <c r="H87" s="146" t="s">
        <v>22</v>
      </c>
      <c r="I87" s="146" t="s">
        <v>25</v>
      </c>
      <c r="J87" s="146" t="s">
        <v>25</v>
      </c>
      <c r="K87" s="146" t="s">
        <v>25</v>
      </c>
      <c r="L87" s="146" t="s">
        <v>22</v>
      </c>
      <c r="M87" s="146" t="s">
        <v>22</v>
      </c>
      <c r="N87" s="146" t="s">
        <v>173</v>
      </c>
      <c r="O87" s="146">
        <v>5.0</v>
      </c>
      <c r="P87" s="146" t="s">
        <v>25</v>
      </c>
      <c r="Q87" s="146">
        <v>100.0</v>
      </c>
      <c r="R87" s="146" t="s">
        <v>25</v>
      </c>
      <c r="S87" s="146" t="s">
        <v>25</v>
      </c>
      <c r="T87" s="146" t="s">
        <v>25</v>
      </c>
      <c r="U87" s="146" t="s">
        <v>22</v>
      </c>
      <c r="V87" s="146" t="s">
        <v>22</v>
      </c>
      <c r="W87" s="146" t="s">
        <v>22</v>
      </c>
      <c r="X87" s="146" t="s">
        <v>22</v>
      </c>
      <c r="Y87" s="146" t="s">
        <v>22</v>
      </c>
      <c r="Z87" s="146" t="s">
        <v>25</v>
      </c>
      <c r="AA87" s="146" t="s">
        <v>22</v>
      </c>
      <c r="AB87" s="153">
        <v>43404.0</v>
      </c>
      <c r="AC87" s="146" t="s">
        <v>25</v>
      </c>
      <c r="AD87" s="151" t="s">
        <v>392</v>
      </c>
      <c r="AE87" s="151" t="s">
        <v>22</v>
      </c>
      <c r="AF87" s="151" t="s">
        <v>25</v>
      </c>
      <c r="AG87" s="151" t="s">
        <v>25</v>
      </c>
      <c r="AH87" s="151" t="s">
        <v>25</v>
      </c>
      <c r="AI87" s="151">
        <v>0.0</v>
      </c>
      <c r="AJ87" s="146">
        <v>536.0</v>
      </c>
      <c r="AK87" s="155" t="s">
        <v>393</v>
      </c>
      <c r="AL87" s="151" t="s">
        <v>22</v>
      </c>
      <c r="AM87" s="151" t="s">
        <v>22</v>
      </c>
      <c r="AN87" s="151" t="s">
        <v>155</v>
      </c>
      <c r="AO87" s="151" t="s">
        <v>80</v>
      </c>
      <c r="AP87" s="151" t="s">
        <v>80</v>
      </c>
      <c r="AQ87" s="164"/>
      <c r="AR87" s="151" t="s">
        <v>158</v>
      </c>
      <c r="AS87" s="159">
        <v>46192.0</v>
      </c>
      <c r="AT87" s="160">
        <f>Calculo!AQ87</f>
        <v>32</v>
      </c>
      <c r="AU87" s="161" t="str">
        <f>Calculo!AV87</f>
        <v>SEM-RISCO</v>
      </c>
      <c r="AV87" s="162" t="str">
        <f>Calculo!AW87</f>
        <v>LIBERADO</v>
      </c>
      <c r="AW87" s="161" t="str">
        <f>Calculo!AX87</f>
        <v>N/A</v>
      </c>
      <c r="AX87" s="161" t="str">
        <f>Calculo!K87</f>
        <v>SOLIC CONTRATO DE ENTREGA</v>
      </c>
      <c r="AY87" s="161" t="str">
        <f>Calculo!AY87</f>
        <v>N/A</v>
      </c>
      <c r="AZ87" s="161" t="str">
        <f>Calculo!AZ87</f>
        <v>N/A</v>
      </c>
      <c r="BA87" s="163"/>
    </row>
    <row r="88" ht="12.0" customHeight="1">
      <c r="A88" s="88" t="str">
        <f>'Parâmetros'!$A$19</f>
        <v>Rel. Básico PJ</v>
      </c>
      <c r="B88" s="146">
        <v>250.0</v>
      </c>
      <c r="C88" s="146">
        <v>25489.0</v>
      </c>
      <c r="D88" s="146" t="s">
        <v>142</v>
      </c>
      <c r="E88" s="149" t="s">
        <v>394</v>
      </c>
      <c r="F88" s="151">
        <v>6439.94</v>
      </c>
      <c r="G88" s="151" t="s">
        <v>147</v>
      </c>
      <c r="H88" s="146" t="s">
        <v>22</v>
      </c>
      <c r="I88" s="146" t="s">
        <v>25</v>
      </c>
      <c r="J88" s="146" t="s">
        <v>25</v>
      </c>
      <c r="K88" s="146" t="s">
        <v>25</v>
      </c>
      <c r="L88" s="146" t="s">
        <v>22</v>
      </c>
      <c r="M88" s="146" t="s">
        <v>22</v>
      </c>
      <c r="N88" s="146" t="s">
        <v>229</v>
      </c>
      <c r="O88" s="146">
        <v>5.0</v>
      </c>
      <c r="P88" s="146" t="s">
        <v>25</v>
      </c>
      <c r="Q88" s="146">
        <v>100.0</v>
      </c>
      <c r="R88" s="146" t="s">
        <v>25</v>
      </c>
      <c r="S88" s="146" t="s">
        <v>22</v>
      </c>
      <c r="T88" s="146" t="s">
        <v>22</v>
      </c>
      <c r="U88" s="146" t="s">
        <v>22</v>
      </c>
      <c r="V88" s="146" t="s">
        <v>22</v>
      </c>
      <c r="W88" s="146" t="s">
        <v>25</v>
      </c>
      <c r="X88" s="146" t="s">
        <v>22</v>
      </c>
      <c r="Y88" s="146" t="s">
        <v>22</v>
      </c>
      <c r="Z88" s="146" t="s">
        <v>25</v>
      </c>
      <c r="AA88" s="146" t="s">
        <v>22</v>
      </c>
      <c r="AB88" s="153">
        <v>44455.0</v>
      </c>
      <c r="AC88" s="146" t="s">
        <v>25</v>
      </c>
      <c r="AD88" s="151" t="s">
        <v>395</v>
      </c>
      <c r="AE88" s="151" t="s">
        <v>22</v>
      </c>
      <c r="AF88" s="151" t="s">
        <v>25</v>
      </c>
      <c r="AG88" s="151" t="s">
        <v>25</v>
      </c>
      <c r="AH88" s="151" t="s">
        <v>22</v>
      </c>
      <c r="AI88" s="151">
        <v>41845.77</v>
      </c>
      <c r="AJ88" s="146">
        <v>431.0</v>
      </c>
      <c r="AK88" s="155" t="s">
        <v>396</v>
      </c>
      <c r="AL88" s="151" t="s">
        <v>22</v>
      </c>
      <c r="AM88" s="151" t="s">
        <v>22</v>
      </c>
      <c r="AN88" s="151" t="s">
        <v>155</v>
      </c>
      <c r="AO88" s="151" t="s">
        <v>80</v>
      </c>
      <c r="AP88" s="151" t="s">
        <v>80</v>
      </c>
      <c r="AQ88" s="164"/>
      <c r="AR88" s="151" t="s">
        <v>158</v>
      </c>
      <c r="AS88" s="159">
        <v>46195.0</v>
      </c>
      <c r="AT88" s="160">
        <f>Calculo!AQ88</f>
        <v>34</v>
      </c>
      <c r="AU88" s="161" t="str">
        <f>Calculo!AV88</f>
        <v>SEM-RISCO</v>
      </c>
      <c r="AV88" s="162" t="str">
        <f>Calculo!AW88</f>
        <v>LIBERADO</v>
      </c>
      <c r="AW88" s="161" t="str">
        <f>Calculo!AX88</f>
        <v>SOLICITAR PED COMPRA</v>
      </c>
      <c r="AX88" s="161" t="str">
        <f>Calculo!K88</f>
        <v>SOLIC CONTRATO DE ENTREGA</v>
      </c>
      <c r="AY88" s="161" t="str">
        <f>Calculo!AY88</f>
        <v>N/A</v>
      </c>
      <c r="AZ88" s="161" t="str">
        <f>Calculo!AZ88</f>
        <v>N/A</v>
      </c>
      <c r="BA88" s="163"/>
    </row>
    <row r="89" ht="12.0" customHeight="1">
      <c r="A89" s="88" t="str">
        <f>'Parâmetros'!$A$19</f>
        <v>Rel. Básico PJ</v>
      </c>
      <c r="B89" s="146">
        <v>251.0</v>
      </c>
      <c r="C89" s="146">
        <v>25702.0</v>
      </c>
      <c r="D89" s="146" t="s">
        <v>142</v>
      </c>
      <c r="E89" s="149" t="s">
        <v>314</v>
      </c>
      <c r="F89" s="151">
        <v>7475.0</v>
      </c>
      <c r="G89" s="151" t="s">
        <v>147</v>
      </c>
      <c r="H89" s="146" t="s">
        <v>22</v>
      </c>
      <c r="I89" s="146" t="s">
        <v>25</v>
      </c>
      <c r="J89" s="146" t="s">
        <v>25</v>
      </c>
      <c r="K89" s="146" t="s">
        <v>25</v>
      </c>
      <c r="L89" s="146" t="s">
        <v>22</v>
      </c>
      <c r="M89" s="146" t="s">
        <v>22</v>
      </c>
      <c r="N89" s="146" t="s">
        <v>178</v>
      </c>
      <c r="O89" s="146" t="s">
        <v>140</v>
      </c>
      <c r="P89" s="146" t="s">
        <v>25</v>
      </c>
      <c r="Q89" s="146">
        <v>100.0</v>
      </c>
      <c r="R89" s="146" t="s">
        <v>25</v>
      </c>
      <c r="S89" s="146" t="s">
        <v>22</v>
      </c>
      <c r="T89" s="146" t="s">
        <v>25</v>
      </c>
      <c r="U89" s="146" t="s">
        <v>22</v>
      </c>
      <c r="V89" s="146" t="s">
        <v>22</v>
      </c>
      <c r="W89" s="146" t="s">
        <v>25</v>
      </c>
      <c r="X89" s="146" t="s">
        <v>22</v>
      </c>
      <c r="Y89" s="146" t="s">
        <v>22</v>
      </c>
      <c r="Z89" s="146" t="s">
        <v>25</v>
      </c>
      <c r="AA89" s="146" t="s">
        <v>22</v>
      </c>
      <c r="AB89" s="153">
        <v>26591.0</v>
      </c>
      <c r="AC89" s="146" t="s">
        <v>25</v>
      </c>
      <c r="AD89" s="151" t="s">
        <v>315</v>
      </c>
      <c r="AE89" s="151" t="s">
        <v>22</v>
      </c>
      <c r="AF89" s="151" t="s">
        <v>25</v>
      </c>
      <c r="AG89" s="151" t="s">
        <v>25</v>
      </c>
      <c r="AH89" s="151" t="s">
        <v>25</v>
      </c>
      <c r="AI89" s="151">
        <v>0.0</v>
      </c>
      <c r="AJ89" s="146">
        <v>797.0</v>
      </c>
      <c r="AK89" s="155" t="s">
        <v>316</v>
      </c>
      <c r="AL89" s="151" t="s">
        <v>22</v>
      </c>
      <c r="AM89" s="151" t="s">
        <v>22</v>
      </c>
      <c r="AN89" s="151" t="s">
        <v>155</v>
      </c>
      <c r="AO89" s="151" t="s">
        <v>80</v>
      </c>
      <c r="AP89" s="151" t="s">
        <v>80</v>
      </c>
      <c r="AQ89" s="157"/>
      <c r="AR89" s="151" t="s">
        <v>158</v>
      </c>
      <c r="AS89" s="159">
        <v>46195.0</v>
      </c>
      <c r="AT89" s="160">
        <f>Calculo!AQ89</f>
        <v>59</v>
      </c>
      <c r="AU89" s="161" t="str">
        <f>Calculo!AV89</f>
        <v>SEM-RISCO</v>
      </c>
      <c r="AV89" s="162" t="str">
        <f>Calculo!AW89</f>
        <v>LIBERADO</v>
      </c>
      <c r="AW89" s="161" t="str">
        <f>Calculo!AX89</f>
        <v>SOLICITAR PED COMPRA</v>
      </c>
      <c r="AX89" s="161" t="str">
        <f>Calculo!K89</f>
        <v>SOLIC CONTRATO DE ENTREGA</v>
      </c>
      <c r="AY89" s="161" t="str">
        <f>Calculo!AY89</f>
        <v>N/A</v>
      </c>
      <c r="AZ89" s="161" t="str">
        <f>Calculo!AZ89</f>
        <v>N/A</v>
      </c>
      <c r="BA89" s="163"/>
    </row>
    <row r="90" ht="12.0" customHeight="1">
      <c r="A90" s="88" t="str">
        <f>'Parâmetros'!$A$19</f>
        <v>Rel. Básico PJ</v>
      </c>
      <c r="B90" s="146">
        <v>600.0</v>
      </c>
      <c r="C90" s="146">
        <v>25709.0</v>
      </c>
      <c r="D90" s="146" t="s">
        <v>176</v>
      </c>
      <c r="E90" s="149" t="s">
        <v>397</v>
      </c>
      <c r="F90" s="151">
        <v>1079.0</v>
      </c>
      <c r="G90" s="151" t="s">
        <v>147</v>
      </c>
      <c r="H90" s="146" t="s">
        <v>22</v>
      </c>
      <c r="I90" s="146" t="s">
        <v>25</v>
      </c>
      <c r="J90" s="146" t="s">
        <v>25</v>
      </c>
      <c r="K90" s="146" t="s">
        <v>25</v>
      </c>
      <c r="L90" s="146" t="s">
        <v>25</v>
      </c>
      <c r="M90" s="146" t="s">
        <v>22</v>
      </c>
      <c r="N90" s="146" t="s">
        <v>148</v>
      </c>
      <c r="O90" s="146" t="s">
        <v>140</v>
      </c>
      <c r="P90" s="146" t="s">
        <v>25</v>
      </c>
      <c r="Q90" s="146">
        <v>100.0</v>
      </c>
      <c r="R90" s="146" t="s">
        <v>25</v>
      </c>
      <c r="S90" s="146" t="s">
        <v>22</v>
      </c>
      <c r="T90" s="146" t="s">
        <v>22</v>
      </c>
      <c r="U90" s="146" t="s">
        <v>22</v>
      </c>
      <c r="V90" s="146" t="s">
        <v>22</v>
      </c>
      <c r="W90" s="146" t="s">
        <v>25</v>
      </c>
      <c r="X90" s="146" t="s">
        <v>22</v>
      </c>
      <c r="Y90" s="146" t="s">
        <v>22</v>
      </c>
      <c r="Z90" s="146" t="s">
        <v>25</v>
      </c>
      <c r="AA90" s="146" t="s">
        <v>22</v>
      </c>
      <c r="AB90" s="153">
        <v>44074.0</v>
      </c>
      <c r="AC90" s="146" t="s">
        <v>25</v>
      </c>
      <c r="AD90" s="151" t="s">
        <v>398</v>
      </c>
      <c r="AE90" s="151" t="s">
        <v>22</v>
      </c>
      <c r="AF90" s="151" t="s">
        <v>25</v>
      </c>
      <c r="AG90" s="151" t="s">
        <v>25</v>
      </c>
      <c r="AH90" s="151" t="s">
        <v>22</v>
      </c>
      <c r="AI90" s="151">
        <v>625.45</v>
      </c>
      <c r="AJ90" s="146">
        <v>641.0</v>
      </c>
      <c r="AK90" s="155" t="s">
        <v>399</v>
      </c>
      <c r="AL90" s="151" t="s">
        <v>22</v>
      </c>
      <c r="AM90" s="151" t="s">
        <v>22</v>
      </c>
      <c r="AN90" s="151" t="s">
        <v>155</v>
      </c>
      <c r="AO90" s="151" t="s">
        <v>80</v>
      </c>
      <c r="AP90" s="151" t="s">
        <v>80</v>
      </c>
      <c r="AQ90" s="164"/>
      <c r="AR90" s="151" t="s">
        <v>158</v>
      </c>
      <c r="AS90" s="159">
        <v>46195.0</v>
      </c>
      <c r="AT90" s="160">
        <f>Calculo!AQ90</f>
        <v>55</v>
      </c>
      <c r="AU90" s="161" t="str">
        <f>Calculo!AV90</f>
        <v>SEM-RISCO</v>
      </c>
      <c r="AV90" s="162" t="str">
        <f>Calculo!AW90</f>
        <v>LIBERADO</v>
      </c>
      <c r="AW90" s="161" t="str">
        <f>Calculo!AX90</f>
        <v>N/A</v>
      </c>
      <c r="AX90" s="161" t="str">
        <f>Calculo!K90</f>
        <v>N/A</v>
      </c>
      <c r="AY90" s="161" t="str">
        <f>Calculo!AY90</f>
        <v>N/A</v>
      </c>
      <c r="AZ90" s="161" t="str">
        <f>Calculo!AZ90</f>
        <v>N/A</v>
      </c>
      <c r="BA90" s="163"/>
    </row>
    <row r="91" ht="12.0" customHeight="1">
      <c r="A91" s="88" t="str">
        <f>'Parâmetros'!$A$19</f>
        <v>Rel. Básico PJ</v>
      </c>
      <c r="B91" s="146">
        <v>253.0</v>
      </c>
      <c r="C91" s="146">
        <v>25700.0</v>
      </c>
      <c r="D91" s="146" t="s">
        <v>142</v>
      </c>
      <c r="E91" s="149" t="s">
        <v>266</v>
      </c>
      <c r="F91" s="151">
        <v>1197.0</v>
      </c>
      <c r="G91" s="151" t="s">
        <v>147</v>
      </c>
      <c r="H91" s="146" t="s">
        <v>22</v>
      </c>
      <c r="I91" s="146" t="s">
        <v>25</v>
      </c>
      <c r="J91" s="146" t="s">
        <v>25</v>
      </c>
      <c r="K91" s="146" t="s">
        <v>25</v>
      </c>
      <c r="L91" s="146" t="s">
        <v>25</v>
      </c>
      <c r="M91" s="146" t="s">
        <v>22</v>
      </c>
      <c r="N91" s="146" t="s">
        <v>173</v>
      </c>
      <c r="O91" s="146">
        <v>5.0</v>
      </c>
      <c r="P91" s="146" t="s">
        <v>22</v>
      </c>
      <c r="Q91" s="146">
        <v>100.0</v>
      </c>
      <c r="R91" s="146" t="s">
        <v>25</v>
      </c>
      <c r="S91" s="146" t="s">
        <v>22</v>
      </c>
      <c r="T91" s="146" t="s">
        <v>25</v>
      </c>
      <c r="U91" s="146" t="s">
        <v>22</v>
      </c>
      <c r="V91" s="146" t="s">
        <v>22</v>
      </c>
      <c r="W91" s="146" t="s">
        <v>25</v>
      </c>
      <c r="X91" s="146" t="s">
        <v>22</v>
      </c>
      <c r="Y91" s="146" t="s">
        <v>22</v>
      </c>
      <c r="Z91" s="146" t="s">
        <v>25</v>
      </c>
      <c r="AA91" s="146" t="s">
        <v>22</v>
      </c>
      <c r="AB91" s="153">
        <v>29619.0</v>
      </c>
      <c r="AC91" s="146" t="s">
        <v>25</v>
      </c>
      <c r="AD91" s="151" t="s">
        <v>267</v>
      </c>
      <c r="AE91" s="151" t="s">
        <v>22</v>
      </c>
      <c r="AF91" s="151" t="s">
        <v>22</v>
      </c>
      <c r="AG91" s="151" t="s">
        <v>25</v>
      </c>
      <c r="AH91" s="151" t="s">
        <v>25</v>
      </c>
      <c r="AI91" s="151">
        <v>70.37</v>
      </c>
      <c r="AJ91" s="146">
        <v>906.0</v>
      </c>
      <c r="AK91" s="155" t="s">
        <v>268</v>
      </c>
      <c r="AL91" s="151" t="s">
        <v>22</v>
      </c>
      <c r="AM91" s="151" t="s">
        <v>22</v>
      </c>
      <c r="AN91" s="151" t="s">
        <v>155</v>
      </c>
      <c r="AO91" s="151" t="s">
        <v>80</v>
      </c>
      <c r="AP91" s="151" t="s">
        <v>80</v>
      </c>
      <c r="AQ91" s="157"/>
      <c r="AR91" s="151" t="s">
        <v>158</v>
      </c>
      <c r="AS91" s="159">
        <v>46195.0</v>
      </c>
      <c r="AT91" s="160">
        <f>Calculo!AQ91</f>
        <v>56</v>
      </c>
      <c r="AU91" s="161" t="str">
        <f>Calculo!AV91</f>
        <v>SEM-RISCO</v>
      </c>
      <c r="AV91" s="162" t="str">
        <f>Calculo!AW91</f>
        <v>LIBERADO</v>
      </c>
      <c r="AW91" s="161" t="str">
        <f>Calculo!AX91</f>
        <v>N/A</v>
      </c>
      <c r="AX91" s="161" t="str">
        <f>Calculo!K91</f>
        <v>N/A</v>
      </c>
      <c r="AY91" s="161" t="str">
        <f>Calculo!AY91</f>
        <v>N/A</v>
      </c>
      <c r="AZ91" s="161" t="str">
        <f>Calculo!AZ91</f>
        <v>N/A</v>
      </c>
      <c r="BA91" s="163"/>
    </row>
    <row r="92" ht="12.0" customHeight="1">
      <c r="A92" s="88" t="str">
        <f>'Parâmetros'!$A$19</f>
        <v>Rel. Básico PJ</v>
      </c>
      <c r="B92" s="146">
        <v>255.0</v>
      </c>
      <c r="C92" s="146">
        <v>25646.0</v>
      </c>
      <c r="D92" s="146" t="s">
        <v>142</v>
      </c>
      <c r="E92" s="149" t="s">
        <v>400</v>
      </c>
      <c r="F92" s="151">
        <v>4103.1</v>
      </c>
      <c r="G92" s="151" t="s">
        <v>147</v>
      </c>
      <c r="H92" s="146" t="s">
        <v>22</v>
      </c>
      <c r="I92" s="146" t="s">
        <v>25</v>
      </c>
      <c r="J92" s="146" t="s">
        <v>25</v>
      </c>
      <c r="K92" s="146" t="s">
        <v>25</v>
      </c>
      <c r="L92" s="146" t="s">
        <v>22</v>
      </c>
      <c r="M92" s="146" t="s">
        <v>25</v>
      </c>
      <c r="N92" s="146" t="s">
        <v>229</v>
      </c>
      <c r="O92" s="146">
        <v>0.0</v>
      </c>
      <c r="P92" s="146" t="s">
        <v>22</v>
      </c>
      <c r="Q92" s="146">
        <v>100.0</v>
      </c>
      <c r="R92" s="146" t="s">
        <v>25</v>
      </c>
      <c r="S92" s="146" t="s">
        <v>25</v>
      </c>
      <c r="T92" s="146" t="s">
        <v>25</v>
      </c>
      <c r="U92" s="146" t="s">
        <v>22</v>
      </c>
      <c r="V92" s="146" t="s">
        <v>22</v>
      </c>
      <c r="W92" s="146" t="s">
        <v>25</v>
      </c>
      <c r="X92" s="146" t="s">
        <v>22</v>
      </c>
      <c r="Y92" s="146" t="s">
        <v>22</v>
      </c>
      <c r="Z92" s="146" t="s">
        <v>25</v>
      </c>
      <c r="AA92" s="146" t="s">
        <v>22</v>
      </c>
      <c r="AB92" s="153">
        <v>35825.0</v>
      </c>
      <c r="AC92" s="146" t="s">
        <v>25</v>
      </c>
      <c r="AD92" s="151" t="s">
        <v>401</v>
      </c>
      <c r="AE92" s="151" t="s">
        <v>22</v>
      </c>
      <c r="AF92" s="151" t="s">
        <v>22</v>
      </c>
      <c r="AG92" s="151" t="s">
        <v>25</v>
      </c>
      <c r="AH92" s="151" t="s">
        <v>25</v>
      </c>
      <c r="AI92" s="151">
        <v>54.16</v>
      </c>
      <c r="AJ92" s="146">
        <v>474.0</v>
      </c>
      <c r="AK92" s="155" t="s">
        <v>402</v>
      </c>
      <c r="AL92" s="151" t="s">
        <v>22</v>
      </c>
      <c r="AM92" s="151" t="s">
        <v>22</v>
      </c>
      <c r="AN92" s="151" t="s">
        <v>155</v>
      </c>
      <c r="AO92" s="151" t="s">
        <v>80</v>
      </c>
      <c r="AP92" s="151" t="s">
        <v>80</v>
      </c>
      <c r="AQ92" s="157"/>
      <c r="AR92" s="151" t="s">
        <v>158</v>
      </c>
      <c r="AS92" s="159">
        <v>46196.0</v>
      </c>
      <c r="AT92" s="160">
        <f>Calculo!AQ92</f>
        <v>17</v>
      </c>
      <c r="AU92" s="161" t="str">
        <f>Calculo!AV92</f>
        <v>SEM-RISCO</v>
      </c>
      <c r="AV92" s="162" t="str">
        <f>Calculo!AW92</f>
        <v>LIBERADO</v>
      </c>
      <c r="AW92" s="161" t="str">
        <f>Calculo!AX92</f>
        <v>N/A</v>
      </c>
      <c r="AX92" s="161" t="str">
        <f>Calculo!K92</f>
        <v>SOLIC CONTRATO DE ENTREGA</v>
      </c>
      <c r="AY92" s="161" t="str">
        <f>Calculo!AY92</f>
        <v>CHECAGEM REVERSA</v>
      </c>
      <c r="AZ92" s="161" t="str">
        <f>Calculo!AZ92</f>
        <v>N/A</v>
      </c>
      <c r="BA92" s="163"/>
    </row>
    <row r="93" ht="12.0" customHeight="1">
      <c r="A93" s="88" t="str">
        <f>'Parâmetros'!$A$19</f>
        <v>Rel. Básico PJ</v>
      </c>
      <c r="B93" s="146">
        <v>254.0</v>
      </c>
      <c r="C93" s="146">
        <v>25073.0</v>
      </c>
      <c r="D93" s="146" t="s">
        <v>142</v>
      </c>
      <c r="E93" s="149" t="s">
        <v>403</v>
      </c>
      <c r="F93" s="151">
        <v>9292.0</v>
      </c>
      <c r="G93" s="151" t="s">
        <v>147</v>
      </c>
      <c r="H93" s="146" t="s">
        <v>22</v>
      </c>
      <c r="I93" s="146" t="s">
        <v>25</v>
      </c>
      <c r="J93" s="146" t="s">
        <v>25</v>
      </c>
      <c r="K93" s="146" t="s">
        <v>25</v>
      </c>
      <c r="L93" s="146" t="s">
        <v>22</v>
      </c>
      <c r="M93" s="146" t="s">
        <v>22</v>
      </c>
      <c r="N93" s="146" t="s">
        <v>229</v>
      </c>
      <c r="O93" s="146" t="s">
        <v>140</v>
      </c>
      <c r="P93" s="146" t="s">
        <v>22</v>
      </c>
      <c r="Q93" s="146">
        <v>100.0</v>
      </c>
      <c r="R93" s="146" t="s">
        <v>25</v>
      </c>
      <c r="S93" s="146" t="s">
        <v>25</v>
      </c>
      <c r="T93" s="146" t="s">
        <v>25</v>
      </c>
      <c r="U93" s="146" t="s">
        <v>22</v>
      </c>
      <c r="V93" s="146" t="s">
        <v>22</v>
      </c>
      <c r="W93" s="146" t="s">
        <v>25</v>
      </c>
      <c r="X93" s="146" t="s">
        <v>22</v>
      </c>
      <c r="Y93" s="146" t="s">
        <v>22</v>
      </c>
      <c r="Z93" s="146" t="s">
        <v>25</v>
      </c>
      <c r="AA93" s="146" t="s">
        <v>22</v>
      </c>
      <c r="AB93" s="153">
        <v>29179.0</v>
      </c>
      <c r="AC93" s="146" t="s">
        <v>25</v>
      </c>
      <c r="AD93" s="151"/>
      <c r="AE93" s="151" t="s">
        <v>22</v>
      </c>
      <c r="AF93" s="151" t="s">
        <v>25</v>
      </c>
      <c r="AG93" s="151" t="s">
        <v>25</v>
      </c>
      <c r="AH93" s="151" t="s">
        <v>25</v>
      </c>
      <c r="AI93" s="151">
        <v>0.0</v>
      </c>
      <c r="AJ93" s="146">
        <v>663.0</v>
      </c>
      <c r="AK93" s="155" t="s">
        <v>404</v>
      </c>
      <c r="AL93" s="151" t="s">
        <v>22</v>
      </c>
      <c r="AM93" s="151" t="s">
        <v>22</v>
      </c>
      <c r="AN93" s="151" t="s">
        <v>155</v>
      </c>
      <c r="AO93" s="151" t="s">
        <v>80</v>
      </c>
      <c r="AP93" s="151" t="s">
        <v>80</v>
      </c>
      <c r="AQ93" s="164"/>
      <c r="AR93" s="151" t="s">
        <v>158</v>
      </c>
      <c r="AS93" s="159">
        <v>46196.0</v>
      </c>
      <c r="AT93" s="160">
        <f>Calculo!AQ93</f>
        <v>26</v>
      </c>
      <c r="AU93" s="161" t="str">
        <f>Calculo!AV93</f>
        <v>SEM-RISCO</v>
      </c>
      <c r="AV93" s="162" t="str">
        <f>Calculo!AW93</f>
        <v>LIBERADO</v>
      </c>
      <c r="AW93" s="161" t="str">
        <f>Calculo!AX93</f>
        <v>SOLICITAR PED COMPRA</v>
      </c>
      <c r="AX93" s="161" t="str">
        <f>Calculo!K93</f>
        <v>SOLIC CONTRATO DE ENTREGA</v>
      </c>
      <c r="AY93" s="161" t="str">
        <f>Calculo!AY93</f>
        <v>N/A</v>
      </c>
      <c r="AZ93" s="161" t="str">
        <f>Calculo!AZ93</f>
        <v>N/A</v>
      </c>
      <c r="BA93" s="163"/>
    </row>
    <row r="94" ht="12.0" customHeight="1">
      <c r="A94" s="88" t="str">
        <f>'Parâmetros'!$A$19</f>
        <v>Rel. Básico PJ</v>
      </c>
      <c r="B94" s="146">
        <v>608.0</v>
      </c>
      <c r="C94" s="146">
        <v>25630.0</v>
      </c>
      <c r="D94" s="146" t="s">
        <v>176</v>
      </c>
      <c r="E94" s="149" t="s">
        <v>405</v>
      </c>
      <c r="F94" s="151">
        <v>9053.0</v>
      </c>
      <c r="G94" s="151" t="s">
        <v>147</v>
      </c>
      <c r="H94" s="146" t="s">
        <v>22</v>
      </c>
      <c r="I94" s="146" t="s">
        <v>22</v>
      </c>
      <c r="J94" s="146" t="s">
        <v>25</v>
      </c>
      <c r="K94" s="146" t="s">
        <v>25</v>
      </c>
      <c r="L94" s="146" t="s">
        <v>22</v>
      </c>
      <c r="M94" s="146" t="s">
        <v>22</v>
      </c>
      <c r="N94" s="146" t="s">
        <v>406</v>
      </c>
      <c r="O94" s="146" t="s">
        <v>140</v>
      </c>
      <c r="P94" s="146" t="s">
        <v>22</v>
      </c>
      <c r="Q94" s="146">
        <v>100.0</v>
      </c>
      <c r="R94" s="146" t="s">
        <v>25</v>
      </c>
      <c r="S94" s="146" t="s">
        <v>25</v>
      </c>
      <c r="T94" s="146" t="s">
        <v>25</v>
      </c>
      <c r="U94" s="146" t="s">
        <v>22</v>
      </c>
      <c r="V94" s="146" t="s">
        <v>22</v>
      </c>
      <c r="W94" s="146" t="s">
        <v>22</v>
      </c>
      <c r="X94" s="146" t="s">
        <v>22</v>
      </c>
      <c r="Y94" s="146" t="s">
        <v>22</v>
      </c>
      <c r="Z94" s="146" t="s">
        <v>25</v>
      </c>
      <c r="AA94" s="146" t="s">
        <v>22</v>
      </c>
      <c r="AB94" s="153">
        <v>35235.0</v>
      </c>
      <c r="AC94" s="146" t="s">
        <v>22</v>
      </c>
      <c r="AD94" s="151">
        <v>2.1280155E7</v>
      </c>
      <c r="AE94" s="151" t="s">
        <v>22</v>
      </c>
      <c r="AF94" s="151" t="s">
        <v>22</v>
      </c>
      <c r="AG94" s="151" t="s">
        <v>25</v>
      </c>
      <c r="AH94" s="151" t="s">
        <v>22</v>
      </c>
      <c r="AI94" s="151">
        <v>129038.38</v>
      </c>
      <c r="AJ94" s="146">
        <v>421.0</v>
      </c>
      <c r="AK94" s="155" t="s">
        <v>407</v>
      </c>
      <c r="AL94" s="151" t="s">
        <v>22</v>
      </c>
      <c r="AM94" s="151" t="s">
        <v>22</v>
      </c>
      <c r="AN94" s="151" t="s">
        <v>155</v>
      </c>
      <c r="AO94" s="151" t="s">
        <v>80</v>
      </c>
      <c r="AP94" s="151" t="s">
        <v>80</v>
      </c>
      <c r="AQ94" s="157"/>
      <c r="AR94" s="151" t="s">
        <v>158</v>
      </c>
      <c r="AS94" s="159">
        <v>46197.0</v>
      </c>
      <c r="AT94" s="160">
        <f>Calculo!AQ94</f>
        <v>15</v>
      </c>
      <c r="AU94" s="161" t="str">
        <f>Calculo!AV94</f>
        <v>SEM-RISCO</v>
      </c>
      <c r="AV94" s="162" t="str">
        <f>Calculo!AW94</f>
        <v>LIBERADO</v>
      </c>
      <c r="AW94" s="161" t="str">
        <f>Calculo!AX94</f>
        <v>SOLICITAR PED COMPRA</v>
      </c>
      <c r="AX94" s="161" t="str">
        <f>Calculo!K94</f>
        <v>SOLIC CONTRATO DE ENTREGA</v>
      </c>
      <c r="AY94" s="161" t="str">
        <f>Calculo!AY94</f>
        <v>N/A</v>
      </c>
      <c r="AZ94" s="161" t="str">
        <f>Calculo!AZ94</f>
        <v>N/A</v>
      </c>
      <c r="BA94" s="163"/>
    </row>
    <row r="95" ht="12.0" customHeight="1">
      <c r="A95" s="88" t="str">
        <f>'Parâmetros'!$A$19</f>
        <v>Rel. Básico PJ</v>
      </c>
      <c r="B95" s="146">
        <v>610.0</v>
      </c>
      <c r="C95" s="146">
        <v>25749.0</v>
      </c>
      <c r="D95" s="146" t="s">
        <v>176</v>
      </c>
      <c r="E95" s="149" t="s">
        <v>408</v>
      </c>
      <c r="F95" s="151">
        <v>2255.22</v>
      </c>
      <c r="G95" s="151" t="s">
        <v>147</v>
      </c>
      <c r="H95" s="146" t="s">
        <v>22</v>
      </c>
      <c r="I95" s="146" t="s">
        <v>25</v>
      </c>
      <c r="J95" s="146" t="s">
        <v>25</v>
      </c>
      <c r="K95" s="146" t="s">
        <v>25</v>
      </c>
      <c r="L95" s="146" t="s">
        <v>25</v>
      </c>
      <c r="M95" s="146" t="s">
        <v>22</v>
      </c>
      <c r="N95" s="146" t="s">
        <v>173</v>
      </c>
      <c r="O95" s="146" t="s">
        <v>140</v>
      </c>
      <c r="P95" s="146" t="s">
        <v>25</v>
      </c>
      <c r="Q95" s="146">
        <v>100.0</v>
      </c>
      <c r="R95" s="146" t="s">
        <v>25</v>
      </c>
      <c r="S95" s="146" t="s">
        <v>22</v>
      </c>
      <c r="T95" s="146" t="s">
        <v>22</v>
      </c>
      <c r="U95" s="146" t="s">
        <v>22</v>
      </c>
      <c r="V95" s="146" t="s">
        <v>22</v>
      </c>
      <c r="W95" s="146" t="s">
        <v>25</v>
      </c>
      <c r="X95" s="146" t="s">
        <v>22</v>
      </c>
      <c r="Y95" s="146" t="s">
        <v>22</v>
      </c>
      <c r="Z95" s="146" t="s">
        <v>25</v>
      </c>
      <c r="AA95" s="146" t="s">
        <v>22</v>
      </c>
      <c r="AB95" s="153">
        <v>44103.0</v>
      </c>
      <c r="AC95" s="146" t="s">
        <v>25</v>
      </c>
      <c r="AD95" s="151" t="s">
        <v>223</v>
      </c>
      <c r="AE95" s="151" t="s">
        <v>22</v>
      </c>
      <c r="AF95" s="151" t="s">
        <v>25</v>
      </c>
      <c r="AG95" s="151" t="s">
        <v>25</v>
      </c>
      <c r="AH95" s="151" t="s">
        <v>22</v>
      </c>
      <c r="AI95" s="151">
        <v>91.01</v>
      </c>
      <c r="AJ95" s="146">
        <v>760.0</v>
      </c>
      <c r="AK95" s="155" t="s">
        <v>409</v>
      </c>
      <c r="AL95" s="151" t="s">
        <v>22</v>
      </c>
      <c r="AM95" s="151" t="s">
        <v>22</v>
      </c>
      <c r="AN95" s="151" t="s">
        <v>155</v>
      </c>
      <c r="AO95" s="151" t="s">
        <v>80</v>
      </c>
      <c r="AP95" s="151" t="s">
        <v>80</v>
      </c>
      <c r="AQ95" s="164"/>
      <c r="AR95" s="151" t="s">
        <v>158</v>
      </c>
      <c r="AS95" s="159">
        <v>46197.0</v>
      </c>
      <c r="AT95" s="160">
        <f>Calculo!AQ95</f>
        <v>59</v>
      </c>
      <c r="AU95" s="161" t="str">
        <f>Calculo!AV95</f>
        <v>SEM-RISCO</v>
      </c>
      <c r="AV95" s="162" t="str">
        <f>Calculo!AW95</f>
        <v>LIBERADO</v>
      </c>
      <c r="AW95" s="161" t="str">
        <f>Calculo!AX95</f>
        <v>N/A</v>
      </c>
      <c r="AX95" s="161" t="str">
        <f>Calculo!K95</f>
        <v>N/A</v>
      </c>
      <c r="AY95" s="161" t="str">
        <f>Calculo!AY95</f>
        <v>N/A</v>
      </c>
      <c r="AZ95" s="161" t="str">
        <f>Calculo!AZ95</f>
        <v>N/A</v>
      </c>
      <c r="BA95" s="163"/>
    </row>
    <row r="96" ht="12.0" customHeight="1">
      <c r="A96" s="88" t="str">
        <f>'Parâmetros'!$A$19</f>
        <v>Rel. Básico PJ</v>
      </c>
      <c r="B96" s="146">
        <v>611.0</v>
      </c>
      <c r="C96" s="146">
        <v>25750.0</v>
      </c>
      <c r="D96" s="146" t="s">
        <v>176</v>
      </c>
      <c r="E96" s="149" t="s">
        <v>408</v>
      </c>
      <c r="F96" s="151">
        <v>14250.0</v>
      </c>
      <c r="G96" s="151" t="s">
        <v>147</v>
      </c>
      <c r="H96" s="146" t="s">
        <v>22</v>
      </c>
      <c r="I96" s="146" t="s">
        <v>25</v>
      </c>
      <c r="J96" s="146" t="s">
        <v>22</v>
      </c>
      <c r="K96" s="146" t="s">
        <v>25</v>
      </c>
      <c r="L96" s="146" t="s">
        <v>25</v>
      </c>
      <c r="M96" s="146" t="s">
        <v>25</v>
      </c>
      <c r="N96" s="146" t="s">
        <v>173</v>
      </c>
      <c r="O96" s="146">
        <v>0.0</v>
      </c>
      <c r="P96" s="146" t="s">
        <v>25</v>
      </c>
      <c r="Q96" s="146">
        <v>100.0</v>
      </c>
      <c r="R96" s="146" t="s">
        <v>25</v>
      </c>
      <c r="S96" s="146" t="s">
        <v>22</v>
      </c>
      <c r="T96" s="146" t="s">
        <v>22</v>
      </c>
      <c r="U96" s="146" t="s">
        <v>22</v>
      </c>
      <c r="V96" s="146" t="s">
        <v>22</v>
      </c>
      <c r="W96" s="146" t="s">
        <v>25</v>
      </c>
      <c r="X96" s="146" t="s">
        <v>22</v>
      </c>
      <c r="Y96" s="146" t="s">
        <v>22</v>
      </c>
      <c r="Z96" s="146" t="s">
        <v>25</v>
      </c>
      <c r="AA96" s="146" t="s">
        <v>22</v>
      </c>
      <c r="AB96" s="153">
        <v>44103.0</v>
      </c>
      <c r="AC96" s="146" t="s">
        <v>25</v>
      </c>
      <c r="AD96" s="151" t="s">
        <v>223</v>
      </c>
      <c r="AE96" s="151" t="s">
        <v>22</v>
      </c>
      <c r="AF96" s="151" t="s">
        <v>25</v>
      </c>
      <c r="AG96" s="151" t="s">
        <v>25</v>
      </c>
      <c r="AH96" s="151" t="s">
        <v>22</v>
      </c>
      <c r="AI96" s="151">
        <v>91.01</v>
      </c>
      <c r="AJ96" s="146">
        <v>760.0</v>
      </c>
      <c r="AK96" s="155" t="s">
        <v>409</v>
      </c>
      <c r="AL96" s="151" t="s">
        <v>22</v>
      </c>
      <c r="AM96" s="151" t="s">
        <v>22</v>
      </c>
      <c r="AN96" s="151" t="s">
        <v>155</v>
      </c>
      <c r="AO96" s="151" t="s">
        <v>80</v>
      </c>
      <c r="AP96" s="151" t="s">
        <v>80</v>
      </c>
      <c r="AQ96" s="157"/>
      <c r="AR96" s="151" t="s">
        <v>158</v>
      </c>
      <c r="AS96" s="159">
        <v>46198.0</v>
      </c>
      <c r="AT96" s="160">
        <f>Calculo!AQ96</f>
        <v>31</v>
      </c>
      <c r="AU96" s="161" t="str">
        <f>Calculo!AV96</f>
        <v>SEM-RISCO</v>
      </c>
      <c r="AV96" s="162" t="str">
        <f>Calculo!AW96</f>
        <v>LIBERADO</v>
      </c>
      <c r="AW96" s="161" t="str">
        <f>Calculo!AX96</f>
        <v>SOLICITAR PED COMPRA</v>
      </c>
      <c r="AX96" s="161" t="str">
        <f>Calculo!K96</f>
        <v>N/A</v>
      </c>
      <c r="AY96" s="161" t="str">
        <f>Calculo!AY96</f>
        <v>CHECAGEM REVERSA</v>
      </c>
      <c r="AZ96" s="161" t="str">
        <f>Calculo!AZ96</f>
        <v>N/A</v>
      </c>
      <c r="BA96" s="163"/>
    </row>
    <row r="97" ht="12.0" customHeight="1">
      <c r="A97" s="88" t="str">
        <f>'Parâmetros'!$A$19</f>
        <v>Rel. Básico PJ</v>
      </c>
      <c r="B97" s="146">
        <v>258.0</v>
      </c>
      <c r="C97" s="146">
        <v>25758.0</v>
      </c>
      <c r="D97" s="146" t="s">
        <v>142</v>
      </c>
      <c r="E97" s="149" t="s">
        <v>410</v>
      </c>
      <c r="F97" s="151">
        <v>7184.0</v>
      </c>
      <c r="G97" s="151" t="s">
        <v>147</v>
      </c>
      <c r="H97" s="146" t="s">
        <v>22</v>
      </c>
      <c r="I97" s="146" t="s">
        <v>22</v>
      </c>
      <c r="J97" s="146" t="s">
        <v>25</v>
      </c>
      <c r="K97" s="146" t="s">
        <v>25</v>
      </c>
      <c r="L97" s="146" t="s">
        <v>22</v>
      </c>
      <c r="M97" s="146" t="s">
        <v>22</v>
      </c>
      <c r="N97" s="146" t="s">
        <v>187</v>
      </c>
      <c r="O97" s="146">
        <v>5.0</v>
      </c>
      <c r="P97" s="146" t="s">
        <v>25</v>
      </c>
      <c r="Q97" s="146">
        <v>100.0</v>
      </c>
      <c r="R97" s="146" t="s">
        <v>25</v>
      </c>
      <c r="S97" s="146" t="s">
        <v>25</v>
      </c>
      <c r="T97" s="146" t="s">
        <v>25</v>
      </c>
      <c r="U97" s="146" t="s">
        <v>22</v>
      </c>
      <c r="V97" s="146" t="s">
        <v>22</v>
      </c>
      <c r="W97" s="146" t="s">
        <v>25</v>
      </c>
      <c r="X97" s="146" t="s">
        <v>22</v>
      </c>
      <c r="Y97" s="146" t="s">
        <v>25</v>
      </c>
      <c r="Z97" s="146" t="s">
        <v>22</v>
      </c>
      <c r="AA97" s="146" t="s">
        <v>22</v>
      </c>
      <c r="AB97" s="153">
        <v>32225.0</v>
      </c>
      <c r="AC97" s="146" t="s">
        <v>25</v>
      </c>
      <c r="AD97" s="151" t="s">
        <v>411</v>
      </c>
      <c r="AE97" s="151" t="s">
        <v>22</v>
      </c>
      <c r="AF97" s="151" t="s">
        <v>25</v>
      </c>
      <c r="AG97" s="151" t="s">
        <v>25</v>
      </c>
      <c r="AH97" s="151" t="s">
        <v>22</v>
      </c>
      <c r="AI97" s="151">
        <v>41973.11</v>
      </c>
      <c r="AJ97" s="146">
        <v>796.0</v>
      </c>
      <c r="AK97" s="155" t="s">
        <v>412</v>
      </c>
      <c r="AL97" s="151" t="s">
        <v>22</v>
      </c>
      <c r="AM97" s="151" t="s">
        <v>22</v>
      </c>
      <c r="AN97" s="151" t="s">
        <v>155</v>
      </c>
      <c r="AO97" s="151" t="s">
        <v>80</v>
      </c>
      <c r="AP97" s="151" t="s">
        <v>80</v>
      </c>
      <c r="AQ97" s="164"/>
      <c r="AR97" s="151" t="s">
        <v>158</v>
      </c>
      <c r="AS97" s="159">
        <v>46198.0</v>
      </c>
      <c r="AT97" s="160">
        <f>Calculo!AQ97</f>
        <v>12</v>
      </c>
      <c r="AU97" s="161" t="str">
        <f>Calculo!AV97</f>
        <v>SEM-RISCO</v>
      </c>
      <c r="AV97" s="162" t="str">
        <f>Calculo!AW97</f>
        <v>LIBERADO</v>
      </c>
      <c r="AW97" s="161" t="str">
        <f>Calculo!AX97</f>
        <v>SOLICITAR PED COMPRA</v>
      </c>
      <c r="AX97" s="161" t="str">
        <f>Calculo!K97</f>
        <v>SOLIC CONTRATO DE ENTREGA</v>
      </c>
      <c r="AY97" s="161" t="str">
        <f>Calculo!AY97</f>
        <v>N/A</v>
      </c>
      <c r="AZ97" s="161" t="str">
        <f>Calculo!AZ97</f>
        <v>N/A</v>
      </c>
      <c r="BA97" s="163"/>
    </row>
    <row r="98" ht="12.0" customHeight="1">
      <c r="A98" s="88" t="str">
        <f>'Parâmetros'!$A$19</f>
        <v>Rel. Básico PJ</v>
      </c>
      <c r="B98" s="146">
        <v>257.0</v>
      </c>
      <c r="C98" s="146">
        <v>25716.0</v>
      </c>
      <c r="D98" s="146" t="s">
        <v>142</v>
      </c>
      <c r="E98" s="149" t="s">
        <v>413</v>
      </c>
      <c r="F98" s="151">
        <v>15143.0</v>
      </c>
      <c r="G98" s="151" t="s">
        <v>147</v>
      </c>
      <c r="H98" s="146" t="s">
        <v>22</v>
      </c>
      <c r="I98" s="146" t="s">
        <v>25</v>
      </c>
      <c r="J98" s="146" t="s">
        <v>25</v>
      </c>
      <c r="K98" s="146" t="s">
        <v>25</v>
      </c>
      <c r="L98" s="146" t="s">
        <v>22</v>
      </c>
      <c r="M98" s="146" t="s">
        <v>22</v>
      </c>
      <c r="N98" s="146" t="s">
        <v>173</v>
      </c>
      <c r="O98" s="146">
        <v>5.0</v>
      </c>
      <c r="P98" s="146" t="s">
        <v>22</v>
      </c>
      <c r="Q98" s="146">
        <v>100.0</v>
      </c>
      <c r="R98" s="146" t="s">
        <v>25</v>
      </c>
      <c r="S98" s="146" t="s">
        <v>25</v>
      </c>
      <c r="T98" s="146" t="s">
        <v>25</v>
      </c>
      <c r="U98" s="146" t="s">
        <v>22</v>
      </c>
      <c r="V98" s="146" t="s">
        <v>22</v>
      </c>
      <c r="W98" s="146" t="s">
        <v>25</v>
      </c>
      <c r="X98" s="146" t="s">
        <v>22</v>
      </c>
      <c r="Y98" s="146" t="s">
        <v>22</v>
      </c>
      <c r="Z98" s="146" t="s">
        <v>25</v>
      </c>
      <c r="AA98" s="146" t="s">
        <v>22</v>
      </c>
      <c r="AB98" s="153">
        <v>31385.0</v>
      </c>
      <c r="AC98" s="146" t="s">
        <v>22</v>
      </c>
      <c r="AD98" s="151"/>
      <c r="AE98" s="151" t="s">
        <v>22</v>
      </c>
      <c r="AF98" s="151" t="s">
        <v>22</v>
      </c>
      <c r="AG98" s="151" t="s">
        <v>25</v>
      </c>
      <c r="AH98" s="151" t="s">
        <v>22</v>
      </c>
      <c r="AI98" s="151">
        <v>317597.34</v>
      </c>
      <c r="AJ98" s="146"/>
      <c r="AK98" s="155" t="s">
        <v>414</v>
      </c>
      <c r="AL98" s="151" t="s">
        <v>22</v>
      </c>
      <c r="AM98" s="151" t="s">
        <v>22</v>
      </c>
      <c r="AN98" s="151" t="s">
        <v>155</v>
      </c>
      <c r="AO98" s="151" t="s">
        <v>80</v>
      </c>
      <c r="AP98" s="151" t="s">
        <v>80</v>
      </c>
      <c r="AQ98" s="157" t="s">
        <v>346</v>
      </c>
      <c r="AR98" s="151" t="s">
        <v>190</v>
      </c>
      <c r="AS98" s="159">
        <v>46199.0</v>
      </c>
      <c r="AT98" s="160">
        <f>Calculo!AQ98</f>
        <v>-21</v>
      </c>
      <c r="AU98" s="161" t="str">
        <f>Calculo!AV98</f>
        <v>GOLPE</v>
      </c>
      <c r="AV98" s="162" t="str">
        <f>Calculo!AW98</f>
        <v>ENTRADA OU A VISTA</v>
      </c>
      <c r="AW98" s="161" t="str">
        <f>Calculo!AX98</f>
        <v>SOLICITAR PED COMPRA</v>
      </c>
      <c r="AX98" s="161" t="str">
        <f>Calculo!K98</f>
        <v>SOLIC CONTRATO DE ENTREGA</v>
      </c>
      <c r="AY98" s="161" t="str">
        <f>Calculo!AY98</f>
        <v>N/A</v>
      </c>
      <c r="AZ98" s="161" t="str">
        <f>Calculo!AZ98</f>
        <v>N/A</v>
      </c>
      <c r="BA98" s="163"/>
    </row>
    <row r="99" ht="12.0" customHeight="1">
      <c r="A99" s="88" t="str">
        <f>'Parâmetros'!$A$19</f>
        <v>Rel. Básico PJ</v>
      </c>
      <c r="B99" s="146">
        <v>259.0</v>
      </c>
      <c r="C99" s="146">
        <v>25590.0</v>
      </c>
      <c r="D99" s="146" t="s">
        <v>142</v>
      </c>
      <c r="E99" s="149" t="s">
        <v>415</v>
      </c>
      <c r="F99" s="151">
        <v>19662.0</v>
      </c>
      <c r="G99" s="151" t="s">
        <v>147</v>
      </c>
      <c r="H99" s="146" t="s">
        <v>22</v>
      </c>
      <c r="I99" s="146" t="s">
        <v>25</v>
      </c>
      <c r="J99" s="146" t="s">
        <v>25</v>
      </c>
      <c r="K99" s="146" t="s">
        <v>25</v>
      </c>
      <c r="L99" s="146" t="s">
        <v>22</v>
      </c>
      <c r="M99" s="146" t="s">
        <v>22</v>
      </c>
      <c r="N99" s="146" t="s">
        <v>416</v>
      </c>
      <c r="O99" s="146" t="s">
        <v>140</v>
      </c>
      <c r="P99" s="146" t="s">
        <v>22</v>
      </c>
      <c r="Q99" s="146">
        <v>100.0</v>
      </c>
      <c r="R99" s="146" t="s">
        <v>25</v>
      </c>
      <c r="S99" s="146" t="s">
        <v>25</v>
      </c>
      <c r="T99" s="146" t="s">
        <v>25</v>
      </c>
      <c r="U99" s="146" t="s">
        <v>22</v>
      </c>
      <c r="V99" s="146" t="s">
        <v>22</v>
      </c>
      <c r="W99" s="146" t="s">
        <v>25</v>
      </c>
      <c r="X99" s="146" t="s">
        <v>22</v>
      </c>
      <c r="Y99" s="146" t="s">
        <v>22</v>
      </c>
      <c r="Z99" s="146" t="s">
        <v>25</v>
      </c>
      <c r="AA99" s="146" t="s">
        <v>22</v>
      </c>
      <c r="AB99" s="153">
        <v>44795.0</v>
      </c>
      <c r="AC99" s="146" t="s">
        <v>25</v>
      </c>
      <c r="AD99" s="151" t="s">
        <v>417</v>
      </c>
      <c r="AE99" s="151" t="s">
        <v>22</v>
      </c>
      <c r="AF99" s="151" t="s">
        <v>22</v>
      </c>
      <c r="AG99" s="151" t="s">
        <v>25</v>
      </c>
      <c r="AH99" s="151" t="s">
        <v>25</v>
      </c>
      <c r="AI99" s="151">
        <v>2450.46</v>
      </c>
      <c r="AJ99" s="146">
        <v>565.0</v>
      </c>
      <c r="AK99" s="155" t="s">
        <v>418</v>
      </c>
      <c r="AL99" s="151" t="s">
        <v>22</v>
      </c>
      <c r="AM99" s="151" t="s">
        <v>22</v>
      </c>
      <c r="AN99" s="151" t="s">
        <v>155</v>
      </c>
      <c r="AO99" s="151" t="s">
        <v>80</v>
      </c>
      <c r="AP99" s="151" t="s">
        <v>80</v>
      </c>
      <c r="AQ99" s="157"/>
      <c r="AR99" s="151" t="s">
        <v>158</v>
      </c>
      <c r="AS99" s="159">
        <v>46199.0</v>
      </c>
      <c r="AT99" s="160">
        <f>Calculo!AQ99</f>
        <v>23</v>
      </c>
      <c r="AU99" s="161" t="str">
        <f>Calculo!AV99</f>
        <v>SEM-RISCO</v>
      </c>
      <c r="AV99" s="162" t="str">
        <f>Calculo!AW99</f>
        <v>LIBERADO</v>
      </c>
      <c r="AW99" s="161" t="str">
        <f>Calculo!AX99</f>
        <v>SOLICITAR PED COMPRA</v>
      </c>
      <c r="AX99" s="161" t="str">
        <f>Calculo!K99</f>
        <v>SOLIC CONTRATO DE ENTREGA</v>
      </c>
      <c r="AY99" s="161" t="str">
        <f>Calculo!AY99</f>
        <v>N/A</v>
      </c>
      <c r="AZ99" s="161" t="str">
        <f>Calculo!AZ99</f>
        <v>N/A</v>
      </c>
      <c r="BA99" s="163"/>
    </row>
    <row r="100" ht="12.0" customHeight="1">
      <c r="A100" s="88" t="str">
        <f>'Parâmetros'!$A$19</f>
        <v>Rel. Básico PJ</v>
      </c>
      <c r="B100" s="146">
        <v>1877.0</v>
      </c>
      <c r="C100" s="146">
        <v>25770.0</v>
      </c>
      <c r="D100" s="146" t="s">
        <v>171</v>
      </c>
      <c r="E100" s="149" t="s">
        <v>419</v>
      </c>
      <c r="F100" s="151">
        <v>1199.0</v>
      </c>
      <c r="G100" s="151" t="s">
        <v>147</v>
      </c>
      <c r="H100" s="146" t="s">
        <v>22</v>
      </c>
      <c r="I100" s="146" t="s">
        <v>25</v>
      </c>
      <c r="J100" s="146" t="s">
        <v>25</v>
      </c>
      <c r="K100" s="146" t="s">
        <v>25</v>
      </c>
      <c r="L100" s="146" t="s">
        <v>25</v>
      </c>
      <c r="M100" s="146" t="s">
        <v>22</v>
      </c>
      <c r="N100" s="146" t="s">
        <v>173</v>
      </c>
      <c r="O100" s="146" t="s">
        <v>140</v>
      </c>
      <c r="P100" s="146" t="s">
        <v>25</v>
      </c>
      <c r="Q100" s="146">
        <v>100.0</v>
      </c>
      <c r="R100" s="146" t="s">
        <v>25</v>
      </c>
      <c r="S100" s="146" t="s">
        <v>22</v>
      </c>
      <c r="T100" s="146" t="s">
        <v>22</v>
      </c>
      <c r="U100" s="146" t="s">
        <v>22</v>
      </c>
      <c r="V100" s="146" t="s">
        <v>22</v>
      </c>
      <c r="W100" s="146" t="s">
        <v>25</v>
      </c>
      <c r="X100" s="146" t="s">
        <v>22</v>
      </c>
      <c r="Y100" s="146" t="s">
        <v>22</v>
      </c>
      <c r="Z100" s="146" t="s">
        <v>25</v>
      </c>
      <c r="AA100" s="146" t="s">
        <v>22</v>
      </c>
      <c r="AB100" s="153">
        <v>35608.0</v>
      </c>
      <c r="AC100" s="146" t="s">
        <v>25</v>
      </c>
      <c r="AD100" s="151" t="s">
        <v>420</v>
      </c>
      <c r="AE100" s="151" t="s">
        <v>22</v>
      </c>
      <c r="AF100" s="151" t="s">
        <v>25</v>
      </c>
      <c r="AG100" s="151" t="s">
        <v>25</v>
      </c>
      <c r="AH100" s="151" t="s">
        <v>25</v>
      </c>
      <c r="AI100" s="151">
        <v>0.0</v>
      </c>
      <c r="AJ100" s="146">
        <v>634.0</v>
      </c>
      <c r="AK100" s="155" t="s">
        <v>421</v>
      </c>
      <c r="AL100" s="151" t="s">
        <v>22</v>
      </c>
      <c r="AM100" s="151" t="s">
        <v>22</v>
      </c>
      <c r="AN100" s="151" t="s">
        <v>155</v>
      </c>
      <c r="AO100" s="151" t="s">
        <v>80</v>
      </c>
      <c r="AP100" s="151" t="s">
        <v>80</v>
      </c>
      <c r="AQ100" s="164"/>
      <c r="AR100" s="151" t="s">
        <v>158</v>
      </c>
      <c r="AS100" s="159">
        <v>46202.0</v>
      </c>
      <c r="AT100" s="160">
        <f>Calculo!AQ100</f>
        <v>74</v>
      </c>
      <c r="AU100" s="161" t="str">
        <f>Calculo!AV100</f>
        <v>SEM-RISCO</v>
      </c>
      <c r="AV100" s="162" t="str">
        <f>Calculo!AW100</f>
        <v>LIBERADO</v>
      </c>
      <c r="AW100" s="161" t="str">
        <f>Calculo!AX100</f>
        <v>N/A</v>
      </c>
      <c r="AX100" s="161" t="str">
        <f>Calculo!K100</f>
        <v>N/A</v>
      </c>
      <c r="AY100" s="161" t="str">
        <f>Calculo!AY100</f>
        <v>N/A</v>
      </c>
      <c r="AZ100" s="161" t="str">
        <f>Calculo!AZ100</f>
        <v>N/A</v>
      </c>
      <c r="BA100" s="163"/>
    </row>
    <row r="101" ht="12.0" customHeight="1">
      <c r="A101" s="88" t="str">
        <f>'Parâmetros'!$A$19</f>
        <v>Rel. Básico PJ</v>
      </c>
      <c r="B101" s="146">
        <v>618.0</v>
      </c>
      <c r="C101" s="146">
        <v>25786.0</v>
      </c>
      <c r="D101" s="146" t="s">
        <v>176</v>
      </c>
      <c r="E101" s="149" t="s">
        <v>422</v>
      </c>
      <c r="F101" s="151">
        <v>1064.86</v>
      </c>
      <c r="G101" s="151" t="s">
        <v>147</v>
      </c>
      <c r="H101" s="146" t="s">
        <v>22</v>
      </c>
      <c r="I101" s="146" t="s">
        <v>25</v>
      </c>
      <c r="J101" s="146" t="s">
        <v>25</v>
      </c>
      <c r="K101" s="146" t="s">
        <v>25</v>
      </c>
      <c r="L101" s="146" t="s">
        <v>25</v>
      </c>
      <c r="M101" s="146" t="s">
        <v>22</v>
      </c>
      <c r="N101" s="146" t="s">
        <v>165</v>
      </c>
      <c r="O101" s="146" t="s">
        <v>140</v>
      </c>
      <c r="P101" s="146" t="s">
        <v>22</v>
      </c>
      <c r="Q101" s="146">
        <v>100.0</v>
      </c>
      <c r="R101" s="146" t="s">
        <v>25</v>
      </c>
      <c r="S101" s="146" t="s">
        <v>25</v>
      </c>
      <c r="T101" s="146" t="s">
        <v>25</v>
      </c>
      <c r="U101" s="146" t="s">
        <v>22</v>
      </c>
      <c r="V101" s="146" t="s">
        <v>22</v>
      </c>
      <c r="W101" s="146" t="s">
        <v>25</v>
      </c>
      <c r="X101" s="146" t="s">
        <v>22</v>
      </c>
      <c r="Y101" s="146" t="s">
        <v>22</v>
      </c>
      <c r="Z101" s="146" t="s">
        <v>25</v>
      </c>
      <c r="AA101" s="146" t="s">
        <v>22</v>
      </c>
      <c r="AB101" s="153">
        <v>23777.0</v>
      </c>
      <c r="AC101" s="146" t="s">
        <v>25</v>
      </c>
      <c r="AD101" s="151"/>
      <c r="AE101" s="151" t="s">
        <v>22</v>
      </c>
      <c r="AF101" s="151" t="s">
        <v>25</v>
      </c>
      <c r="AG101" s="151" t="s">
        <v>25</v>
      </c>
      <c r="AH101" s="151" t="s">
        <v>25</v>
      </c>
      <c r="AI101" s="151">
        <v>0.0</v>
      </c>
      <c r="AJ101" s="146"/>
      <c r="AK101" s="155" t="s">
        <v>423</v>
      </c>
      <c r="AL101" s="151" t="s">
        <v>22</v>
      </c>
      <c r="AM101" s="151" t="s">
        <v>22</v>
      </c>
      <c r="AN101" s="151" t="s">
        <v>155</v>
      </c>
      <c r="AO101" s="151" t="s">
        <v>80</v>
      </c>
      <c r="AP101" s="151" t="s">
        <v>80</v>
      </c>
      <c r="AQ101" s="157"/>
      <c r="AR101" s="151" t="s">
        <v>190</v>
      </c>
      <c r="AS101" s="159">
        <v>46202.0</v>
      </c>
      <c r="AT101" s="160">
        <f>Calculo!AQ101</f>
        <v>2</v>
      </c>
      <c r="AU101" s="161" t="str">
        <f>Calculo!AV101</f>
        <v>EMPRESINHA</v>
      </c>
      <c r="AV101" s="162" t="str">
        <f>Calculo!AW101</f>
        <v>VER E-MAIL CORPORATIVO SITE REFERENC COML NFE 3S ALTO VALOR FATURADO</v>
      </c>
      <c r="AW101" s="161" t="str">
        <f>Calculo!AX101</f>
        <v>N/A</v>
      </c>
      <c r="AX101" s="161" t="str">
        <f>Calculo!K101</f>
        <v>N/A</v>
      </c>
      <c r="AY101" s="161" t="str">
        <f>Calculo!AY101</f>
        <v>N/A</v>
      </c>
      <c r="AZ101" s="161" t="str">
        <f>Calculo!AZ101</f>
        <v>N/A</v>
      </c>
      <c r="BA101" s="163"/>
    </row>
    <row r="102" ht="12.0" customHeight="1">
      <c r="A102" s="88" t="str">
        <f>'Parâmetros'!$A$19</f>
        <v>Rel. Básico PJ</v>
      </c>
      <c r="B102" s="146">
        <v>267.0</v>
      </c>
      <c r="C102" s="146">
        <v>25797.0</v>
      </c>
      <c r="D102" s="146" t="s">
        <v>142</v>
      </c>
      <c r="E102" s="149" t="s">
        <v>424</v>
      </c>
      <c r="F102" s="151">
        <v>6765.0</v>
      </c>
      <c r="G102" s="151" t="s">
        <v>147</v>
      </c>
      <c r="H102" s="146" t="s">
        <v>22</v>
      </c>
      <c r="I102" s="146" t="s">
        <v>25</v>
      </c>
      <c r="J102" s="146" t="s">
        <v>25</v>
      </c>
      <c r="K102" s="146" t="s">
        <v>25</v>
      </c>
      <c r="L102" s="146" t="s">
        <v>22</v>
      </c>
      <c r="M102" s="146" t="s">
        <v>22</v>
      </c>
      <c r="N102" s="146" t="s">
        <v>233</v>
      </c>
      <c r="O102" s="146" t="s">
        <v>140</v>
      </c>
      <c r="P102" s="146" t="s">
        <v>22</v>
      </c>
      <c r="Q102" s="146">
        <v>100.0</v>
      </c>
      <c r="R102" s="146" t="s">
        <v>25</v>
      </c>
      <c r="S102" s="146" t="s">
        <v>25</v>
      </c>
      <c r="T102" s="146" t="s">
        <v>25</v>
      </c>
      <c r="U102" s="146" t="s">
        <v>22</v>
      </c>
      <c r="V102" s="146" t="s">
        <v>22</v>
      </c>
      <c r="W102" s="146" t="s">
        <v>25</v>
      </c>
      <c r="X102" s="146" t="s">
        <v>22</v>
      </c>
      <c r="Y102" s="146" t="s">
        <v>25</v>
      </c>
      <c r="Z102" s="146" t="s">
        <v>25</v>
      </c>
      <c r="AA102" s="146" t="s">
        <v>22</v>
      </c>
      <c r="AB102" s="153">
        <v>38926.0</v>
      </c>
      <c r="AC102" s="146" t="s">
        <v>25</v>
      </c>
      <c r="AD102" s="151" t="s">
        <v>425</v>
      </c>
      <c r="AE102" s="151" t="s">
        <v>22</v>
      </c>
      <c r="AF102" s="151" t="s">
        <v>25</v>
      </c>
      <c r="AG102" s="151" t="s">
        <v>25</v>
      </c>
      <c r="AH102" s="151" t="s">
        <v>25</v>
      </c>
      <c r="AI102" s="151">
        <v>0.0</v>
      </c>
      <c r="AJ102" s="146">
        <v>790.0</v>
      </c>
      <c r="AK102" s="155" t="s">
        <v>426</v>
      </c>
      <c r="AL102" s="151" t="s">
        <v>22</v>
      </c>
      <c r="AM102" s="151" t="s">
        <v>22</v>
      </c>
      <c r="AN102" s="151" t="s">
        <v>155</v>
      </c>
      <c r="AO102" s="151" t="s">
        <v>80</v>
      </c>
      <c r="AP102" s="151" t="s">
        <v>80</v>
      </c>
      <c r="AQ102" s="157"/>
      <c r="AR102" s="151" t="s">
        <v>158</v>
      </c>
      <c r="AS102" s="159">
        <v>46206.0</v>
      </c>
      <c r="AT102" s="160">
        <f>Calculo!AQ102</f>
        <v>36</v>
      </c>
      <c r="AU102" s="161" t="str">
        <f>Calculo!AV102</f>
        <v>SEM-RISCO</v>
      </c>
      <c r="AV102" s="162" t="str">
        <f>Calculo!AW102</f>
        <v>LIBERADO</v>
      </c>
      <c r="AW102" s="161" t="str">
        <f>Calculo!AX102</f>
        <v>SOLICITAR PED COMPRA</v>
      </c>
      <c r="AX102" s="161" t="str">
        <f>Calculo!K102</f>
        <v>SOLIC CONTRATO DE ENTREGA</v>
      </c>
      <c r="AY102" s="161" t="str">
        <f>Calculo!AY102</f>
        <v>N/A</v>
      </c>
      <c r="AZ102" s="161" t="str">
        <f>Calculo!AZ102</f>
        <v>N/A</v>
      </c>
      <c r="BA102" s="163"/>
    </row>
    <row r="103" ht="12.0" customHeight="1">
      <c r="A103" s="88" t="str">
        <f>'Parâmetros'!$A$19</f>
        <v>Rel. Básico PJ</v>
      </c>
      <c r="B103" s="146">
        <v>268.0</v>
      </c>
      <c r="C103" s="146">
        <v>25790.0</v>
      </c>
      <c r="D103" s="146" t="s">
        <v>142</v>
      </c>
      <c r="E103" s="149" t="s">
        <v>427</v>
      </c>
      <c r="F103" s="151">
        <v>3849.0</v>
      </c>
      <c r="G103" s="151" t="s">
        <v>147</v>
      </c>
      <c r="H103" s="146" t="s">
        <v>22</v>
      </c>
      <c r="I103" s="146" t="s">
        <v>25</v>
      </c>
      <c r="J103" s="146" t="s">
        <v>25</v>
      </c>
      <c r="K103" s="146" t="s">
        <v>25</v>
      </c>
      <c r="L103" s="146" t="s">
        <v>22</v>
      </c>
      <c r="M103" s="146" t="s">
        <v>25</v>
      </c>
      <c r="N103" s="146" t="s">
        <v>173</v>
      </c>
      <c r="O103" s="146">
        <v>0.0</v>
      </c>
      <c r="P103" s="146" t="s">
        <v>22</v>
      </c>
      <c r="Q103" s="146">
        <v>100.0</v>
      </c>
      <c r="R103" s="146" t="s">
        <v>25</v>
      </c>
      <c r="S103" s="146" t="s">
        <v>25</v>
      </c>
      <c r="T103" s="146" t="s">
        <v>25</v>
      </c>
      <c r="U103" s="146" t="s">
        <v>22</v>
      </c>
      <c r="V103" s="146" t="s">
        <v>22</v>
      </c>
      <c r="W103" s="146" t="s">
        <v>25</v>
      </c>
      <c r="X103" s="146" t="s">
        <v>22</v>
      </c>
      <c r="Y103" s="146" t="s">
        <v>25</v>
      </c>
      <c r="Z103" s="146" t="s">
        <v>25</v>
      </c>
      <c r="AA103" s="146" t="s">
        <v>22</v>
      </c>
      <c r="AB103" s="153">
        <v>30032.0</v>
      </c>
      <c r="AC103" s="146" t="s">
        <v>25</v>
      </c>
      <c r="AD103" s="151" t="s">
        <v>428</v>
      </c>
      <c r="AE103" s="151" t="s">
        <v>22</v>
      </c>
      <c r="AF103" s="151" t="s">
        <v>25</v>
      </c>
      <c r="AG103" s="151" t="s">
        <v>25</v>
      </c>
      <c r="AH103" s="151" t="s">
        <v>25</v>
      </c>
      <c r="AI103" s="151">
        <v>0.0</v>
      </c>
      <c r="AJ103" s="146">
        <v>765.0</v>
      </c>
      <c r="AK103" s="155" t="s">
        <v>429</v>
      </c>
      <c r="AL103" s="151" t="s">
        <v>22</v>
      </c>
      <c r="AM103" s="151" t="s">
        <v>22</v>
      </c>
      <c r="AN103" s="151" t="s">
        <v>155</v>
      </c>
      <c r="AO103" s="151" t="s">
        <v>80</v>
      </c>
      <c r="AP103" s="151" t="s">
        <v>80</v>
      </c>
      <c r="AQ103" s="157"/>
      <c r="AR103" s="151" t="s">
        <v>158</v>
      </c>
      <c r="AS103" s="159">
        <v>46206.0</v>
      </c>
      <c r="AT103" s="160">
        <f>Calculo!AQ103</f>
        <v>32</v>
      </c>
      <c r="AU103" s="161" t="str">
        <f>Calculo!AV103</f>
        <v>SEM-RISCO</v>
      </c>
      <c r="AV103" s="162" t="str">
        <f>Calculo!AW103</f>
        <v>LIBERADO</v>
      </c>
      <c r="AW103" s="161" t="str">
        <f>Calculo!AX103</f>
        <v>N/A</v>
      </c>
      <c r="AX103" s="161" t="str">
        <f>Calculo!K103</f>
        <v>SOLIC CONTRATO DE ENTREGA</v>
      </c>
      <c r="AY103" s="161" t="str">
        <f>Calculo!AY103</f>
        <v>CHECAGEM REVERSA</v>
      </c>
      <c r="AZ103" s="161" t="str">
        <f>Calculo!AZ103</f>
        <v>N/A</v>
      </c>
      <c r="BA103" s="163"/>
    </row>
    <row r="104" ht="12.0" customHeight="1">
      <c r="A104" s="88" t="str">
        <f>'Parâmetros'!$A$19</f>
        <v>Rel. Básico PJ</v>
      </c>
      <c r="B104" s="146">
        <v>261.0</v>
      </c>
      <c r="C104" s="146">
        <v>25420.0</v>
      </c>
      <c r="D104" s="146" t="s">
        <v>142</v>
      </c>
      <c r="E104" s="149" t="s">
        <v>430</v>
      </c>
      <c r="F104" s="151">
        <v>6402.0</v>
      </c>
      <c r="G104" s="151" t="s">
        <v>147</v>
      </c>
      <c r="H104" s="146" t="s">
        <v>22</v>
      </c>
      <c r="I104" s="146" t="s">
        <v>25</v>
      </c>
      <c r="J104" s="146" t="s">
        <v>25</v>
      </c>
      <c r="K104" s="146" t="s">
        <v>25</v>
      </c>
      <c r="L104" s="146" t="s">
        <v>22</v>
      </c>
      <c r="M104" s="146" t="s">
        <v>25</v>
      </c>
      <c r="N104" s="146" t="s">
        <v>289</v>
      </c>
      <c r="O104" s="146">
        <v>0.0</v>
      </c>
      <c r="P104" s="146" t="s">
        <v>22</v>
      </c>
      <c r="Q104" s="146">
        <v>100.0</v>
      </c>
      <c r="R104" s="146" t="s">
        <v>25</v>
      </c>
      <c r="S104" s="146" t="s">
        <v>25</v>
      </c>
      <c r="T104" s="146" t="s">
        <v>25</v>
      </c>
      <c r="U104" s="146" t="s">
        <v>22</v>
      </c>
      <c r="V104" s="146" t="s">
        <v>22</v>
      </c>
      <c r="W104" s="146" t="s">
        <v>22</v>
      </c>
      <c r="X104" s="146" t="s">
        <v>22</v>
      </c>
      <c r="Y104" s="146" t="s">
        <v>22</v>
      </c>
      <c r="Z104" s="146" t="s">
        <v>25</v>
      </c>
      <c r="AA104" s="146" t="s">
        <v>22</v>
      </c>
      <c r="AB104" s="153">
        <v>35250.0</v>
      </c>
      <c r="AC104" s="146" t="s">
        <v>22</v>
      </c>
      <c r="AD104" s="151" t="s">
        <v>431</v>
      </c>
      <c r="AE104" s="151" t="s">
        <v>22</v>
      </c>
      <c r="AF104" s="151" t="s">
        <v>22</v>
      </c>
      <c r="AG104" s="151" t="s">
        <v>25</v>
      </c>
      <c r="AH104" s="151" t="s">
        <v>25</v>
      </c>
      <c r="AI104" s="151">
        <v>1095.03</v>
      </c>
      <c r="AJ104" s="146">
        <v>638.0</v>
      </c>
      <c r="AK104" s="155" t="s">
        <v>432</v>
      </c>
      <c r="AL104" s="151" t="s">
        <v>22</v>
      </c>
      <c r="AM104" s="151" t="s">
        <v>22</v>
      </c>
      <c r="AN104" s="151" t="s">
        <v>155</v>
      </c>
      <c r="AO104" s="151" t="s">
        <v>80</v>
      </c>
      <c r="AP104" s="151" t="s">
        <v>80</v>
      </c>
      <c r="AQ104" s="157"/>
      <c r="AR104" s="151" t="s">
        <v>158</v>
      </c>
      <c r="AS104" s="159">
        <v>46204.0</v>
      </c>
      <c r="AT104" s="160">
        <f>Calculo!AQ104</f>
        <v>24</v>
      </c>
      <c r="AU104" s="161" t="str">
        <f>Calculo!AV104</f>
        <v>SEM-RISCO</v>
      </c>
      <c r="AV104" s="162" t="str">
        <f>Calculo!AW104</f>
        <v>LIBERADO</v>
      </c>
      <c r="AW104" s="161" t="str">
        <f>Calculo!AX104</f>
        <v>SOLICITAR PED COMPRA</v>
      </c>
      <c r="AX104" s="161" t="str">
        <f>Calculo!K104</f>
        <v>SOLIC CONTRATO DE ENTREGA</v>
      </c>
      <c r="AY104" s="161" t="str">
        <f>Calculo!AY104</f>
        <v>CHECAGEM REVERSA</v>
      </c>
      <c r="AZ104" s="161" t="str">
        <f>Calculo!AZ104</f>
        <v>N/A</v>
      </c>
      <c r="BA104" s="163"/>
    </row>
    <row r="105" ht="12.0" customHeight="1">
      <c r="A105" s="88" t="str">
        <f>'Parâmetros'!$A$19</f>
        <v>Rel. Básico PJ</v>
      </c>
      <c r="B105" s="146" t="s">
        <v>140</v>
      </c>
      <c r="C105" s="146" t="s">
        <v>140</v>
      </c>
      <c r="D105" s="146" t="s">
        <v>142</v>
      </c>
      <c r="E105" s="149" t="s">
        <v>140</v>
      </c>
      <c r="F105" s="151">
        <v>6402.0</v>
      </c>
      <c r="G105" s="151" t="s">
        <v>147</v>
      </c>
      <c r="H105" s="146" t="s">
        <v>22</v>
      </c>
      <c r="I105" s="146" t="s">
        <v>22</v>
      </c>
      <c r="J105" s="146" t="s">
        <v>25</v>
      </c>
      <c r="K105" s="146" t="s">
        <v>25</v>
      </c>
      <c r="L105" s="146" t="s">
        <v>22</v>
      </c>
      <c r="M105" s="146" t="s">
        <v>25</v>
      </c>
      <c r="N105" s="146" t="s">
        <v>173</v>
      </c>
      <c r="O105" s="146">
        <v>0.0</v>
      </c>
      <c r="P105" s="146" t="s">
        <v>22</v>
      </c>
      <c r="Q105" s="146">
        <v>100.0</v>
      </c>
      <c r="R105" s="146" t="s">
        <v>25</v>
      </c>
      <c r="S105" s="146" t="s">
        <v>25</v>
      </c>
      <c r="T105" s="146" t="s">
        <v>25</v>
      </c>
      <c r="U105" s="146" t="s">
        <v>22</v>
      </c>
      <c r="V105" s="146" t="s">
        <v>22</v>
      </c>
      <c r="W105" s="146" t="s">
        <v>25</v>
      </c>
      <c r="X105" s="146" t="s">
        <v>22</v>
      </c>
      <c r="Y105" s="146" t="s">
        <v>25</v>
      </c>
      <c r="Z105" s="146" t="s">
        <v>25</v>
      </c>
      <c r="AA105" s="146" t="s">
        <v>22</v>
      </c>
      <c r="AB105" s="153">
        <v>34001.0</v>
      </c>
      <c r="AC105" s="146" t="s">
        <v>25</v>
      </c>
      <c r="AD105" s="151" t="s">
        <v>169</v>
      </c>
      <c r="AE105" s="151" t="s">
        <v>22</v>
      </c>
      <c r="AF105" s="151" t="s">
        <v>25</v>
      </c>
      <c r="AG105" s="151" t="s">
        <v>25</v>
      </c>
      <c r="AH105" s="151" t="s">
        <v>22</v>
      </c>
      <c r="AI105" s="151">
        <v>188527.7</v>
      </c>
      <c r="AJ105" s="146"/>
      <c r="AK105" s="155" t="s">
        <v>433</v>
      </c>
      <c r="AL105" s="151" t="s">
        <v>22</v>
      </c>
      <c r="AM105" s="151" t="s">
        <v>22</v>
      </c>
      <c r="AN105" s="151" t="s">
        <v>155</v>
      </c>
      <c r="AO105" s="151" t="s">
        <v>80</v>
      </c>
      <c r="AP105" s="151" t="s">
        <v>80</v>
      </c>
      <c r="AQ105" s="157" t="s">
        <v>434</v>
      </c>
      <c r="AR105" s="151" t="s">
        <v>190</v>
      </c>
      <c r="AS105" s="159">
        <v>46204.0</v>
      </c>
      <c r="AT105" s="160">
        <f>Calculo!AQ105</f>
        <v>-5</v>
      </c>
      <c r="AU105" s="166" t="str">
        <f>Calculo!AV105</f>
        <v>GRANDE-OU-FALINDO:</v>
      </c>
      <c r="AV105" s="162" t="str">
        <f>Calculo!AW105</f>
        <v>SE FALINDO SÓ ANTECIPADO | SE GRANDE BUROCR PEGAR CONTATOS FINANCEIRO</v>
      </c>
      <c r="AW105" s="161" t="str">
        <f>Calculo!AX105</f>
        <v>SOLICITAR PED COMPRA</v>
      </c>
      <c r="AX105" s="161" t="str">
        <f>Calculo!K105</f>
        <v>SOLIC CONTRATO DE ENTREGA</v>
      </c>
      <c r="AY105" s="161" t="str">
        <f>Calculo!AY105</f>
        <v>CHECAGEM REVERSA</v>
      </c>
      <c r="AZ105" s="161" t="str">
        <f>Calculo!AZ105</f>
        <v>N/A</v>
      </c>
      <c r="BA105" s="163"/>
    </row>
    <row r="106" ht="12.0" customHeight="1">
      <c r="A106" s="88" t="str">
        <f>'Parâmetros'!$A$19</f>
        <v>Rel. Básico PJ</v>
      </c>
      <c r="B106" s="146">
        <v>621.0</v>
      </c>
      <c r="C106" s="146">
        <v>25791.0</v>
      </c>
      <c r="D106" s="146" t="s">
        <v>176</v>
      </c>
      <c r="E106" s="149" t="s">
        <v>435</v>
      </c>
      <c r="F106" s="151">
        <v>1868.0</v>
      </c>
      <c r="G106" s="151" t="s">
        <v>147</v>
      </c>
      <c r="H106" s="146" t="s">
        <v>22</v>
      </c>
      <c r="I106" s="146" t="s">
        <v>25</v>
      </c>
      <c r="J106" s="146" t="s">
        <v>25</v>
      </c>
      <c r="K106" s="146" t="s">
        <v>25</v>
      </c>
      <c r="L106" s="146" t="s">
        <v>25</v>
      </c>
      <c r="M106" s="146" t="s">
        <v>22</v>
      </c>
      <c r="N106" s="146" t="s">
        <v>187</v>
      </c>
      <c r="O106" s="146">
        <v>5.0</v>
      </c>
      <c r="P106" s="146" t="s">
        <v>25</v>
      </c>
      <c r="Q106" s="146">
        <v>100.0</v>
      </c>
      <c r="R106" s="146" t="s">
        <v>25</v>
      </c>
      <c r="S106" s="146" t="s">
        <v>25</v>
      </c>
      <c r="T106" s="146" t="s">
        <v>25</v>
      </c>
      <c r="U106" s="146" t="s">
        <v>22</v>
      </c>
      <c r="V106" s="146" t="s">
        <v>22</v>
      </c>
      <c r="W106" s="146" t="s">
        <v>25</v>
      </c>
      <c r="X106" s="146" t="s">
        <v>22</v>
      </c>
      <c r="Y106" s="146" t="s">
        <v>22</v>
      </c>
      <c r="Z106" s="146" t="s">
        <v>25</v>
      </c>
      <c r="AA106" s="146" t="s">
        <v>22</v>
      </c>
      <c r="AB106" s="153">
        <v>35219.0</v>
      </c>
      <c r="AC106" s="146" t="s">
        <v>25</v>
      </c>
      <c r="AD106" s="151" t="s">
        <v>179</v>
      </c>
      <c r="AE106" s="151" t="s">
        <v>22</v>
      </c>
      <c r="AF106" s="151" t="s">
        <v>22</v>
      </c>
      <c r="AG106" s="151" t="s">
        <v>25</v>
      </c>
      <c r="AH106" s="151" t="s">
        <v>25</v>
      </c>
      <c r="AI106" s="151">
        <v>6248.51</v>
      </c>
      <c r="AJ106" s="146">
        <v>348.0</v>
      </c>
      <c r="AK106" s="155" t="s">
        <v>436</v>
      </c>
      <c r="AL106" s="151" t="s">
        <v>22</v>
      </c>
      <c r="AM106" s="151" t="s">
        <v>22</v>
      </c>
      <c r="AN106" s="151" t="s">
        <v>155</v>
      </c>
      <c r="AO106" s="151" t="s">
        <v>80</v>
      </c>
      <c r="AP106" s="151" t="s">
        <v>80</v>
      </c>
      <c r="AQ106" s="157"/>
      <c r="AR106" s="151" t="s">
        <v>158</v>
      </c>
      <c r="AS106" s="159">
        <v>46204.0</v>
      </c>
      <c r="AT106" s="160">
        <f>Calculo!AQ106</f>
        <v>6</v>
      </c>
      <c r="AU106" s="161" t="str">
        <f>Calculo!AV106</f>
        <v>SEM-RISCO</v>
      </c>
      <c r="AV106" s="162" t="str">
        <f>Calculo!AW106</f>
        <v>LIBERADO</v>
      </c>
      <c r="AW106" s="161" t="str">
        <f>Calculo!AX106</f>
        <v>N/A</v>
      </c>
      <c r="AX106" s="161" t="str">
        <f>Calculo!K106</f>
        <v>N/A</v>
      </c>
      <c r="AY106" s="161" t="str">
        <f>Calculo!AY106</f>
        <v>N/A</v>
      </c>
      <c r="AZ106" s="161" t="str">
        <f>Calculo!AZ106</f>
        <v>N/A</v>
      </c>
      <c r="BA106" s="163"/>
    </row>
    <row r="107" ht="12.0" customHeight="1">
      <c r="A107" s="88" t="str">
        <f>'Parâmetros'!$A$19</f>
        <v>Rel. Básico PJ</v>
      </c>
      <c r="B107" s="146">
        <v>622.0</v>
      </c>
      <c r="C107" s="146">
        <v>25813.0</v>
      </c>
      <c r="D107" s="146" t="s">
        <v>176</v>
      </c>
      <c r="E107" s="149" t="s">
        <v>435</v>
      </c>
      <c r="F107" s="151">
        <v>959.0</v>
      </c>
      <c r="G107" s="151" t="s">
        <v>147</v>
      </c>
      <c r="H107" s="146" t="s">
        <v>22</v>
      </c>
      <c r="I107" s="146" t="s">
        <v>25</v>
      </c>
      <c r="J107" s="146" t="s">
        <v>25</v>
      </c>
      <c r="K107" s="146" t="s">
        <v>25</v>
      </c>
      <c r="L107" s="146" t="s">
        <v>25</v>
      </c>
      <c r="M107" s="146" t="s">
        <v>22</v>
      </c>
      <c r="N107" s="146" t="s">
        <v>187</v>
      </c>
      <c r="O107" s="146">
        <v>5.0</v>
      </c>
      <c r="P107" s="146" t="s">
        <v>25</v>
      </c>
      <c r="Q107" s="146">
        <v>100.0</v>
      </c>
      <c r="R107" s="146" t="s">
        <v>25</v>
      </c>
      <c r="S107" s="146" t="s">
        <v>25</v>
      </c>
      <c r="T107" s="146" t="s">
        <v>25</v>
      </c>
      <c r="U107" s="146" t="s">
        <v>22</v>
      </c>
      <c r="V107" s="146" t="s">
        <v>22</v>
      </c>
      <c r="W107" s="146" t="s">
        <v>25</v>
      </c>
      <c r="X107" s="146" t="s">
        <v>22</v>
      </c>
      <c r="Y107" s="146" t="s">
        <v>22</v>
      </c>
      <c r="Z107" s="146" t="s">
        <v>25</v>
      </c>
      <c r="AA107" s="146" t="s">
        <v>22</v>
      </c>
      <c r="AB107" s="153">
        <v>35219.0</v>
      </c>
      <c r="AC107" s="146" t="s">
        <v>25</v>
      </c>
      <c r="AD107" s="151" t="s">
        <v>179</v>
      </c>
      <c r="AE107" s="151" t="s">
        <v>22</v>
      </c>
      <c r="AF107" s="151" t="s">
        <v>22</v>
      </c>
      <c r="AG107" s="151" t="s">
        <v>25</v>
      </c>
      <c r="AH107" s="151" t="s">
        <v>25</v>
      </c>
      <c r="AI107" s="151">
        <v>6248.51</v>
      </c>
      <c r="AJ107" s="146">
        <v>348.0</v>
      </c>
      <c r="AK107" s="155" t="s">
        <v>436</v>
      </c>
      <c r="AL107" s="151" t="s">
        <v>22</v>
      </c>
      <c r="AM107" s="151" t="s">
        <v>22</v>
      </c>
      <c r="AN107" s="151" t="s">
        <v>155</v>
      </c>
      <c r="AO107" s="151" t="s">
        <v>80</v>
      </c>
      <c r="AP107" s="151" t="s">
        <v>80</v>
      </c>
      <c r="AQ107" s="164"/>
      <c r="AR107" s="151" t="s">
        <v>158</v>
      </c>
      <c r="AS107" s="159">
        <v>46204.0</v>
      </c>
      <c r="AT107" s="160">
        <f>Calculo!AQ107</f>
        <v>6</v>
      </c>
      <c r="AU107" s="161" t="str">
        <f>Calculo!AV107</f>
        <v>SEM-RISCO</v>
      </c>
      <c r="AV107" s="162" t="str">
        <f>Calculo!AW107</f>
        <v>LIBERADO</v>
      </c>
      <c r="AW107" s="161" t="str">
        <f>Calculo!AX107</f>
        <v>N/A</v>
      </c>
      <c r="AX107" s="161" t="str">
        <f>Calculo!K107</f>
        <v>N/A</v>
      </c>
      <c r="AY107" s="161" t="str">
        <f>Calculo!AY107</f>
        <v>N/A</v>
      </c>
      <c r="AZ107" s="161" t="str">
        <f>Calculo!AZ107</f>
        <v>N/A</v>
      </c>
      <c r="BA107" s="163"/>
    </row>
    <row r="108" ht="12.0" customHeight="1">
      <c r="A108" s="88" t="str">
        <f>'Parâmetros'!$A$19</f>
        <v>Rel. Básico PJ</v>
      </c>
      <c r="B108" s="146">
        <v>266.0</v>
      </c>
      <c r="C108" s="146">
        <v>25827.0</v>
      </c>
      <c r="D108" s="146" t="s">
        <v>142</v>
      </c>
      <c r="E108" s="149" t="s">
        <v>437</v>
      </c>
      <c r="F108" s="151">
        <v>4905.5</v>
      </c>
      <c r="G108" s="151" t="s">
        <v>147</v>
      </c>
      <c r="H108" s="146" t="s">
        <v>22</v>
      </c>
      <c r="I108" s="146" t="s">
        <v>25</v>
      </c>
      <c r="J108" s="146" t="s">
        <v>25</v>
      </c>
      <c r="K108" s="146" t="s">
        <v>25</v>
      </c>
      <c r="L108" s="146" t="s">
        <v>22</v>
      </c>
      <c r="M108" s="146" t="s">
        <v>22</v>
      </c>
      <c r="N108" s="146" t="s">
        <v>438</v>
      </c>
      <c r="O108" s="146" t="s">
        <v>140</v>
      </c>
      <c r="P108" s="146" t="s">
        <v>22</v>
      </c>
      <c r="Q108" s="146">
        <v>100.0</v>
      </c>
      <c r="R108" s="146" t="s">
        <v>25</v>
      </c>
      <c r="S108" s="146" t="s">
        <v>25</v>
      </c>
      <c r="T108" s="146" t="s">
        <v>25</v>
      </c>
      <c r="U108" s="146" t="s">
        <v>22</v>
      </c>
      <c r="V108" s="146" t="s">
        <v>22</v>
      </c>
      <c r="W108" s="146" t="s">
        <v>22</v>
      </c>
      <c r="X108" s="146" t="s">
        <v>22</v>
      </c>
      <c r="Y108" s="146" t="s">
        <v>22</v>
      </c>
      <c r="Z108" s="146" t="s">
        <v>25</v>
      </c>
      <c r="AA108" s="146" t="s">
        <v>22</v>
      </c>
      <c r="AB108" s="153">
        <v>39227.0</v>
      </c>
      <c r="AC108" s="146" t="s">
        <v>25</v>
      </c>
      <c r="AD108" s="151" t="s">
        <v>439</v>
      </c>
      <c r="AE108" s="151" t="s">
        <v>22</v>
      </c>
      <c r="AF108" s="151" t="s">
        <v>22</v>
      </c>
      <c r="AG108" s="151" t="s">
        <v>25</v>
      </c>
      <c r="AH108" s="151" t="s">
        <v>25</v>
      </c>
      <c r="AI108" s="151">
        <v>118527.2</v>
      </c>
      <c r="AJ108" s="146"/>
      <c r="AK108" s="155" t="s">
        <v>440</v>
      </c>
      <c r="AL108" s="151" t="s">
        <v>22</v>
      </c>
      <c r="AM108" s="151" t="s">
        <v>22</v>
      </c>
      <c r="AN108" s="151" t="s">
        <v>155</v>
      </c>
      <c r="AO108" s="151" t="s">
        <v>80</v>
      </c>
      <c r="AP108" s="151" t="s">
        <v>80</v>
      </c>
      <c r="AQ108" s="157"/>
      <c r="AR108" s="151" t="s">
        <v>190</v>
      </c>
      <c r="AS108" s="159">
        <v>46205.0</v>
      </c>
      <c r="AT108" s="160">
        <f>Calculo!AQ108</f>
        <v>-7</v>
      </c>
      <c r="AU108" s="166" t="str">
        <f>Calculo!AV108</f>
        <v>GRANDE-OU-FALINDO:</v>
      </c>
      <c r="AV108" s="162" t="str">
        <f>Calculo!AW108</f>
        <v>SE FALINDO SÓ ANTECIPADO | SE GRANDE BUROCR PEGAR CONTATOS FINANCEIRO</v>
      </c>
      <c r="AW108" s="161" t="str">
        <f>Calculo!AX108</f>
        <v>N/A</v>
      </c>
      <c r="AX108" s="161" t="str">
        <f>Calculo!K108</f>
        <v>SOLIC CONTRATO DE ENTREGA</v>
      </c>
      <c r="AY108" s="161" t="str">
        <f>Calculo!AY108</f>
        <v>N/A</v>
      </c>
      <c r="AZ108" s="161" t="str">
        <f>Calculo!AZ108</f>
        <v>N/A</v>
      </c>
      <c r="BA108" s="163"/>
    </row>
    <row r="109" ht="12.0" customHeight="1">
      <c r="A109" s="88" t="str">
        <f>'Parâmetros'!$A$19</f>
        <v>Rel. Básico PJ</v>
      </c>
      <c r="B109" s="146">
        <v>265.0</v>
      </c>
      <c r="C109" s="146">
        <v>25170.0</v>
      </c>
      <c r="D109" s="146" t="s">
        <v>142</v>
      </c>
      <c r="E109" s="149" t="s">
        <v>441</v>
      </c>
      <c r="F109" s="151">
        <v>6402.0</v>
      </c>
      <c r="G109" s="151" t="s">
        <v>147</v>
      </c>
      <c r="H109" s="146" t="s">
        <v>22</v>
      </c>
      <c r="I109" s="146" t="s">
        <v>25</v>
      </c>
      <c r="J109" s="146" t="s">
        <v>25</v>
      </c>
      <c r="K109" s="146" t="s">
        <v>25</v>
      </c>
      <c r="L109" s="146" t="s">
        <v>22</v>
      </c>
      <c r="M109" s="146" t="s">
        <v>25</v>
      </c>
      <c r="N109" s="146" t="s">
        <v>173</v>
      </c>
      <c r="O109" s="146">
        <v>0.0</v>
      </c>
      <c r="P109" s="146" t="s">
        <v>22</v>
      </c>
      <c r="Q109" s="146">
        <v>100.0</v>
      </c>
      <c r="R109" s="146" t="s">
        <v>25</v>
      </c>
      <c r="S109" s="146" t="s">
        <v>25</v>
      </c>
      <c r="T109" s="146" t="s">
        <v>25</v>
      </c>
      <c r="U109" s="146" t="s">
        <v>22</v>
      </c>
      <c r="V109" s="146" t="s">
        <v>22</v>
      </c>
      <c r="W109" s="146" t="s">
        <v>25</v>
      </c>
      <c r="X109" s="146" t="s">
        <v>22</v>
      </c>
      <c r="Y109" s="146" t="s">
        <v>22</v>
      </c>
      <c r="Z109" s="146" t="s">
        <v>25</v>
      </c>
      <c r="AA109" s="146" t="s">
        <v>22</v>
      </c>
      <c r="AB109" s="153">
        <v>39490.0</v>
      </c>
      <c r="AC109" s="146" t="s">
        <v>25</v>
      </c>
      <c r="AD109" s="151" t="s">
        <v>442</v>
      </c>
      <c r="AE109" s="151" t="s">
        <v>22</v>
      </c>
      <c r="AF109" s="151" t="s">
        <v>25</v>
      </c>
      <c r="AG109" s="151" t="s">
        <v>25</v>
      </c>
      <c r="AH109" s="151" t="s">
        <v>25</v>
      </c>
      <c r="AI109" s="151">
        <v>0.0</v>
      </c>
      <c r="AJ109" s="146">
        <v>819.0</v>
      </c>
      <c r="AK109" s="155" t="s">
        <v>443</v>
      </c>
      <c r="AL109" s="151" t="s">
        <v>22</v>
      </c>
      <c r="AM109" s="151" t="s">
        <v>22</v>
      </c>
      <c r="AN109" s="151" t="s">
        <v>155</v>
      </c>
      <c r="AO109" s="151" t="s">
        <v>80</v>
      </c>
      <c r="AP109" s="151" t="s">
        <v>80</v>
      </c>
      <c r="AQ109" s="157"/>
      <c r="AR109" s="151" t="s">
        <v>158</v>
      </c>
      <c r="AS109" s="159">
        <v>46205.0</v>
      </c>
      <c r="AT109" s="160">
        <f>Calculo!AQ109</f>
        <v>35</v>
      </c>
      <c r="AU109" s="161" t="str">
        <f>Calculo!AV109</f>
        <v>SEM-RISCO</v>
      </c>
      <c r="AV109" s="162" t="str">
        <f>Calculo!AW109</f>
        <v>LIBERADO</v>
      </c>
      <c r="AW109" s="161" t="str">
        <f>Calculo!AX109</f>
        <v>SOLICITAR PED COMPRA</v>
      </c>
      <c r="AX109" s="161" t="str">
        <f>Calculo!K109</f>
        <v>SOLIC CONTRATO DE ENTREGA</v>
      </c>
      <c r="AY109" s="161" t="str">
        <f>Calculo!AY109</f>
        <v>CHECAGEM REVERSA</v>
      </c>
      <c r="AZ109" s="161" t="str">
        <f>Calculo!AZ109</f>
        <v>N/A</v>
      </c>
      <c r="BA109" s="163"/>
    </row>
    <row r="110" ht="12.0" customHeight="1">
      <c r="A110" s="88" t="str">
        <f>'Parâmetros'!$A$19</f>
        <v>Rel. Básico PJ</v>
      </c>
      <c r="B110" s="146">
        <v>635.0</v>
      </c>
      <c r="C110" s="146">
        <v>25762.0</v>
      </c>
      <c r="D110" s="146" t="s">
        <v>176</v>
      </c>
      <c r="E110" s="149" t="s">
        <v>444</v>
      </c>
      <c r="F110" s="151">
        <v>1059.0</v>
      </c>
      <c r="G110" s="151" t="s">
        <v>147</v>
      </c>
      <c r="H110" s="146" t="s">
        <v>22</v>
      </c>
      <c r="I110" s="146" t="s">
        <v>25</v>
      </c>
      <c r="J110" s="146" t="s">
        <v>25</v>
      </c>
      <c r="K110" s="146" t="s">
        <v>25</v>
      </c>
      <c r="L110" s="146" t="s">
        <v>25</v>
      </c>
      <c r="M110" s="146" t="s">
        <v>22</v>
      </c>
      <c r="N110" s="146" t="s">
        <v>173</v>
      </c>
      <c r="O110" s="146">
        <v>5.0</v>
      </c>
      <c r="P110" s="146" t="s">
        <v>22</v>
      </c>
      <c r="Q110" s="146">
        <v>100.0</v>
      </c>
      <c r="R110" s="146" t="s">
        <v>25</v>
      </c>
      <c r="S110" s="146" t="s">
        <v>22</v>
      </c>
      <c r="T110" s="146" t="s">
        <v>22</v>
      </c>
      <c r="U110" s="146" t="s">
        <v>22</v>
      </c>
      <c r="V110" s="146" t="s">
        <v>22</v>
      </c>
      <c r="W110" s="146" t="s">
        <v>25</v>
      </c>
      <c r="X110" s="146" t="s">
        <v>22</v>
      </c>
      <c r="Y110" s="146" t="s">
        <v>22</v>
      </c>
      <c r="Z110" s="146" t="s">
        <v>25</v>
      </c>
      <c r="AA110" s="146" t="s">
        <v>22</v>
      </c>
      <c r="AB110" s="153">
        <v>36528.0</v>
      </c>
      <c r="AC110" s="146" t="s">
        <v>22</v>
      </c>
      <c r="AD110" s="151"/>
      <c r="AE110" s="151" t="s">
        <v>22</v>
      </c>
      <c r="AF110" s="151" t="s">
        <v>22</v>
      </c>
      <c r="AG110" s="151" t="s">
        <v>25</v>
      </c>
      <c r="AH110" s="151" t="s">
        <v>22</v>
      </c>
      <c r="AI110" s="151">
        <v>1083480.48</v>
      </c>
      <c r="AJ110" s="146">
        <v>631.0</v>
      </c>
      <c r="AK110" s="155" t="s">
        <v>390</v>
      </c>
      <c r="AL110" s="151" t="s">
        <v>22</v>
      </c>
      <c r="AM110" s="151" t="s">
        <v>22</v>
      </c>
      <c r="AN110" s="151" t="s">
        <v>155</v>
      </c>
      <c r="AO110" s="151" t="s">
        <v>80</v>
      </c>
      <c r="AP110" s="151" t="s">
        <v>80</v>
      </c>
      <c r="AQ110" s="164"/>
      <c r="AR110" s="151" t="s">
        <v>158</v>
      </c>
      <c r="AS110" s="159">
        <v>46209.0</v>
      </c>
      <c r="AT110" s="160">
        <f>Calculo!AQ110</f>
        <v>34</v>
      </c>
      <c r="AU110" s="161" t="str">
        <f>Calculo!AV110</f>
        <v>SEM-RISCO</v>
      </c>
      <c r="AV110" s="162" t="str">
        <f>Calculo!AW110</f>
        <v>LIBERADO</v>
      </c>
      <c r="AW110" s="161" t="str">
        <f>Calculo!AX110</f>
        <v>N/A</v>
      </c>
      <c r="AX110" s="161" t="str">
        <f>Calculo!K110</f>
        <v>N/A</v>
      </c>
      <c r="AY110" s="161" t="str">
        <f>Calculo!AY110</f>
        <v>N/A</v>
      </c>
      <c r="AZ110" s="161" t="str">
        <f>Calculo!AZ110</f>
        <v>N/A</v>
      </c>
      <c r="BA110" s="163"/>
    </row>
    <row r="111" ht="12.0" customHeight="1">
      <c r="A111" s="88" t="str">
        <f>'Parâmetros'!$A$19</f>
        <v>Rel. Básico PJ</v>
      </c>
      <c r="B111" s="146">
        <v>638.0</v>
      </c>
      <c r="C111" s="146">
        <v>25414.0</v>
      </c>
      <c r="D111" s="146" t="s">
        <v>176</v>
      </c>
      <c r="E111" s="149" t="s">
        <v>445</v>
      </c>
      <c r="F111" s="151">
        <v>43956.0</v>
      </c>
      <c r="G111" s="151" t="s">
        <v>147</v>
      </c>
      <c r="H111" s="146" t="s">
        <v>22</v>
      </c>
      <c r="I111" s="146" t="s">
        <v>25</v>
      </c>
      <c r="J111" s="146" t="s">
        <v>22</v>
      </c>
      <c r="K111" s="146" t="s">
        <v>25</v>
      </c>
      <c r="L111" s="146" t="s">
        <v>25</v>
      </c>
      <c r="M111" s="146" t="s">
        <v>22</v>
      </c>
      <c r="N111" s="146" t="s">
        <v>187</v>
      </c>
      <c r="O111" s="146">
        <v>5.0</v>
      </c>
      <c r="P111" s="146" t="s">
        <v>22</v>
      </c>
      <c r="Q111" s="146">
        <v>100.0</v>
      </c>
      <c r="R111" s="146" t="s">
        <v>25</v>
      </c>
      <c r="S111" s="146" t="s">
        <v>22</v>
      </c>
      <c r="T111" s="146" t="s">
        <v>25</v>
      </c>
      <c r="U111" s="146" t="s">
        <v>22</v>
      </c>
      <c r="V111" s="146" t="s">
        <v>22</v>
      </c>
      <c r="W111" s="146" t="s">
        <v>25</v>
      </c>
      <c r="X111" s="146" t="s">
        <v>22</v>
      </c>
      <c r="Y111" s="146" t="s">
        <v>22</v>
      </c>
      <c r="Z111" s="146" t="s">
        <v>25</v>
      </c>
      <c r="AA111" s="146" t="s">
        <v>22</v>
      </c>
      <c r="AB111" s="153">
        <v>34753.0</v>
      </c>
      <c r="AC111" s="146" t="s">
        <v>22</v>
      </c>
      <c r="AD111" s="151" t="s">
        <v>446</v>
      </c>
      <c r="AE111" s="151" t="s">
        <v>22</v>
      </c>
      <c r="AF111" s="151" t="s">
        <v>22</v>
      </c>
      <c r="AG111" s="151" t="s">
        <v>25</v>
      </c>
      <c r="AH111" s="151" t="s">
        <v>22</v>
      </c>
      <c r="AI111" s="151">
        <v>542781.71</v>
      </c>
      <c r="AJ111" s="146">
        <v>666.0</v>
      </c>
      <c r="AK111" s="155" t="s">
        <v>447</v>
      </c>
      <c r="AL111" s="151" t="s">
        <v>22</v>
      </c>
      <c r="AM111" s="151" t="s">
        <v>22</v>
      </c>
      <c r="AN111" s="151" t="s">
        <v>155</v>
      </c>
      <c r="AO111" s="151" t="s">
        <v>80</v>
      </c>
      <c r="AP111" s="151" t="s">
        <v>80</v>
      </c>
      <c r="AQ111" s="157" t="s">
        <v>448</v>
      </c>
      <c r="AR111" s="151" t="s">
        <v>158</v>
      </c>
      <c r="AS111" s="159">
        <v>46210.0</v>
      </c>
      <c r="AT111" s="160">
        <f>Calculo!AQ111</f>
        <v>-2</v>
      </c>
      <c r="AU111" s="166" t="str">
        <f>Calculo!AV111</f>
        <v>GRANDE-OU-FALINDO:</v>
      </c>
      <c r="AV111" s="162" t="str">
        <f>Calculo!AW111</f>
        <v>SE FALINDO SÓ ANTECIPADO | SE GRANDE BUROCR PEGAR CONTATOS FINANCEIRO</v>
      </c>
      <c r="AW111" s="161" t="str">
        <f>Calculo!AX111</f>
        <v>SOLICITAR PED COMPRA</v>
      </c>
      <c r="AX111" s="161" t="str">
        <f>Calculo!K111</f>
        <v>N/A</v>
      </c>
      <c r="AY111" s="161" t="str">
        <f>Calculo!AY111</f>
        <v>N/A</v>
      </c>
      <c r="AZ111" s="161" t="str">
        <f>Calculo!AZ111</f>
        <v>N/A</v>
      </c>
      <c r="BA111" s="163"/>
    </row>
    <row r="112" ht="12.0" customHeight="1">
      <c r="A112" s="88" t="str">
        <f>'Parâmetros'!$A$19</f>
        <v>Rel. Básico PJ</v>
      </c>
      <c r="B112" s="146">
        <v>269.0</v>
      </c>
      <c r="C112" s="146">
        <v>25748.0</v>
      </c>
      <c r="D112" s="146" t="s">
        <v>142</v>
      </c>
      <c r="E112" s="149" t="s">
        <v>449</v>
      </c>
      <c r="F112" s="151">
        <v>4413.1</v>
      </c>
      <c r="G112" s="151" t="s">
        <v>147</v>
      </c>
      <c r="H112" s="146" t="s">
        <v>22</v>
      </c>
      <c r="I112" s="146" t="s">
        <v>25</v>
      </c>
      <c r="J112" s="146" t="s">
        <v>25</v>
      </c>
      <c r="K112" s="146" t="s">
        <v>25</v>
      </c>
      <c r="L112" s="146" t="s">
        <v>22</v>
      </c>
      <c r="M112" s="146" t="s">
        <v>22</v>
      </c>
      <c r="N112" s="146" t="s">
        <v>178</v>
      </c>
      <c r="O112" s="146">
        <v>5.0</v>
      </c>
      <c r="P112" s="146" t="s">
        <v>25</v>
      </c>
      <c r="Q112" s="146">
        <v>100.0</v>
      </c>
      <c r="R112" s="146" t="s">
        <v>25</v>
      </c>
      <c r="S112" s="146" t="s">
        <v>25</v>
      </c>
      <c r="T112" s="146" t="s">
        <v>25</v>
      </c>
      <c r="U112" s="146" t="s">
        <v>22</v>
      </c>
      <c r="V112" s="146" t="s">
        <v>22</v>
      </c>
      <c r="W112" s="146" t="s">
        <v>25</v>
      </c>
      <c r="X112" s="146" t="s">
        <v>22</v>
      </c>
      <c r="Y112" s="146" t="s">
        <v>22</v>
      </c>
      <c r="Z112" s="146" t="s">
        <v>25</v>
      </c>
      <c r="AA112" s="146" t="s">
        <v>22</v>
      </c>
      <c r="AB112" s="153">
        <v>24573.0</v>
      </c>
      <c r="AC112" s="146" t="s">
        <v>22</v>
      </c>
      <c r="AD112" s="151"/>
      <c r="AE112" s="151" t="s">
        <v>22</v>
      </c>
      <c r="AF112" s="151" t="s">
        <v>25</v>
      </c>
      <c r="AG112" s="151" t="s">
        <v>25</v>
      </c>
      <c r="AH112" s="151" t="s">
        <v>25</v>
      </c>
      <c r="AI112" s="151">
        <v>0.0</v>
      </c>
      <c r="AJ112" s="146">
        <v>650.0</v>
      </c>
      <c r="AK112" s="155" t="s">
        <v>450</v>
      </c>
      <c r="AL112" s="151" t="s">
        <v>22</v>
      </c>
      <c r="AM112" s="151" t="s">
        <v>22</v>
      </c>
      <c r="AN112" s="151" t="s">
        <v>155</v>
      </c>
      <c r="AO112" s="151" t="s">
        <v>80</v>
      </c>
      <c r="AP112" s="151" t="s">
        <v>80</v>
      </c>
      <c r="AQ112" s="164"/>
      <c r="AR112" s="151" t="s">
        <v>158</v>
      </c>
      <c r="AS112" s="159">
        <v>46210.0</v>
      </c>
      <c r="AT112" s="160">
        <f>Calculo!AQ112</f>
        <v>34</v>
      </c>
      <c r="AU112" s="161" t="str">
        <f>Calculo!AV112</f>
        <v>SEM-RISCO</v>
      </c>
      <c r="AV112" s="162" t="str">
        <f>Calculo!AW112</f>
        <v>LIBERADO</v>
      </c>
      <c r="AW112" s="161" t="str">
        <f>Calculo!AX112</f>
        <v>N/A</v>
      </c>
      <c r="AX112" s="161" t="str">
        <f>Calculo!K112</f>
        <v>SOLIC CONTRATO DE ENTREGA</v>
      </c>
      <c r="AY112" s="161" t="str">
        <f>Calculo!AY112</f>
        <v>N/A</v>
      </c>
      <c r="AZ112" s="161" t="str">
        <f>Calculo!AZ112</f>
        <v>N/A</v>
      </c>
      <c r="BA112" s="163"/>
    </row>
    <row r="113" ht="12.0" customHeight="1">
      <c r="A113" s="88" t="str">
        <f>'Parâmetros'!$A$19</f>
        <v>Rel. Básico PJ</v>
      </c>
      <c r="B113" s="146">
        <v>270.0</v>
      </c>
      <c r="C113" s="146">
        <v>25839.0</v>
      </c>
      <c r="D113" s="146" t="s">
        <v>142</v>
      </c>
      <c r="E113" s="149" t="s">
        <v>451</v>
      </c>
      <c r="F113" s="151">
        <v>8660.0</v>
      </c>
      <c r="G113" s="151" t="s">
        <v>147</v>
      </c>
      <c r="H113" s="146" t="s">
        <v>22</v>
      </c>
      <c r="I113" s="146" t="s">
        <v>25</v>
      </c>
      <c r="J113" s="146" t="s">
        <v>25</v>
      </c>
      <c r="K113" s="146" t="s">
        <v>25</v>
      </c>
      <c r="L113" s="146" t="s">
        <v>22</v>
      </c>
      <c r="M113" s="146" t="s">
        <v>22</v>
      </c>
      <c r="N113" s="146" t="s">
        <v>173</v>
      </c>
      <c r="O113" s="146">
        <v>5.0</v>
      </c>
      <c r="P113" s="146" t="s">
        <v>25</v>
      </c>
      <c r="Q113" s="146">
        <v>100.0</v>
      </c>
      <c r="R113" s="146" t="s">
        <v>25</v>
      </c>
      <c r="S113" s="146" t="s">
        <v>25</v>
      </c>
      <c r="T113" s="146" t="s">
        <v>25</v>
      </c>
      <c r="U113" s="146" t="s">
        <v>22</v>
      </c>
      <c r="V113" s="146" t="s">
        <v>22</v>
      </c>
      <c r="W113" s="146" t="s">
        <v>25</v>
      </c>
      <c r="X113" s="146" t="s">
        <v>22</v>
      </c>
      <c r="Y113" s="146" t="s">
        <v>22</v>
      </c>
      <c r="Z113" s="146" t="s">
        <v>25</v>
      </c>
      <c r="AA113" s="146" t="s">
        <v>22</v>
      </c>
      <c r="AB113" s="153">
        <v>36916.0</v>
      </c>
      <c r="AC113" s="146" t="s">
        <v>25</v>
      </c>
      <c r="AD113" s="151" t="s">
        <v>452</v>
      </c>
      <c r="AE113" s="151" t="s">
        <v>22</v>
      </c>
      <c r="AF113" s="151" t="s">
        <v>22</v>
      </c>
      <c r="AG113" s="151" t="s">
        <v>25</v>
      </c>
      <c r="AH113" s="151" t="s">
        <v>22</v>
      </c>
      <c r="AI113" s="151">
        <v>19426.73</v>
      </c>
      <c r="AJ113" s="146">
        <v>598.0</v>
      </c>
      <c r="AK113" s="155" t="s">
        <v>453</v>
      </c>
      <c r="AL113" s="151" t="s">
        <v>22</v>
      </c>
      <c r="AM113" s="151" t="s">
        <v>22</v>
      </c>
      <c r="AN113" s="151" t="s">
        <v>155</v>
      </c>
      <c r="AO113" s="151" t="s">
        <v>80</v>
      </c>
      <c r="AP113" s="151" t="s">
        <v>80</v>
      </c>
      <c r="AQ113" s="164"/>
      <c r="AR113" s="151" t="s">
        <v>158</v>
      </c>
      <c r="AS113" s="159">
        <v>46210.0</v>
      </c>
      <c r="AT113" s="160">
        <f>Calculo!AQ113</f>
        <v>11</v>
      </c>
      <c r="AU113" s="161" t="str">
        <f>Calculo!AV113</f>
        <v>SEM-RISCO</v>
      </c>
      <c r="AV113" s="162" t="str">
        <f>Calculo!AW113</f>
        <v>LIBERADO</v>
      </c>
      <c r="AW113" s="161" t="str">
        <f>Calculo!AX113</f>
        <v>SOLICITAR PED COMPRA</v>
      </c>
      <c r="AX113" s="161" t="str">
        <f>Calculo!K113</f>
        <v>SOLIC CONTRATO DE ENTREGA</v>
      </c>
      <c r="AY113" s="161" t="str">
        <f>Calculo!AY113</f>
        <v>N/A</v>
      </c>
      <c r="AZ113" s="161" t="str">
        <f>Calculo!AZ113</f>
        <v>N/A</v>
      </c>
      <c r="BA113" s="163"/>
    </row>
    <row r="114" ht="12.0" customHeight="1">
      <c r="A114" s="88" t="str">
        <f>'Parâmetros'!$A$19</f>
        <v>Rel. Básico PJ</v>
      </c>
      <c r="B114" s="146">
        <v>272.0</v>
      </c>
      <c r="C114" s="146">
        <v>25788.0</v>
      </c>
      <c r="D114" s="146" t="s">
        <v>142</v>
      </c>
      <c r="E114" s="149" t="s">
        <v>454</v>
      </c>
      <c r="F114" s="151">
        <v>6819.0</v>
      </c>
      <c r="G114" s="151" t="s">
        <v>147</v>
      </c>
      <c r="H114" s="146" t="s">
        <v>22</v>
      </c>
      <c r="I114" s="146" t="s">
        <v>22</v>
      </c>
      <c r="J114" s="146" t="s">
        <v>25</v>
      </c>
      <c r="K114" s="146" t="s">
        <v>25</v>
      </c>
      <c r="L114" s="146" t="s">
        <v>22</v>
      </c>
      <c r="M114" s="146" t="s">
        <v>22</v>
      </c>
      <c r="N114" s="146" t="s">
        <v>173</v>
      </c>
      <c r="O114" s="146">
        <v>5.0</v>
      </c>
      <c r="P114" s="146" t="s">
        <v>22</v>
      </c>
      <c r="Q114" s="146">
        <v>100.0</v>
      </c>
      <c r="R114" s="146" t="s">
        <v>25</v>
      </c>
      <c r="S114" s="146" t="s">
        <v>25</v>
      </c>
      <c r="T114" s="146" t="s">
        <v>25</v>
      </c>
      <c r="U114" s="146" t="s">
        <v>22</v>
      </c>
      <c r="V114" s="146" t="s">
        <v>22</v>
      </c>
      <c r="W114" s="146" t="s">
        <v>22</v>
      </c>
      <c r="X114" s="146" t="s">
        <v>22</v>
      </c>
      <c r="Y114" s="146" t="s">
        <v>22</v>
      </c>
      <c r="Z114" s="146" t="s">
        <v>25</v>
      </c>
      <c r="AA114" s="146" t="s">
        <v>22</v>
      </c>
      <c r="AB114" s="153">
        <v>39953.0</v>
      </c>
      <c r="AC114" s="146" t="s">
        <v>25</v>
      </c>
      <c r="AD114" s="151" t="s">
        <v>455</v>
      </c>
      <c r="AE114" s="151" t="s">
        <v>22</v>
      </c>
      <c r="AF114" s="151" t="s">
        <v>22</v>
      </c>
      <c r="AG114" s="151" t="s">
        <v>25</v>
      </c>
      <c r="AH114" s="151" t="s">
        <v>22</v>
      </c>
      <c r="AI114" s="151">
        <v>1873.29</v>
      </c>
      <c r="AJ114" s="146">
        <v>403.0</v>
      </c>
      <c r="AK114" s="155" t="s">
        <v>456</v>
      </c>
      <c r="AL114" s="151" t="s">
        <v>22</v>
      </c>
      <c r="AM114" s="151" t="s">
        <v>22</v>
      </c>
      <c r="AN114" s="151" t="s">
        <v>155</v>
      </c>
      <c r="AO114" s="151" t="s">
        <v>80</v>
      </c>
      <c r="AP114" s="151" t="s">
        <v>80</v>
      </c>
      <c r="AQ114" s="157"/>
      <c r="AR114" s="151" t="s">
        <v>158</v>
      </c>
      <c r="AS114" s="159">
        <v>46211.0</v>
      </c>
      <c r="AT114" s="160">
        <f>Calculo!AQ114</f>
        <v>23</v>
      </c>
      <c r="AU114" s="161" t="str">
        <f>Calculo!AV114</f>
        <v>SEM-RISCO</v>
      </c>
      <c r="AV114" s="162" t="str">
        <f>Calculo!AW114</f>
        <v>LIBERADO</v>
      </c>
      <c r="AW114" s="161" t="str">
        <f>Calculo!AX114</f>
        <v>SOLICITAR PED COMPRA</v>
      </c>
      <c r="AX114" s="161" t="str">
        <f>Calculo!K114</f>
        <v>SOLIC CONTRATO DE ENTREGA</v>
      </c>
      <c r="AY114" s="161" t="str">
        <f>Calculo!AY114</f>
        <v>N/A</v>
      </c>
      <c r="AZ114" s="161" t="str">
        <f>Calculo!AZ114</f>
        <v>N/A</v>
      </c>
      <c r="BA114" s="163"/>
    </row>
    <row r="115" ht="12.0" customHeight="1">
      <c r="A115" s="88" t="str">
        <f>'Parâmetros'!$A$19</f>
        <v>Rel. Básico PJ</v>
      </c>
      <c r="B115" s="146" t="s">
        <v>140</v>
      </c>
      <c r="C115" s="146" t="s">
        <v>140</v>
      </c>
      <c r="D115" s="146" t="s">
        <v>142</v>
      </c>
      <c r="E115" s="149" t="s">
        <v>140</v>
      </c>
      <c r="F115" s="151">
        <v>8602.0</v>
      </c>
      <c r="G115" s="151" t="s">
        <v>147</v>
      </c>
      <c r="H115" s="146" t="s">
        <v>22</v>
      </c>
      <c r="I115" s="146" t="s">
        <v>25</v>
      </c>
      <c r="J115" s="146" t="s">
        <v>25</v>
      </c>
      <c r="K115" s="146" t="s">
        <v>25</v>
      </c>
      <c r="L115" s="146" t="s">
        <v>22</v>
      </c>
      <c r="M115" s="146" t="s">
        <v>25</v>
      </c>
      <c r="N115" s="146" t="s">
        <v>187</v>
      </c>
      <c r="O115" s="146">
        <v>0.0</v>
      </c>
      <c r="P115" s="146" t="s">
        <v>25</v>
      </c>
      <c r="Q115" s="146">
        <v>100.0</v>
      </c>
      <c r="R115" s="146" t="s">
        <v>25</v>
      </c>
      <c r="S115" s="146" t="s">
        <v>25</v>
      </c>
      <c r="T115" s="146" t="s">
        <v>25</v>
      </c>
      <c r="U115" s="146" t="s">
        <v>22</v>
      </c>
      <c r="V115" s="146" t="s">
        <v>22</v>
      </c>
      <c r="W115" s="146" t="s">
        <v>25</v>
      </c>
      <c r="X115" s="146" t="s">
        <v>22</v>
      </c>
      <c r="Y115" s="146" t="s">
        <v>22</v>
      </c>
      <c r="Z115" s="146" t="s">
        <v>25</v>
      </c>
      <c r="AA115" s="146" t="s">
        <v>22</v>
      </c>
      <c r="AB115" s="153">
        <v>45923.0</v>
      </c>
      <c r="AC115" s="146" t="s">
        <v>25</v>
      </c>
      <c r="AD115" s="151" t="s">
        <v>286</v>
      </c>
      <c r="AE115" s="151" t="s">
        <v>22</v>
      </c>
      <c r="AF115" s="151" t="s">
        <v>25</v>
      </c>
      <c r="AG115" s="151" t="s">
        <v>25</v>
      </c>
      <c r="AH115" s="151" t="s">
        <v>25</v>
      </c>
      <c r="AI115" s="151">
        <v>0.0</v>
      </c>
      <c r="AJ115" s="146">
        <v>304.0</v>
      </c>
      <c r="AK115" s="155" t="s">
        <v>457</v>
      </c>
      <c r="AL115" s="151" t="s">
        <v>25</v>
      </c>
      <c r="AM115" s="151" t="s">
        <v>25</v>
      </c>
      <c r="AN115" s="151" t="s">
        <v>155</v>
      </c>
      <c r="AO115" s="151" t="s">
        <v>80</v>
      </c>
      <c r="AP115" s="151" t="s">
        <v>80</v>
      </c>
      <c r="AQ115" s="157" t="s">
        <v>346</v>
      </c>
      <c r="AR115" s="151" t="s">
        <v>190</v>
      </c>
      <c r="AS115" s="159">
        <v>46211.0</v>
      </c>
      <c r="AT115" s="160">
        <f>Calculo!AQ115</f>
        <v>-21</v>
      </c>
      <c r="AU115" s="166" t="str">
        <f>Calculo!AV115</f>
        <v>GRANDE-OU-FALINDO:</v>
      </c>
      <c r="AV115" s="162" t="str">
        <f>Calculo!AW115</f>
        <v>SE FALINDO SÓ ANTECIPADO | SE GRANDE BUROCR PEGAR CONTATOS FINANCEIRO</v>
      </c>
      <c r="AW115" s="161" t="str">
        <f>Calculo!AX115</f>
        <v>SOLICITAR PED COMPRA</v>
      </c>
      <c r="AX115" s="161" t="str">
        <f>Calculo!K115</f>
        <v>SOLIC CONTRATO DE ENTREGA</v>
      </c>
      <c r="AY115" s="161" t="str">
        <f>Calculo!AY115</f>
        <v>CHECAGEM REVERSA</v>
      </c>
      <c r="AZ115" s="161" t="str">
        <f>Calculo!AZ115</f>
        <v>N/A</v>
      </c>
      <c r="BA115" s="163"/>
    </row>
    <row r="116" ht="12.0" customHeight="1">
      <c r="A116" s="88" t="str">
        <f>'Parâmetros'!$A$19</f>
        <v>Rel. Básico PJ</v>
      </c>
      <c r="B116" s="146">
        <v>274.0</v>
      </c>
      <c r="C116" s="146">
        <v>25868.0</v>
      </c>
      <c r="D116" s="146" t="s">
        <v>142</v>
      </c>
      <c r="E116" s="149" t="s">
        <v>458</v>
      </c>
      <c r="F116" s="151">
        <v>6940.0</v>
      </c>
      <c r="G116" s="151" t="s">
        <v>147</v>
      </c>
      <c r="H116" s="146" t="s">
        <v>22</v>
      </c>
      <c r="I116" s="146" t="s">
        <v>25</v>
      </c>
      <c r="J116" s="146" t="s">
        <v>25</v>
      </c>
      <c r="K116" s="146" t="s">
        <v>25</v>
      </c>
      <c r="L116" s="146" t="s">
        <v>22</v>
      </c>
      <c r="M116" s="146" t="s">
        <v>22</v>
      </c>
      <c r="N116" s="146" t="s">
        <v>173</v>
      </c>
      <c r="O116" s="146" t="s">
        <v>140</v>
      </c>
      <c r="P116" s="146" t="s">
        <v>22</v>
      </c>
      <c r="Q116" s="146">
        <v>100.0</v>
      </c>
      <c r="R116" s="146" t="s">
        <v>25</v>
      </c>
      <c r="S116" s="146" t="s">
        <v>25</v>
      </c>
      <c r="T116" s="146" t="s">
        <v>25</v>
      </c>
      <c r="U116" s="146" t="s">
        <v>22</v>
      </c>
      <c r="V116" s="146" t="s">
        <v>22</v>
      </c>
      <c r="W116" s="146" t="s">
        <v>25</v>
      </c>
      <c r="X116" s="146" t="s">
        <v>22</v>
      </c>
      <c r="Y116" s="146" t="s">
        <v>22</v>
      </c>
      <c r="Z116" s="146" t="s">
        <v>25</v>
      </c>
      <c r="AA116" s="146" t="s">
        <v>22</v>
      </c>
      <c r="AB116" s="153">
        <v>42775.0</v>
      </c>
      <c r="AC116" s="146" t="s">
        <v>25</v>
      </c>
      <c r="AD116" s="151" t="s">
        <v>459</v>
      </c>
      <c r="AE116" s="151" t="s">
        <v>22</v>
      </c>
      <c r="AF116" s="151" t="s">
        <v>25</v>
      </c>
      <c r="AG116" s="151" t="s">
        <v>25</v>
      </c>
      <c r="AH116" s="151" t="s">
        <v>22</v>
      </c>
      <c r="AI116" s="151">
        <v>3.355568236E7</v>
      </c>
      <c r="AJ116" s="146"/>
      <c r="AK116" s="155" t="s">
        <v>460</v>
      </c>
      <c r="AL116" s="151" t="s">
        <v>22</v>
      </c>
      <c r="AM116" s="151" t="s">
        <v>22</v>
      </c>
      <c r="AN116" s="151" t="s">
        <v>155</v>
      </c>
      <c r="AO116" s="151" t="s">
        <v>80</v>
      </c>
      <c r="AP116" s="151" t="s">
        <v>80</v>
      </c>
      <c r="AQ116" s="157"/>
      <c r="AR116" s="151" t="s">
        <v>190</v>
      </c>
      <c r="AS116" s="159">
        <v>46211.0</v>
      </c>
      <c r="AT116" s="160">
        <f>Calculo!AQ116</f>
        <v>-14</v>
      </c>
      <c r="AU116" s="166" t="str">
        <f>Calculo!AV116</f>
        <v>GRANDE-OU-FALINDO:</v>
      </c>
      <c r="AV116" s="162" t="str">
        <f>Calculo!AW116</f>
        <v>SE FALINDO SÓ ANTECIPADO | SE GRANDE BUROCR PEGAR CONTATOS FINANCEIRO</v>
      </c>
      <c r="AW116" s="161" t="str">
        <f>Calculo!AX116</f>
        <v>SOLICITAR PED COMPRA</v>
      </c>
      <c r="AX116" s="161" t="str">
        <f>Calculo!K116</f>
        <v>SOLIC CONTRATO DE ENTREGA</v>
      </c>
      <c r="AY116" s="161" t="str">
        <f>Calculo!AY116</f>
        <v>N/A</v>
      </c>
      <c r="AZ116" s="161" t="str">
        <f>Calculo!AZ116</f>
        <v>N/A</v>
      </c>
      <c r="BA116" s="163"/>
    </row>
    <row r="117" ht="12.0" customHeight="1">
      <c r="A117" s="88" t="str">
        <f>'Parâmetros'!$A$19</f>
        <v>Rel. Básico PJ</v>
      </c>
      <c r="B117" s="146">
        <v>276.0</v>
      </c>
      <c r="C117" s="146">
        <v>25892.0</v>
      </c>
      <c r="D117" s="146" t="s">
        <v>142</v>
      </c>
      <c r="E117" s="149" t="s">
        <v>332</v>
      </c>
      <c r="F117" s="151">
        <v>7336.0</v>
      </c>
      <c r="G117" s="151" t="s">
        <v>147</v>
      </c>
      <c r="H117" s="146" t="s">
        <v>22</v>
      </c>
      <c r="I117" s="146" t="s">
        <v>25</v>
      </c>
      <c r="J117" s="146" t="s">
        <v>25</v>
      </c>
      <c r="K117" s="146" t="s">
        <v>25</v>
      </c>
      <c r="L117" s="146" t="s">
        <v>22</v>
      </c>
      <c r="M117" s="146" t="s">
        <v>22</v>
      </c>
      <c r="N117" s="146" t="s">
        <v>173</v>
      </c>
      <c r="O117" s="146">
        <v>5.0</v>
      </c>
      <c r="P117" s="146" t="s">
        <v>25</v>
      </c>
      <c r="Q117" s="146">
        <v>100.0</v>
      </c>
      <c r="R117" s="146" t="s">
        <v>22</v>
      </c>
      <c r="S117" s="146" t="s">
        <v>22</v>
      </c>
      <c r="T117" s="146" t="s">
        <v>25</v>
      </c>
      <c r="U117" s="146" t="s">
        <v>22</v>
      </c>
      <c r="V117" s="146" t="s">
        <v>22</v>
      </c>
      <c r="W117" s="146" t="s">
        <v>25</v>
      </c>
      <c r="X117" s="146" t="s">
        <v>22</v>
      </c>
      <c r="Y117" s="146" t="s">
        <v>22</v>
      </c>
      <c r="Z117" s="146" t="s">
        <v>25</v>
      </c>
      <c r="AA117" s="146" t="s">
        <v>22</v>
      </c>
      <c r="AB117" s="153">
        <v>44309.0</v>
      </c>
      <c r="AC117" s="146" t="s">
        <v>25</v>
      </c>
      <c r="AD117" s="151" t="s">
        <v>333</v>
      </c>
      <c r="AE117" s="151" t="s">
        <v>22</v>
      </c>
      <c r="AF117" s="151" t="s">
        <v>25</v>
      </c>
      <c r="AG117" s="151" t="s">
        <v>25</v>
      </c>
      <c r="AH117" s="151" t="s">
        <v>22</v>
      </c>
      <c r="AI117" s="151">
        <v>2333.48</v>
      </c>
      <c r="AJ117" s="146">
        <v>548.0</v>
      </c>
      <c r="AK117" s="155" t="s">
        <v>334</v>
      </c>
      <c r="AL117" s="151" t="s">
        <v>22</v>
      </c>
      <c r="AM117" s="151" t="s">
        <v>25</v>
      </c>
      <c r="AN117" s="151" t="s">
        <v>155</v>
      </c>
      <c r="AO117" s="151" t="s">
        <v>80</v>
      </c>
      <c r="AP117" s="151" t="s">
        <v>80</v>
      </c>
      <c r="AQ117" s="164"/>
      <c r="AR117" s="151" t="s">
        <v>158</v>
      </c>
      <c r="AS117" s="159">
        <v>46216.0</v>
      </c>
      <c r="AT117" s="160">
        <f>Calculo!AQ117</f>
        <v>15</v>
      </c>
      <c r="AU117" s="161" t="str">
        <f>Calculo!AV117</f>
        <v>SEM-RISCO</v>
      </c>
      <c r="AV117" s="162" t="str">
        <f>Calculo!AW117</f>
        <v>LIBERADO</v>
      </c>
      <c r="AW117" s="161" t="str">
        <f>Calculo!AX117</f>
        <v>SOLICITAR PED COMPRA</v>
      </c>
      <c r="AX117" s="161" t="str">
        <f>Calculo!K117</f>
        <v>SOLIC CONTRATO DE ENTREGA</v>
      </c>
      <c r="AY117" s="161" t="str">
        <f>Calculo!AY117</f>
        <v>N/A</v>
      </c>
      <c r="AZ117" s="161" t="str">
        <f>Calculo!AZ117</f>
        <v>N/A</v>
      </c>
      <c r="BA117" s="163"/>
    </row>
    <row r="118" ht="12.0" customHeight="1">
      <c r="A118" s="88" t="str">
        <f>'Parâmetros'!$A$19</f>
        <v>Rel. Básico PJ</v>
      </c>
      <c r="B118" s="146" t="s">
        <v>140</v>
      </c>
      <c r="C118" s="146" t="s">
        <v>140</v>
      </c>
      <c r="D118" s="146" t="s">
        <v>142</v>
      </c>
      <c r="E118" s="149" t="s">
        <v>140</v>
      </c>
      <c r="F118" s="151">
        <v>24071.52</v>
      </c>
      <c r="G118" s="151" t="s">
        <v>147</v>
      </c>
      <c r="H118" s="146" t="s">
        <v>22</v>
      </c>
      <c r="I118" s="146" t="s">
        <v>22</v>
      </c>
      <c r="J118" s="146" t="s">
        <v>25</v>
      </c>
      <c r="K118" s="146" t="s">
        <v>25</v>
      </c>
      <c r="L118" s="146" t="s">
        <v>22</v>
      </c>
      <c r="M118" s="146" t="s">
        <v>25</v>
      </c>
      <c r="N118" s="146" t="s">
        <v>208</v>
      </c>
      <c r="O118" s="146">
        <v>0.0</v>
      </c>
      <c r="P118" s="146" t="s">
        <v>25</v>
      </c>
      <c r="Q118" s="146">
        <v>100.0</v>
      </c>
      <c r="R118" s="146" t="s">
        <v>25</v>
      </c>
      <c r="S118" s="146" t="s">
        <v>25</v>
      </c>
      <c r="T118" s="146" t="s">
        <v>25</v>
      </c>
      <c r="U118" s="146" t="s">
        <v>22</v>
      </c>
      <c r="V118" s="146" t="s">
        <v>22</v>
      </c>
      <c r="W118" s="146" t="s">
        <v>25</v>
      </c>
      <c r="X118" s="146" t="s">
        <v>22</v>
      </c>
      <c r="Y118" s="146" t="s">
        <v>22</v>
      </c>
      <c r="Z118" s="146" t="s">
        <v>22</v>
      </c>
      <c r="AA118" s="146" t="s">
        <v>22</v>
      </c>
      <c r="AB118" s="153">
        <v>44328.0</v>
      </c>
      <c r="AC118" s="146" t="s">
        <v>25</v>
      </c>
      <c r="AD118" s="151" t="s">
        <v>392</v>
      </c>
      <c r="AE118" s="151" t="s">
        <v>22</v>
      </c>
      <c r="AF118" s="151" t="s">
        <v>22</v>
      </c>
      <c r="AG118" s="151" t="s">
        <v>25</v>
      </c>
      <c r="AH118" s="151" t="s">
        <v>22</v>
      </c>
      <c r="AI118" s="151">
        <v>61865.8</v>
      </c>
      <c r="AJ118" s="146"/>
      <c r="AK118" s="155" t="s">
        <v>461</v>
      </c>
      <c r="AL118" s="151" t="s">
        <v>22</v>
      </c>
      <c r="AM118" s="151" t="s">
        <v>22</v>
      </c>
      <c r="AN118" s="151" t="s">
        <v>155</v>
      </c>
      <c r="AO118" s="151" t="s">
        <v>80</v>
      </c>
      <c r="AP118" s="151" t="s">
        <v>80</v>
      </c>
      <c r="AQ118" s="157" t="s">
        <v>434</v>
      </c>
      <c r="AR118" s="151" t="s">
        <v>190</v>
      </c>
      <c r="AS118" s="159">
        <v>46216.0</v>
      </c>
      <c r="AT118" s="160">
        <f>Calculo!AQ118</f>
        <v>-42</v>
      </c>
      <c r="AU118" s="166" t="str">
        <f>Calculo!AV118</f>
        <v>GRANDE-OU-FALINDO:</v>
      </c>
      <c r="AV118" s="162" t="str">
        <f>Calculo!AW118</f>
        <v>SE FALINDO SÓ ANTECIPADO | SE GRANDE BUROCR PEGAR CONTATOS FINANCEIRO</v>
      </c>
      <c r="AW118" s="161" t="str">
        <f>Calculo!AX118</f>
        <v>SOLICITAR PED COMPRA</v>
      </c>
      <c r="AX118" s="161" t="str">
        <f>Calculo!K118</f>
        <v>SOLIC CONTRATO DE ENTREGA</v>
      </c>
      <c r="AY118" s="161" t="str">
        <f>Calculo!AY118</f>
        <v>CHECAGEM REVERSA</v>
      </c>
      <c r="AZ118" s="161" t="str">
        <f>Calculo!AZ118</f>
        <v>N/A</v>
      </c>
      <c r="BA118" s="163"/>
    </row>
    <row r="119" ht="12.0" customHeight="1">
      <c r="A119" s="88" t="str">
        <f>'Parâmetros'!$A$19</f>
        <v>Rel. Básico PJ</v>
      </c>
      <c r="B119" s="146">
        <v>279.0</v>
      </c>
      <c r="C119" s="146">
        <v>25654.0</v>
      </c>
      <c r="D119" s="146" t="s">
        <v>142</v>
      </c>
      <c r="E119" s="149" t="s">
        <v>462</v>
      </c>
      <c r="F119" s="151">
        <v>6982.0</v>
      </c>
      <c r="G119" s="151" t="s">
        <v>147</v>
      </c>
      <c r="H119" s="146" t="s">
        <v>22</v>
      </c>
      <c r="I119" s="146" t="s">
        <v>25</v>
      </c>
      <c r="J119" s="146" t="s">
        <v>25</v>
      </c>
      <c r="K119" s="146" t="s">
        <v>25</v>
      </c>
      <c r="L119" s="146" t="s">
        <v>25</v>
      </c>
      <c r="M119" s="146" t="s">
        <v>22</v>
      </c>
      <c r="N119" s="146" t="s">
        <v>187</v>
      </c>
      <c r="O119" s="146">
        <v>5.0</v>
      </c>
      <c r="P119" s="146" t="s">
        <v>22</v>
      </c>
      <c r="Q119" s="146">
        <v>100.0</v>
      </c>
      <c r="R119" s="146" t="s">
        <v>25</v>
      </c>
      <c r="S119" s="146" t="s">
        <v>25</v>
      </c>
      <c r="T119" s="146" t="s">
        <v>25</v>
      </c>
      <c r="U119" s="146" t="s">
        <v>22</v>
      </c>
      <c r="V119" s="146" t="s">
        <v>22</v>
      </c>
      <c r="W119" s="146" t="s">
        <v>25</v>
      </c>
      <c r="X119" s="146" t="s">
        <v>22</v>
      </c>
      <c r="Y119" s="146" t="s">
        <v>22</v>
      </c>
      <c r="Z119" s="146" t="s">
        <v>25</v>
      </c>
      <c r="AA119" s="146" t="s">
        <v>22</v>
      </c>
      <c r="AB119" s="153">
        <v>36054.0</v>
      </c>
      <c r="AC119" s="146" t="s">
        <v>25</v>
      </c>
      <c r="AD119" s="151" t="s">
        <v>463</v>
      </c>
      <c r="AE119" s="151" t="s">
        <v>22</v>
      </c>
      <c r="AF119" s="151" t="s">
        <v>25</v>
      </c>
      <c r="AG119" s="151" t="s">
        <v>25</v>
      </c>
      <c r="AH119" s="151" t="s">
        <v>22</v>
      </c>
      <c r="AI119" s="151">
        <v>56473.14</v>
      </c>
      <c r="AJ119" s="146">
        <v>695.0</v>
      </c>
      <c r="AK119" s="155" t="s">
        <v>464</v>
      </c>
      <c r="AL119" s="151" t="s">
        <v>22</v>
      </c>
      <c r="AM119" s="151" t="s">
        <v>22</v>
      </c>
      <c r="AN119" s="151" t="s">
        <v>155</v>
      </c>
      <c r="AO119" s="151" t="s">
        <v>80</v>
      </c>
      <c r="AP119" s="151" t="s">
        <v>80</v>
      </c>
      <c r="AQ119" s="157" t="s">
        <v>465</v>
      </c>
      <c r="AR119" s="151"/>
      <c r="AS119" s="159">
        <v>46216.0</v>
      </c>
      <c r="AT119" s="160">
        <f>Calculo!AQ119</f>
        <v>5</v>
      </c>
      <c r="AU119" s="166" t="str">
        <f>Calculo!AV119</f>
        <v>GRANDE-OU-FALINDO:</v>
      </c>
      <c r="AV119" s="162" t="str">
        <f>Calculo!AW119</f>
        <v>SE FALINDO SÓ ANTECIPADO | SE GRANDE BUROCR PEGAR CONTATOS FINANCEIRO</v>
      </c>
      <c r="AW119" s="161" t="str">
        <f>Calculo!AX119</f>
        <v>SOLICITAR PED COMPRA</v>
      </c>
      <c r="AX119" s="161" t="str">
        <f>Calculo!K119</f>
        <v>N/A</v>
      </c>
      <c r="AY119" s="161" t="str">
        <f>Calculo!AY119</f>
        <v>N/A</v>
      </c>
      <c r="AZ119" s="161" t="str">
        <f>Calculo!AZ119</f>
        <v>N/A</v>
      </c>
      <c r="BA119" s="163"/>
    </row>
    <row r="120" ht="12.0" customHeight="1">
      <c r="A120" s="88" t="str">
        <f>'Parâmetros'!$A$19</f>
        <v>Rel. Básico PJ</v>
      </c>
      <c r="B120" s="146">
        <v>280.0</v>
      </c>
      <c r="C120" s="146">
        <v>25901.0</v>
      </c>
      <c r="D120" s="146" t="s">
        <v>142</v>
      </c>
      <c r="E120" s="149" t="s">
        <v>466</v>
      </c>
      <c r="F120" s="151">
        <v>4523.0</v>
      </c>
      <c r="G120" s="151" t="s">
        <v>147</v>
      </c>
      <c r="H120" s="146" t="s">
        <v>22</v>
      </c>
      <c r="I120" s="146" t="s">
        <v>25</v>
      </c>
      <c r="J120" s="146" t="s">
        <v>25</v>
      </c>
      <c r="K120" s="146" t="s">
        <v>25</v>
      </c>
      <c r="L120" s="146" t="s">
        <v>22</v>
      </c>
      <c r="M120" s="146" t="s">
        <v>22</v>
      </c>
      <c r="N120" s="146" t="s">
        <v>148</v>
      </c>
      <c r="O120" s="146" t="s">
        <v>140</v>
      </c>
      <c r="P120" s="146" t="s">
        <v>22</v>
      </c>
      <c r="Q120" s="146">
        <v>100.0</v>
      </c>
      <c r="R120" s="146" t="s">
        <v>25</v>
      </c>
      <c r="S120" s="146" t="s">
        <v>22</v>
      </c>
      <c r="T120" s="146" t="s">
        <v>25</v>
      </c>
      <c r="U120" s="146" t="s">
        <v>22</v>
      </c>
      <c r="V120" s="146" t="s">
        <v>22</v>
      </c>
      <c r="W120" s="146" t="s">
        <v>22</v>
      </c>
      <c r="X120" s="146" t="s">
        <v>22</v>
      </c>
      <c r="Y120" s="146" t="s">
        <v>22</v>
      </c>
      <c r="Z120" s="146" t="s">
        <v>25</v>
      </c>
      <c r="AA120" s="146" t="s">
        <v>22</v>
      </c>
      <c r="AB120" s="153">
        <v>38566.0</v>
      </c>
      <c r="AC120" s="146" t="s">
        <v>22</v>
      </c>
      <c r="AD120" s="151" t="s">
        <v>467</v>
      </c>
      <c r="AE120" s="151" t="s">
        <v>22</v>
      </c>
      <c r="AF120" s="151" t="s">
        <v>25</v>
      </c>
      <c r="AG120" s="151" t="s">
        <v>25</v>
      </c>
      <c r="AH120" s="151" t="s">
        <v>25</v>
      </c>
      <c r="AI120" s="151">
        <v>0.0</v>
      </c>
      <c r="AJ120" s="146">
        <v>608.0</v>
      </c>
      <c r="AK120" s="155" t="s">
        <v>468</v>
      </c>
      <c r="AL120" s="151" t="s">
        <v>22</v>
      </c>
      <c r="AM120" s="151" t="s">
        <v>22</v>
      </c>
      <c r="AN120" s="151" t="s">
        <v>155</v>
      </c>
      <c r="AO120" s="151" t="s">
        <v>80</v>
      </c>
      <c r="AP120" s="151" t="s">
        <v>80</v>
      </c>
      <c r="AQ120" s="164"/>
      <c r="AR120" s="151" t="s">
        <v>158</v>
      </c>
      <c r="AS120" s="159">
        <v>46217.0</v>
      </c>
      <c r="AT120" s="160">
        <f>Calculo!AQ120</f>
        <v>50</v>
      </c>
      <c r="AU120" s="161" t="str">
        <f>Calculo!AV120</f>
        <v>SEM-RISCO</v>
      </c>
      <c r="AV120" s="162" t="str">
        <f>Calculo!AW120</f>
        <v>LIBERADO</v>
      </c>
      <c r="AW120" s="161" t="str">
        <f>Calculo!AX120</f>
        <v>N/A</v>
      </c>
      <c r="AX120" s="161" t="str">
        <f>Calculo!K120</f>
        <v>SOLIC CONTRATO DE ENTREGA</v>
      </c>
      <c r="AY120" s="161" t="str">
        <f>Calculo!AY120</f>
        <v>N/A</v>
      </c>
      <c r="AZ120" s="161" t="str">
        <f>Calculo!AZ120</f>
        <v>N/A</v>
      </c>
      <c r="BA120" s="163"/>
    </row>
    <row r="121" ht="12.0" customHeight="1">
      <c r="A121" s="88" t="str">
        <f>'Parâmetros'!$A$19</f>
        <v>Rel. Básico PJ</v>
      </c>
      <c r="B121" s="146">
        <v>281.0</v>
      </c>
      <c r="C121" s="146">
        <v>25902.0</v>
      </c>
      <c r="D121" s="146" t="s">
        <v>142</v>
      </c>
      <c r="E121" s="149" t="s">
        <v>469</v>
      </c>
      <c r="F121" s="151">
        <v>4493.0</v>
      </c>
      <c r="G121" s="151" t="s">
        <v>147</v>
      </c>
      <c r="H121" s="146" t="s">
        <v>22</v>
      </c>
      <c r="I121" s="146" t="s">
        <v>25</v>
      </c>
      <c r="J121" s="146" t="s">
        <v>25</v>
      </c>
      <c r="K121" s="146" t="s">
        <v>25</v>
      </c>
      <c r="L121" s="146" t="s">
        <v>22</v>
      </c>
      <c r="M121" s="146" t="s">
        <v>22</v>
      </c>
      <c r="N121" s="146" t="s">
        <v>148</v>
      </c>
      <c r="O121" s="146" t="s">
        <v>140</v>
      </c>
      <c r="P121" s="146" t="s">
        <v>22</v>
      </c>
      <c r="Q121" s="146">
        <v>100.0</v>
      </c>
      <c r="R121" s="146" t="s">
        <v>25</v>
      </c>
      <c r="S121" s="146" t="s">
        <v>22</v>
      </c>
      <c r="T121" s="146" t="s">
        <v>25</v>
      </c>
      <c r="U121" s="146" t="s">
        <v>22</v>
      </c>
      <c r="V121" s="146" t="s">
        <v>22</v>
      </c>
      <c r="W121" s="146" t="s">
        <v>22</v>
      </c>
      <c r="X121" s="146" t="s">
        <v>22</v>
      </c>
      <c r="Y121" s="146" t="s">
        <v>22</v>
      </c>
      <c r="Z121" s="146" t="s">
        <v>25</v>
      </c>
      <c r="AA121" s="146" t="s">
        <v>22</v>
      </c>
      <c r="AB121" s="153">
        <v>38566.0</v>
      </c>
      <c r="AC121" s="146" t="s">
        <v>22</v>
      </c>
      <c r="AD121" s="151" t="s">
        <v>467</v>
      </c>
      <c r="AE121" s="151" t="s">
        <v>22</v>
      </c>
      <c r="AF121" s="151" t="s">
        <v>25</v>
      </c>
      <c r="AG121" s="151" t="s">
        <v>25</v>
      </c>
      <c r="AH121" s="151" t="s">
        <v>25</v>
      </c>
      <c r="AI121" s="151">
        <v>0.0</v>
      </c>
      <c r="AJ121" s="146">
        <v>608.0</v>
      </c>
      <c r="AK121" s="155" t="s">
        <v>468</v>
      </c>
      <c r="AL121" s="151" t="s">
        <v>22</v>
      </c>
      <c r="AM121" s="151" t="s">
        <v>22</v>
      </c>
      <c r="AN121" s="151" t="s">
        <v>155</v>
      </c>
      <c r="AO121" s="151" t="s">
        <v>80</v>
      </c>
      <c r="AP121" s="151" t="s">
        <v>80</v>
      </c>
      <c r="AQ121" s="157"/>
      <c r="AR121" s="151" t="s">
        <v>158</v>
      </c>
      <c r="AS121" s="159">
        <v>46217.0</v>
      </c>
      <c r="AT121" s="160">
        <f>Calculo!AQ121</f>
        <v>50</v>
      </c>
      <c r="AU121" s="161" t="str">
        <f>Calculo!AV121</f>
        <v>SEM-RISCO</v>
      </c>
      <c r="AV121" s="162" t="str">
        <f>Calculo!AW121</f>
        <v>LIBERADO</v>
      </c>
      <c r="AW121" s="161" t="str">
        <f>Calculo!AX121</f>
        <v>N/A</v>
      </c>
      <c r="AX121" s="161" t="str">
        <f>Calculo!K121</f>
        <v>SOLIC CONTRATO DE ENTREGA</v>
      </c>
      <c r="AY121" s="161" t="str">
        <f>Calculo!AY121</f>
        <v>N/A</v>
      </c>
      <c r="AZ121" s="161" t="str">
        <f>Calculo!AZ121</f>
        <v>N/A</v>
      </c>
      <c r="BA121" s="163"/>
    </row>
    <row r="122" ht="12.0" customHeight="1">
      <c r="A122" s="88" t="str">
        <f>'Parâmetros'!$A$19</f>
        <v>Rel. Básico PJ</v>
      </c>
      <c r="B122" s="146">
        <v>282.0</v>
      </c>
      <c r="C122" s="146">
        <v>25903.0</v>
      </c>
      <c r="D122" s="146" t="s">
        <v>142</v>
      </c>
      <c r="E122" s="149" t="s">
        <v>470</v>
      </c>
      <c r="F122" s="151">
        <v>4493.0</v>
      </c>
      <c r="G122" s="151" t="s">
        <v>147</v>
      </c>
      <c r="H122" s="146" t="s">
        <v>22</v>
      </c>
      <c r="I122" s="146" t="s">
        <v>25</v>
      </c>
      <c r="J122" s="146" t="s">
        <v>25</v>
      </c>
      <c r="K122" s="146" t="s">
        <v>25</v>
      </c>
      <c r="L122" s="146" t="s">
        <v>22</v>
      </c>
      <c r="M122" s="146" t="s">
        <v>22</v>
      </c>
      <c r="N122" s="146" t="s">
        <v>148</v>
      </c>
      <c r="O122" s="146" t="s">
        <v>140</v>
      </c>
      <c r="P122" s="146" t="s">
        <v>22</v>
      </c>
      <c r="Q122" s="146">
        <v>100.0</v>
      </c>
      <c r="R122" s="146" t="s">
        <v>25</v>
      </c>
      <c r="S122" s="146" t="s">
        <v>22</v>
      </c>
      <c r="T122" s="146" t="s">
        <v>25</v>
      </c>
      <c r="U122" s="146" t="s">
        <v>22</v>
      </c>
      <c r="V122" s="146" t="s">
        <v>22</v>
      </c>
      <c r="W122" s="146" t="s">
        <v>22</v>
      </c>
      <c r="X122" s="146" t="s">
        <v>22</v>
      </c>
      <c r="Y122" s="146" t="s">
        <v>22</v>
      </c>
      <c r="Z122" s="146" t="s">
        <v>25</v>
      </c>
      <c r="AA122" s="146" t="s">
        <v>22</v>
      </c>
      <c r="AB122" s="153">
        <v>38566.0</v>
      </c>
      <c r="AC122" s="146" t="s">
        <v>22</v>
      </c>
      <c r="AD122" s="151" t="s">
        <v>467</v>
      </c>
      <c r="AE122" s="151" t="s">
        <v>22</v>
      </c>
      <c r="AF122" s="151" t="s">
        <v>25</v>
      </c>
      <c r="AG122" s="151" t="s">
        <v>25</v>
      </c>
      <c r="AH122" s="151" t="s">
        <v>25</v>
      </c>
      <c r="AI122" s="151">
        <v>0.0</v>
      </c>
      <c r="AJ122" s="146">
        <v>608.0</v>
      </c>
      <c r="AK122" s="155" t="s">
        <v>468</v>
      </c>
      <c r="AL122" s="151" t="s">
        <v>22</v>
      </c>
      <c r="AM122" s="151" t="s">
        <v>22</v>
      </c>
      <c r="AN122" s="151" t="s">
        <v>155</v>
      </c>
      <c r="AO122" s="151" t="s">
        <v>80</v>
      </c>
      <c r="AP122" s="151" t="s">
        <v>80</v>
      </c>
      <c r="AQ122" s="164"/>
      <c r="AR122" s="151" t="s">
        <v>158</v>
      </c>
      <c r="AS122" s="159">
        <v>46217.0</v>
      </c>
      <c r="AT122" s="160">
        <f>Calculo!AQ122</f>
        <v>50</v>
      </c>
      <c r="AU122" s="161" t="str">
        <f>Calculo!AV122</f>
        <v>SEM-RISCO</v>
      </c>
      <c r="AV122" s="162" t="str">
        <f>Calculo!AW122</f>
        <v>LIBERADO</v>
      </c>
      <c r="AW122" s="161" t="str">
        <f>Calculo!AX122</f>
        <v>N/A</v>
      </c>
      <c r="AX122" s="161" t="str">
        <f>Calculo!K122</f>
        <v>SOLIC CONTRATO DE ENTREGA</v>
      </c>
      <c r="AY122" s="161" t="str">
        <f>Calculo!AY122</f>
        <v>N/A</v>
      </c>
      <c r="AZ122" s="161" t="str">
        <f>Calculo!AZ122</f>
        <v>N/A</v>
      </c>
      <c r="BA122" s="163"/>
    </row>
    <row r="123" ht="12.0" customHeight="1">
      <c r="A123" s="88" t="str">
        <f>'Parâmetros'!$A$19</f>
        <v>Rel. Básico PJ</v>
      </c>
      <c r="B123" s="146">
        <v>652.0</v>
      </c>
      <c r="C123" s="146">
        <v>25933.0</v>
      </c>
      <c r="D123" s="146" t="s">
        <v>176</v>
      </c>
      <c r="E123" s="149" t="s">
        <v>471</v>
      </c>
      <c r="F123" s="151">
        <v>8520.0</v>
      </c>
      <c r="G123" s="151" t="s">
        <v>147</v>
      </c>
      <c r="H123" s="146" t="s">
        <v>22</v>
      </c>
      <c r="I123" s="146" t="s">
        <v>25</v>
      </c>
      <c r="J123" s="146" t="s">
        <v>25</v>
      </c>
      <c r="K123" s="146" t="s">
        <v>25</v>
      </c>
      <c r="L123" s="146" t="s">
        <v>22</v>
      </c>
      <c r="M123" s="146" t="s">
        <v>22</v>
      </c>
      <c r="N123" s="146" t="s">
        <v>165</v>
      </c>
      <c r="O123" s="146">
        <v>5.0</v>
      </c>
      <c r="P123" s="146" t="s">
        <v>25</v>
      </c>
      <c r="Q123" s="146">
        <v>100.0</v>
      </c>
      <c r="R123" s="146" t="s">
        <v>25</v>
      </c>
      <c r="S123" s="146" t="s">
        <v>22</v>
      </c>
      <c r="T123" s="146" t="s">
        <v>25</v>
      </c>
      <c r="U123" s="146" t="s">
        <v>22</v>
      </c>
      <c r="V123" s="146" t="s">
        <v>22</v>
      </c>
      <c r="W123" s="146" t="s">
        <v>25</v>
      </c>
      <c r="X123" s="146" t="s">
        <v>22</v>
      </c>
      <c r="Y123" s="146" t="s">
        <v>22</v>
      </c>
      <c r="Z123" s="146" t="s">
        <v>25</v>
      </c>
      <c r="AA123" s="146" t="s">
        <v>22</v>
      </c>
      <c r="AB123" s="153">
        <v>39129.0</v>
      </c>
      <c r="AC123" s="146" t="s">
        <v>22</v>
      </c>
      <c r="AD123" s="151" t="s">
        <v>354</v>
      </c>
      <c r="AE123" s="151" t="s">
        <v>22</v>
      </c>
      <c r="AF123" s="151" t="s">
        <v>22</v>
      </c>
      <c r="AG123" s="151" t="s">
        <v>25</v>
      </c>
      <c r="AH123" s="151" t="s">
        <v>22</v>
      </c>
      <c r="AI123" s="151">
        <v>85934.4</v>
      </c>
      <c r="AJ123" s="146">
        <v>405.0</v>
      </c>
      <c r="AK123" s="155" t="s">
        <v>355</v>
      </c>
      <c r="AL123" s="151" t="s">
        <v>22</v>
      </c>
      <c r="AM123" s="151" t="s">
        <v>22</v>
      </c>
      <c r="AN123" s="151" t="s">
        <v>155</v>
      </c>
      <c r="AO123" s="151" t="s">
        <v>80</v>
      </c>
      <c r="AP123" s="151" t="s">
        <v>80</v>
      </c>
      <c r="AQ123" s="164"/>
      <c r="AR123" s="151" t="s">
        <v>158</v>
      </c>
      <c r="AS123" s="159">
        <v>46217.0</v>
      </c>
      <c r="AT123" s="160">
        <f>Calculo!AQ123</f>
        <v>20</v>
      </c>
      <c r="AU123" s="161" t="str">
        <f>Calculo!AV123</f>
        <v>SEM-RISCO</v>
      </c>
      <c r="AV123" s="162" t="str">
        <f>Calculo!AW123</f>
        <v>LIBERADO</v>
      </c>
      <c r="AW123" s="161" t="str">
        <f>Calculo!AX123</f>
        <v>SOLICITAR PED COMPRA</v>
      </c>
      <c r="AX123" s="161" t="str">
        <f>Calculo!K123</f>
        <v>SOLIC CONTRATO DE ENTREGA</v>
      </c>
      <c r="AY123" s="161" t="str">
        <f>Calculo!AY123</f>
        <v>N/A</v>
      </c>
      <c r="AZ123" s="161" t="str">
        <f>Calculo!AZ123</f>
        <v>N/A</v>
      </c>
      <c r="BA123" s="163"/>
    </row>
    <row r="124" ht="12.0" customHeight="1">
      <c r="A124" s="88" t="str">
        <f>'Parâmetros'!$A$19</f>
        <v>Rel. Básico PJ</v>
      </c>
      <c r="B124" s="146">
        <v>1878.0</v>
      </c>
      <c r="C124" s="146">
        <v>25932.0</v>
      </c>
      <c r="D124" s="146" t="s">
        <v>142</v>
      </c>
      <c r="E124" s="149" t="s">
        <v>277</v>
      </c>
      <c r="F124" s="151">
        <v>906.0</v>
      </c>
      <c r="G124" s="151" t="s">
        <v>147</v>
      </c>
      <c r="H124" s="146" t="s">
        <v>22</v>
      </c>
      <c r="I124" s="146" t="s">
        <v>25</v>
      </c>
      <c r="J124" s="146" t="s">
        <v>25</v>
      </c>
      <c r="K124" s="146" t="s">
        <v>25</v>
      </c>
      <c r="L124" s="146" t="s">
        <v>25</v>
      </c>
      <c r="M124" s="146" t="s">
        <v>25</v>
      </c>
      <c r="N124" s="146" t="s">
        <v>173</v>
      </c>
      <c r="O124" s="146">
        <v>0.0</v>
      </c>
      <c r="P124" s="146" t="s">
        <v>25</v>
      </c>
      <c r="Q124" s="146">
        <v>100.0</v>
      </c>
      <c r="R124" s="146" t="s">
        <v>25</v>
      </c>
      <c r="S124" s="146" t="s">
        <v>22</v>
      </c>
      <c r="T124" s="146" t="s">
        <v>22</v>
      </c>
      <c r="U124" s="146" t="s">
        <v>22</v>
      </c>
      <c r="V124" s="146" t="s">
        <v>22</v>
      </c>
      <c r="W124" s="146" t="s">
        <v>25</v>
      </c>
      <c r="X124" s="146" t="s">
        <v>22</v>
      </c>
      <c r="Y124" s="146" t="s">
        <v>22</v>
      </c>
      <c r="Z124" s="146" t="s">
        <v>25</v>
      </c>
      <c r="AA124" s="146" t="s">
        <v>22</v>
      </c>
      <c r="AB124" s="153">
        <v>24596.0</v>
      </c>
      <c r="AC124" s="146" t="s">
        <v>25</v>
      </c>
      <c r="AD124" s="151"/>
      <c r="AE124" s="151" t="s">
        <v>22</v>
      </c>
      <c r="AF124" s="151" t="s">
        <v>22</v>
      </c>
      <c r="AG124" s="151" t="s">
        <v>25</v>
      </c>
      <c r="AH124" s="151" t="s">
        <v>25</v>
      </c>
      <c r="AI124" s="151">
        <v>5682788.88</v>
      </c>
      <c r="AJ124" s="146">
        <v>643.0</v>
      </c>
      <c r="AK124" s="155" t="s">
        <v>278</v>
      </c>
      <c r="AL124" s="151" t="s">
        <v>22</v>
      </c>
      <c r="AM124" s="151" t="s">
        <v>22</v>
      </c>
      <c r="AN124" s="151" t="s">
        <v>155</v>
      </c>
      <c r="AO124" s="151" t="s">
        <v>80</v>
      </c>
      <c r="AP124" s="151" t="s">
        <v>80</v>
      </c>
      <c r="AQ124" s="157"/>
      <c r="AR124" s="151" t="s">
        <v>158</v>
      </c>
      <c r="AS124" s="159">
        <v>46218.0</v>
      </c>
      <c r="AT124" s="160">
        <f>Calculo!AQ124</f>
        <v>31</v>
      </c>
      <c r="AU124" s="161" t="str">
        <f>Calculo!AV124</f>
        <v>SEM-RISCO</v>
      </c>
      <c r="AV124" s="162" t="str">
        <f>Calculo!AW124</f>
        <v>LIBERADO</v>
      </c>
      <c r="AW124" s="161" t="str">
        <f>Calculo!AX124</f>
        <v>N/A</v>
      </c>
      <c r="AX124" s="161" t="str">
        <f>Calculo!K124</f>
        <v>N/A</v>
      </c>
      <c r="AY124" s="161" t="str">
        <f>Calculo!AY124</f>
        <v>CHECAGEM REVERSA</v>
      </c>
      <c r="AZ124" s="161" t="str">
        <f>Calculo!AZ124</f>
        <v>N/A</v>
      </c>
      <c r="BA124" s="163"/>
    </row>
    <row r="125" ht="12.0" customHeight="1">
      <c r="A125" s="88" t="str">
        <f>'Parâmetros'!$A$19</f>
        <v>Rel. Básico PJ</v>
      </c>
      <c r="B125" s="146">
        <v>653.0</v>
      </c>
      <c r="C125" s="146">
        <v>25668.0</v>
      </c>
      <c r="D125" s="146" t="s">
        <v>176</v>
      </c>
      <c r="E125" s="149" t="s">
        <v>472</v>
      </c>
      <c r="F125" s="151">
        <v>4280.0</v>
      </c>
      <c r="G125" s="151" t="s">
        <v>147</v>
      </c>
      <c r="H125" s="146" t="s">
        <v>22</v>
      </c>
      <c r="I125" s="146" t="s">
        <v>22</v>
      </c>
      <c r="J125" s="146" t="s">
        <v>25</v>
      </c>
      <c r="K125" s="146" t="s">
        <v>25</v>
      </c>
      <c r="L125" s="146" t="s">
        <v>22</v>
      </c>
      <c r="M125" s="146" t="s">
        <v>22</v>
      </c>
      <c r="N125" s="146" t="s">
        <v>173</v>
      </c>
      <c r="O125" s="146" t="s">
        <v>140</v>
      </c>
      <c r="P125" s="146" t="s">
        <v>22</v>
      </c>
      <c r="Q125" s="146">
        <v>100.0</v>
      </c>
      <c r="R125" s="146" t="s">
        <v>25</v>
      </c>
      <c r="S125" s="146" t="s">
        <v>25</v>
      </c>
      <c r="T125" s="146" t="s">
        <v>25</v>
      </c>
      <c r="U125" s="146" t="s">
        <v>22</v>
      </c>
      <c r="V125" s="146" t="s">
        <v>22</v>
      </c>
      <c r="W125" s="146" t="s">
        <v>22</v>
      </c>
      <c r="X125" s="146" t="s">
        <v>22</v>
      </c>
      <c r="Y125" s="146" t="s">
        <v>22</v>
      </c>
      <c r="Z125" s="146" t="s">
        <v>25</v>
      </c>
      <c r="AA125" s="146" t="s">
        <v>22</v>
      </c>
      <c r="AB125" s="153">
        <v>45044.0</v>
      </c>
      <c r="AC125" s="146" t="s">
        <v>25</v>
      </c>
      <c r="AD125" s="151" t="s">
        <v>473</v>
      </c>
      <c r="AE125" s="151" t="s">
        <v>22</v>
      </c>
      <c r="AF125" s="151" t="s">
        <v>25</v>
      </c>
      <c r="AG125" s="151" t="s">
        <v>25</v>
      </c>
      <c r="AH125" s="151" t="s">
        <v>25</v>
      </c>
      <c r="AI125" s="151">
        <v>0.0</v>
      </c>
      <c r="AJ125" s="146"/>
      <c r="AK125" s="155" t="s">
        <v>474</v>
      </c>
      <c r="AL125" s="151" t="s">
        <v>22</v>
      </c>
      <c r="AM125" s="151" t="s">
        <v>22</v>
      </c>
      <c r="AN125" s="151" t="s">
        <v>155</v>
      </c>
      <c r="AO125" s="151" t="s">
        <v>80</v>
      </c>
      <c r="AP125" s="151" t="s">
        <v>80</v>
      </c>
      <c r="AQ125" s="157"/>
      <c r="AR125" s="151" t="s">
        <v>158</v>
      </c>
      <c r="AS125" s="159">
        <v>46218.0</v>
      </c>
      <c r="AT125" s="160">
        <f>Calculo!AQ125</f>
        <v>15</v>
      </c>
      <c r="AU125" s="161" t="str">
        <f>Calculo!AV125</f>
        <v>SEM-RISCO</v>
      </c>
      <c r="AV125" s="162" t="str">
        <f>Calculo!AW125</f>
        <v>LIBERADO</v>
      </c>
      <c r="AW125" s="161" t="str">
        <f>Calculo!AX125</f>
        <v>N/A</v>
      </c>
      <c r="AX125" s="161" t="str">
        <f>Calculo!K125</f>
        <v>SOLIC CONTRATO DE ENTREGA</v>
      </c>
      <c r="AY125" s="161" t="str">
        <f>Calculo!AY125</f>
        <v>N/A</v>
      </c>
      <c r="AZ125" s="161" t="str">
        <f>Calculo!AZ125</f>
        <v>N/A</v>
      </c>
      <c r="BA125" s="163"/>
    </row>
    <row r="126" ht="12.0" customHeight="1">
      <c r="A126" s="88" t="str">
        <f>'Parâmetros'!$A$19</f>
        <v>Rel. Básico PJ</v>
      </c>
      <c r="B126" s="146">
        <v>286.0</v>
      </c>
      <c r="C126" s="146">
        <v>25861.0</v>
      </c>
      <c r="D126" s="146" t="s">
        <v>142</v>
      </c>
      <c r="E126" s="149" t="s">
        <v>214</v>
      </c>
      <c r="F126" s="151">
        <v>2154.0</v>
      </c>
      <c r="G126" s="151" t="s">
        <v>147</v>
      </c>
      <c r="H126" s="146" t="s">
        <v>22</v>
      </c>
      <c r="I126" s="146" t="s">
        <v>25</v>
      </c>
      <c r="J126" s="146" t="s">
        <v>25</v>
      </c>
      <c r="K126" s="146" t="s">
        <v>25</v>
      </c>
      <c r="L126" s="146" t="s">
        <v>25</v>
      </c>
      <c r="M126" s="146" t="s">
        <v>25</v>
      </c>
      <c r="N126" s="146" t="s">
        <v>229</v>
      </c>
      <c r="O126" s="146">
        <v>0.0</v>
      </c>
      <c r="P126" s="146" t="s">
        <v>22</v>
      </c>
      <c r="Q126" s="146">
        <v>100.0</v>
      </c>
      <c r="R126" s="146" t="s">
        <v>22</v>
      </c>
      <c r="S126" s="146" t="s">
        <v>22</v>
      </c>
      <c r="T126" s="146" t="s">
        <v>25</v>
      </c>
      <c r="U126" s="146" t="s">
        <v>22</v>
      </c>
      <c r="V126" s="146" t="s">
        <v>22</v>
      </c>
      <c r="W126" s="146" t="s">
        <v>25</v>
      </c>
      <c r="X126" s="146" t="s">
        <v>22</v>
      </c>
      <c r="Y126" s="146" t="s">
        <v>22</v>
      </c>
      <c r="Z126" s="146" t="s">
        <v>25</v>
      </c>
      <c r="AA126" s="146" t="s">
        <v>22</v>
      </c>
      <c r="AB126" s="153">
        <v>30124.0</v>
      </c>
      <c r="AC126" s="146" t="s">
        <v>22</v>
      </c>
      <c r="AD126" s="151" t="s">
        <v>192</v>
      </c>
      <c r="AE126" s="151" t="s">
        <v>22</v>
      </c>
      <c r="AF126" s="151" t="s">
        <v>22</v>
      </c>
      <c r="AG126" s="151" t="s">
        <v>25</v>
      </c>
      <c r="AH126" s="151" t="s">
        <v>25</v>
      </c>
      <c r="AI126" s="151">
        <v>2607177.99</v>
      </c>
      <c r="AJ126" s="146"/>
      <c r="AK126" s="155" t="s">
        <v>193</v>
      </c>
      <c r="AL126" s="151" t="s">
        <v>22</v>
      </c>
      <c r="AM126" s="151" t="s">
        <v>22</v>
      </c>
      <c r="AN126" s="151" t="s">
        <v>155</v>
      </c>
      <c r="AO126" s="151" t="s">
        <v>80</v>
      </c>
      <c r="AP126" s="151" t="s">
        <v>80</v>
      </c>
      <c r="AQ126" s="157"/>
      <c r="AR126" s="151" t="s">
        <v>158</v>
      </c>
      <c r="AS126" s="159">
        <v>46219.0</v>
      </c>
      <c r="AT126" s="160">
        <f>Calculo!AQ126</f>
        <v>8</v>
      </c>
      <c r="AU126" s="161" t="str">
        <f>Calculo!AV126</f>
        <v>SEM-RISCO</v>
      </c>
      <c r="AV126" s="162" t="str">
        <f>Calculo!AW126</f>
        <v>LIBERADO</v>
      </c>
      <c r="AW126" s="161" t="str">
        <f>Calculo!AX126</f>
        <v>N/A</v>
      </c>
      <c r="AX126" s="161" t="str">
        <f>Calculo!K126</f>
        <v>N/A</v>
      </c>
      <c r="AY126" s="161" t="str">
        <f>Calculo!AY126</f>
        <v>CHECAGEM REVERSA</v>
      </c>
      <c r="AZ126" s="161" t="str">
        <f>Calculo!AZ126</f>
        <v>N/A</v>
      </c>
      <c r="BA126" s="163"/>
    </row>
    <row r="127" ht="12.0" customHeight="1">
      <c r="A127" s="88" t="str">
        <f>'Parâmetros'!$A$19</f>
        <v>Rel. Básico PJ</v>
      </c>
      <c r="B127" s="146">
        <v>287.0</v>
      </c>
      <c r="C127" s="146">
        <v>25967.0</v>
      </c>
      <c r="D127" s="146" t="s">
        <v>142</v>
      </c>
      <c r="E127" s="149" t="s">
        <v>214</v>
      </c>
      <c r="F127" s="151">
        <v>718.0</v>
      </c>
      <c r="G127" s="151" t="s">
        <v>147</v>
      </c>
      <c r="H127" s="146" t="s">
        <v>22</v>
      </c>
      <c r="I127" s="146" t="s">
        <v>25</v>
      </c>
      <c r="J127" s="146" t="s">
        <v>25</v>
      </c>
      <c r="K127" s="146" t="s">
        <v>25</v>
      </c>
      <c r="L127" s="146" t="s">
        <v>25</v>
      </c>
      <c r="M127" s="146" t="s">
        <v>25</v>
      </c>
      <c r="N127" s="146" t="s">
        <v>229</v>
      </c>
      <c r="O127" s="146">
        <v>0.0</v>
      </c>
      <c r="P127" s="146" t="s">
        <v>22</v>
      </c>
      <c r="Q127" s="146">
        <v>100.0</v>
      </c>
      <c r="R127" s="146" t="s">
        <v>22</v>
      </c>
      <c r="S127" s="146" t="s">
        <v>22</v>
      </c>
      <c r="T127" s="146" t="s">
        <v>25</v>
      </c>
      <c r="U127" s="146" t="s">
        <v>22</v>
      </c>
      <c r="V127" s="146" t="s">
        <v>22</v>
      </c>
      <c r="W127" s="146" t="s">
        <v>25</v>
      </c>
      <c r="X127" s="146" t="s">
        <v>22</v>
      </c>
      <c r="Y127" s="146" t="s">
        <v>22</v>
      </c>
      <c r="Z127" s="146" t="s">
        <v>25</v>
      </c>
      <c r="AA127" s="146" t="s">
        <v>22</v>
      </c>
      <c r="AB127" s="153">
        <v>30124.0</v>
      </c>
      <c r="AC127" s="146" t="s">
        <v>22</v>
      </c>
      <c r="AD127" s="151" t="s">
        <v>192</v>
      </c>
      <c r="AE127" s="151" t="s">
        <v>22</v>
      </c>
      <c r="AF127" s="151" t="s">
        <v>22</v>
      </c>
      <c r="AG127" s="151" t="s">
        <v>25</v>
      </c>
      <c r="AH127" s="151" t="s">
        <v>25</v>
      </c>
      <c r="AI127" s="151">
        <v>2607177.99</v>
      </c>
      <c r="AJ127" s="146"/>
      <c r="AK127" s="155" t="s">
        <v>193</v>
      </c>
      <c r="AL127" s="151" t="s">
        <v>22</v>
      </c>
      <c r="AM127" s="151" t="s">
        <v>22</v>
      </c>
      <c r="AN127" s="151" t="s">
        <v>155</v>
      </c>
      <c r="AO127" s="151" t="s">
        <v>80</v>
      </c>
      <c r="AP127" s="151" t="s">
        <v>80</v>
      </c>
      <c r="AQ127" s="164"/>
      <c r="AR127" s="151" t="s">
        <v>158</v>
      </c>
      <c r="AS127" s="159">
        <v>46219.0</v>
      </c>
      <c r="AT127" s="160">
        <f>Calculo!AQ127</f>
        <v>8</v>
      </c>
      <c r="AU127" s="161" t="str">
        <f>Calculo!AV127</f>
        <v>SEM-RISCO</v>
      </c>
      <c r="AV127" s="162" t="str">
        <f>Calculo!AW127</f>
        <v>LIBERADO</v>
      </c>
      <c r="AW127" s="161" t="str">
        <f>Calculo!AX127</f>
        <v>N/A</v>
      </c>
      <c r="AX127" s="161" t="str">
        <f>Calculo!K127</f>
        <v>N/A</v>
      </c>
      <c r="AY127" s="161" t="str">
        <f>Calculo!AY127</f>
        <v>CHECAGEM REVERSA</v>
      </c>
      <c r="AZ127" s="161" t="str">
        <f>Calculo!AZ127</f>
        <v>N/A</v>
      </c>
      <c r="BA127" s="163"/>
    </row>
    <row r="128" ht="12.0" customHeight="1">
      <c r="A128" s="88" t="str">
        <f>'Parâmetros'!$A$19</f>
        <v>Rel. Básico PJ</v>
      </c>
      <c r="B128" s="146">
        <v>661.0</v>
      </c>
      <c r="C128" s="146">
        <v>24679.0</v>
      </c>
      <c r="D128" s="146" t="s">
        <v>176</v>
      </c>
      <c r="E128" s="149" t="s">
        <v>475</v>
      </c>
      <c r="F128" s="151">
        <v>4300.0</v>
      </c>
      <c r="G128" s="151" t="s">
        <v>147</v>
      </c>
      <c r="H128" s="146" t="s">
        <v>22</v>
      </c>
      <c r="I128" s="146" t="s">
        <v>25</v>
      </c>
      <c r="J128" s="146" t="s">
        <v>25</v>
      </c>
      <c r="K128" s="146" t="s">
        <v>25</v>
      </c>
      <c r="L128" s="146" t="s">
        <v>22</v>
      </c>
      <c r="M128" s="146" t="s">
        <v>22</v>
      </c>
      <c r="N128" s="146" t="s">
        <v>229</v>
      </c>
      <c r="O128" s="146" t="s">
        <v>140</v>
      </c>
      <c r="P128" s="146" t="s">
        <v>22</v>
      </c>
      <c r="Q128" s="146">
        <v>100.0</v>
      </c>
      <c r="R128" s="146" t="s">
        <v>25</v>
      </c>
      <c r="S128" s="146" t="s">
        <v>25</v>
      </c>
      <c r="T128" s="146" t="s">
        <v>25</v>
      </c>
      <c r="U128" s="146" t="s">
        <v>22</v>
      </c>
      <c r="V128" s="146" t="s">
        <v>22</v>
      </c>
      <c r="W128" s="146" t="s">
        <v>22</v>
      </c>
      <c r="X128" s="146" t="s">
        <v>22</v>
      </c>
      <c r="Y128" s="146" t="s">
        <v>22</v>
      </c>
      <c r="Z128" s="146" t="s">
        <v>25</v>
      </c>
      <c r="AA128" s="146" t="s">
        <v>22</v>
      </c>
      <c r="AB128" s="153">
        <v>32847.0</v>
      </c>
      <c r="AC128" s="146" t="s">
        <v>22</v>
      </c>
      <c r="AD128" s="151" t="s">
        <v>476</v>
      </c>
      <c r="AE128" s="151" t="s">
        <v>22</v>
      </c>
      <c r="AF128" s="151" t="s">
        <v>22</v>
      </c>
      <c r="AG128" s="151" t="s">
        <v>25</v>
      </c>
      <c r="AH128" s="151" t="s">
        <v>22</v>
      </c>
      <c r="AI128" s="151">
        <v>101743.81</v>
      </c>
      <c r="AJ128" s="146">
        <v>706.0</v>
      </c>
      <c r="AK128" s="155" t="s">
        <v>477</v>
      </c>
      <c r="AL128" s="151" t="s">
        <v>22</v>
      </c>
      <c r="AM128" s="151" t="s">
        <v>22</v>
      </c>
      <c r="AN128" s="151" t="s">
        <v>155</v>
      </c>
      <c r="AO128" s="151" t="s">
        <v>80</v>
      </c>
      <c r="AP128" s="151" t="s">
        <v>80</v>
      </c>
      <c r="AQ128" s="164"/>
      <c r="AR128" s="151" t="s">
        <v>158</v>
      </c>
      <c r="AS128" s="159">
        <v>46219.0</v>
      </c>
      <c r="AT128" s="160">
        <f>Calculo!AQ128</f>
        <v>15</v>
      </c>
      <c r="AU128" s="161" t="str">
        <f>Calculo!AV128</f>
        <v>SEM-RISCO</v>
      </c>
      <c r="AV128" s="162" t="str">
        <f>Calculo!AW128</f>
        <v>LIBERADO</v>
      </c>
      <c r="AW128" s="161" t="str">
        <f>Calculo!AX128</f>
        <v>N/A</v>
      </c>
      <c r="AX128" s="161" t="str">
        <f>Calculo!K128</f>
        <v>SOLIC CONTRATO DE ENTREGA</v>
      </c>
      <c r="AY128" s="161" t="str">
        <f>Calculo!AY128</f>
        <v>N/A</v>
      </c>
      <c r="AZ128" s="161" t="str">
        <f>Calculo!AZ128</f>
        <v>N/A</v>
      </c>
      <c r="BA128" s="163"/>
    </row>
    <row r="129" ht="12.0" customHeight="1">
      <c r="A129" s="88" t="str">
        <f>'Parâmetros'!$A$19</f>
        <v>Rel. Básico PJ</v>
      </c>
      <c r="B129" s="146">
        <v>290.0</v>
      </c>
      <c r="C129" s="146">
        <v>25982.0</v>
      </c>
      <c r="D129" s="146" t="s">
        <v>142</v>
      </c>
      <c r="E129" s="149" t="s">
        <v>478</v>
      </c>
      <c r="F129" s="151">
        <v>7729.0</v>
      </c>
      <c r="G129" s="151" t="s">
        <v>147</v>
      </c>
      <c r="H129" s="146" t="s">
        <v>22</v>
      </c>
      <c r="I129" s="146" t="s">
        <v>25</v>
      </c>
      <c r="J129" s="146" t="s">
        <v>25</v>
      </c>
      <c r="K129" s="146" t="s">
        <v>25</v>
      </c>
      <c r="L129" s="146" t="s">
        <v>22</v>
      </c>
      <c r="M129" s="146" t="s">
        <v>25</v>
      </c>
      <c r="N129" s="146" t="s">
        <v>173</v>
      </c>
      <c r="O129" s="146">
        <v>5.0</v>
      </c>
      <c r="P129" s="146">
        <v>0.0</v>
      </c>
      <c r="Q129" s="146">
        <v>100.0</v>
      </c>
      <c r="R129" s="146" t="s">
        <v>25</v>
      </c>
      <c r="S129" s="146" t="s">
        <v>25</v>
      </c>
      <c r="T129" s="146" t="s">
        <v>25</v>
      </c>
      <c r="U129" s="146" t="s">
        <v>22</v>
      </c>
      <c r="V129" s="146" t="s">
        <v>22</v>
      </c>
      <c r="W129" s="146" t="s">
        <v>25</v>
      </c>
      <c r="X129" s="146" t="s">
        <v>22</v>
      </c>
      <c r="Y129" s="146" t="s">
        <v>22</v>
      </c>
      <c r="Z129" s="146" t="s">
        <v>25</v>
      </c>
      <c r="AA129" s="146" t="s">
        <v>22</v>
      </c>
      <c r="AB129" s="153">
        <v>24314.0</v>
      </c>
      <c r="AC129" s="146" t="s">
        <v>25</v>
      </c>
      <c r="AD129" s="151" t="s">
        <v>479</v>
      </c>
      <c r="AE129" s="151" t="s">
        <v>22</v>
      </c>
      <c r="AF129" s="151" t="s">
        <v>25</v>
      </c>
      <c r="AG129" s="151" t="s">
        <v>25</v>
      </c>
      <c r="AH129" s="151" t="s">
        <v>25</v>
      </c>
      <c r="AI129" s="151">
        <v>0.0</v>
      </c>
      <c r="AJ129" s="146">
        <v>747.0</v>
      </c>
      <c r="AK129" s="155" t="s">
        <v>480</v>
      </c>
      <c r="AL129" s="151" t="s">
        <v>22</v>
      </c>
      <c r="AM129" s="151" t="s">
        <v>22</v>
      </c>
      <c r="AN129" s="151" t="s">
        <v>155</v>
      </c>
      <c r="AO129" s="151" t="s">
        <v>80</v>
      </c>
      <c r="AP129" s="151" t="s">
        <v>80</v>
      </c>
      <c r="AQ129" s="157"/>
      <c r="AR129" s="151" t="s">
        <v>158</v>
      </c>
      <c r="AS129" s="159">
        <v>46223.0</v>
      </c>
      <c r="AT129" s="160">
        <f>Calculo!AQ129</f>
        <v>39</v>
      </c>
      <c r="AU129" s="161" t="str">
        <f>Calculo!AV129</f>
        <v>SEM-RISCO</v>
      </c>
      <c r="AV129" s="162" t="str">
        <f>Calculo!AW129</f>
        <v>LIBERADO</v>
      </c>
      <c r="AW129" s="161" t="str">
        <f>Calculo!AX129</f>
        <v>SOLICITAR PED COMPRA</v>
      </c>
      <c r="AX129" s="161" t="str">
        <f>Calculo!K129</f>
        <v>SOLIC CONTRATO DE ENTREGA</v>
      </c>
      <c r="AY129" s="161" t="str">
        <f>Calculo!AY129</f>
        <v>CHECAGEM REVERSA</v>
      </c>
      <c r="AZ129" s="161" t="str">
        <f>Calculo!AZ129</f>
        <v>N/A</v>
      </c>
      <c r="BA129" s="163"/>
    </row>
    <row r="130" ht="12.0" customHeight="1">
      <c r="A130" s="88" t="str">
        <f>'Parâmetros'!$A$19</f>
        <v>Rel. Básico PJ</v>
      </c>
      <c r="B130" s="146">
        <v>293.0</v>
      </c>
      <c r="C130" s="146">
        <v>25070.0</v>
      </c>
      <c r="D130" s="146" t="s">
        <v>142</v>
      </c>
      <c r="E130" s="149" t="s">
        <v>481</v>
      </c>
      <c r="F130" s="151">
        <v>12130.0</v>
      </c>
      <c r="G130" s="151" t="s">
        <v>147</v>
      </c>
      <c r="H130" s="146" t="s">
        <v>22</v>
      </c>
      <c r="I130" s="146" t="s">
        <v>25</v>
      </c>
      <c r="J130" s="146" t="s">
        <v>25</v>
      </c>
      <c r="K130" s="146" t="s">
        <v>25</v>
      </c>
      <c r="L130" s="146" t="s">
        <v>22</v>
      </c>
      <c r="M130" s="146" t="s">
        <v>22</v>
      </c>
      <c r="N130" s="146" t="s">
        <v>173</v>
      </c>
      <c r="O130" s="146">
        <v>5.0</v>
      </c>
      <c r="P130" s="146" t="s">
        <v>22</v>
      </c>
      <c r="Q130" s="146">
        <v>100.0</v>
      </c>
      <c r="R130" s="146" t="s">
        <v>25</v>
      </c>
      <c r="S130" s="146" t="s">
        <v>25</v>
      </c>
      <c r="T130" s="146" t="s">
        <v>25</v>
      </c>
      <c r="U130" s="146" t="s">
        <v>22</v>
      </c>
      <c r="V130" s="146" t="s">
        <v>22</v>
      </c>
      <c r="W130" s="146" t="s">
        <v>25</v>
      </c>
      <c r="X130" s="146" t="s">
        <v>22</v>
      </c>
      <c r="Y130" s="146" t="s">
        <v>22</v>
      </c>
      <c r="Z130" s="146" t="s">
        <v>25</v>
      </c>
      <c r="AA130" s="146" t="s">
        <v>22</v>
      </c>
      <c r="AB130" s="153">
        <v>34684.0</v>
      </c>
      <c r="AC130" s="146" t="s">
        <v>25</v>
      </c>
      <c r="AD130" s="151" t="s">
        <v>482</v>
      </c>
      <c r="AE130" s="151" t="s">
        <v>22</v>
      </c>
      <c r="AF130" s="151" t="s">
        <v>25</v>
      </c>
      <c r="AG130" s="151" t="s">
        <v>25</v>
      </c>
      <c r="AH130" s="151" t="s">
        <v>22</v>
      </c>
      <c r="AI130" s="151">
        <v>933.33</v>
      </c>
      <c r="AJ130" s="146">
        <v>445.0</v>
      </c>
      <c r="AK130" s="155" t="s">
        <v>483</v>
      </c>
      <c r="AL130" s="151" t="s">
        <v>22</v>
      </c>
      <c r="AM130" s="151" t="s">
        <v>22</v>
      </c>
      <c r="AN130" s="151" t="s">
        <v>155</v>
      </c>
      <c r="AO130" s="151" t="s">
        <v>80</v>
      </c>
      <c r="AP130" s="151" t="s">
        <v>80</v>
      </c>
      <c r="AQ130" s="164"/>
      <c r="AR130" s="151" t="s">
        <v>158</v>
      </c>
      <c r="AS130" s="159">
        <v>46223.0</v>
      </c>
      <c r="AT130" s="160">
        <f>Calculo!AQ130</f>
        <v>23</v>
      </c>
      <c r="AU130" s="161" t="str">
        <f>Calculo!AV130</f>
        <v>SEM-RISCO</v>
      </c>
      <c r="AV130" s="162" t="str">
        <f>Calculo!AW130</f>
        <v>LIBERADO</v>
      </c>
      <c r="AW130" s="161" t="str">
        <f>Calculo!AX130</f>
        <v>SOLICITAR PED COMPRA</v>
      </c>
      <c r="AX130" s="161" t="str">
        <f>Calculo!K130</f>
        <v>SOLIC CONTRATO DE ENTREGA</v>
      </c>
      <c r="AY130" s="161" t="str">
        <f>Calculo!AY130</f>
        <v>N/A</v>
      </c>
      <c r="AZ130" s="161" t="str">
        <f>Calculo!AZ130</f>
        <v>N/A</v>
      </c>
      <c r="BA130" s="163"/>
    </row>
    <row r="131" ht="12.0" customHeight="1">
      <c r="A131" s="88" t="str">
        <f>'Parâmetros'!$A$19</f>
        <v>Rel. Básico PJ</v>
      </c>
      <c r="B131" s="146">
        <v>294.0</v>
      </c>
      <c r="C131" s="146">
        <v>25880.0</v>
      </c>
      <c r="D131" s="146" t="s">
        <v>142</v>
      </c>
      <c r="E131" s="149" t="s">
        <v>484</v>
      </c>
      <c r="F131" s="151">
        <v>6402.0</v>
      </c>
      <c r="G131" s="151" t="s">
        <v>147</v>
      </c>
      <c r="H131" s="146" t="s">
        <v>22</v>
      </c>
      <c r="I131" s="146" t="s">
        <v>25</v>
      </c>
      <c r="J131" s="146" t="s">
        <v>25</v>
      </c>
      <c r="K131" s="146" t="s">
        <v>25</v>
      </c>
      <c r="L131" s="146" t="s">
        <v>22</v>
      </c>
      <c r="M131" s="146" t="s">
        <v>25</v>
      </c>
      <c r="N131" s="146" t="s">
        <v>173</v>
      </c>
      <c r="O131" s="146">
        <v>0.0</v>
      </c>
      <c r="P131" s="146" t="s">
        <v>25</v>
      </c>
      <c r="Q131" s="146">
        <v>100.0</v>
      </c>
      <c r="R131" s="146" t="s">
        <v>25</v>
      </c>
      <c r="S131" s="146" t="s">
        <v>25</v>
      </c>
      <c r="T131" s="146" t="s">
        <v>25</v>
      </c>
      <c r="U131" s="146" t="s">
        <v>22</v>
      </c>
      <c r="V131" s="146" t="s">
        <v>22</v>
      </c>
      <c r="W131" s="146" t="s">
        <v>25</v>
      </c>
      <c r="X131" s="146" t="s">
        <v>22</v>
      </c>
      <c r="Y131" s="146" t="s">
        <v>22</v>
      </c>
      <c r="Z131" s="146" t="s">
        <v>25</v>
      </c>
      <c r="AA131" s="146" t="s">
        <v>22</v>
      </c>
      <c r="AB131" s="153">
        <v>44908.0</v>
      </c>
      <c r="AC131" s="146" t="s">
        <v>25</v>
      </c>
      <c r="AD131" s="151" t="s">
        <v>188</v>
      </c>
      <c r="AE131" s="151" t="s">
        <v>22</v>
      </c>
      <c r="AF131" s="151" t="s">
        <v>25</v>
      </c>
      <c r="AG131" s="151" t="s">
        <v>25</v>
      </c>
      <c r="AH131" s="151" t="s">
        <v>25</v>
      </c>
      <c r="AI131" s="151">
        <v>0.0</v>
      </c>
      <c r="AJ131" s="146">
        <v>567.0</v>
      </c>
      <c r="AK131" s="155" t="s">
        <v>457</v>
      </c>
      <c r="AL131" s="151" t="s">
        <v>25</v>
      </c>
      <c r="AM131" s="151" t="s">
        <v>25</v>
      </c>
      <c r="AN131" s="151" t="s">
        <v>155</v>
      </c>
      <c r="AO131" s="151" t="s">
        <v>80</v>
      </c>
      <c r="AP131" s="151" t="s">
        <v>80</v>
      </c>
      <c r="AQ131" s="157"/>
      <c r="AR131" s="151" t="s">
        <v>190</v>
      </c>
      <c r="AS131" s="159">
        <v>46224.0</v>
      </c>
      <c r="AT131" s="160">
        <f>Calculo!AQ131</f>
        <v>-1</v>
      </c>
      <c r="AU131" s="166" t="str">
        <f>Calculo!AV131</f>
        <v>GRANDE-OU-FALINDO:</v>
      </c>
      <c r="AV131" s="162" t="str">
        <f>Calculo!AW131</f>
        <v>SE FALINDO SÓ ANTECIPADO | SE GRANDE BUROCR PEGAR CONTATOS FINANCEIRO</v>
      </c>
      <c r="AW131" s="161" t="str">
        <f>Calculo!AX131</f>
        <v>SOLICITAR PED COMPRA</v>
      </c>
      <c r="AX131" s="161" t="str">
        <f>Calculo!K131</f>
        <v>SOLIC CONTRATO DE ENTREGA</v>
      </c>
      <c r="AY131" s="161" t="str">
        <f>Calculo!AY131</f>
        <v>CHECAGEM REVERSA</v>
      </c>
      <c r="AZ131" s="161" t="str">
        <f>Calculo!AZ131</f>
        <v>N/A</v>
      </c>
      <c r="BA131" s="163"/>
    </row>
    <row r="132" ht="12.0" customHeight="1">
      <c r="A132" s="88" t="str">
        <f>'Parâmetros'!$A$19</f>
        <v>Rel. Básico PJ</v>
      </c>
      <c r="B132" s="146">
        <v>672.0</v>
      </c>
      <c r="C132" s="146">
        <v>25931.0</v>
      </c>
      <c r="D132" s="146" t="s">
        <v>176</v>
      </c>
      <c r="E132" s="149" t="s">
        <v>485</v>
      </c>
      <c r="F132" s="151">
        <v>3362.0</v>
      </c>
      <c r="G132" s="151" t="s">
        <v>147</v>
      </c>
      <c r="H132" s="146" t="s">
        <v>22</v>
      </c>
      <c r="I132" s="146" t="s">
        <v>25</v>
      </c>
      <c r="J132" s="146" t="s">
        <v>25</v>
      </c>
      <c r="K132" s="146" t="s">
        <v>25</v>
      </c>
      <c r="L132" s="146" t="s">
        <v>22</v>
      </c>
      <c r="M132" s="146" t="s">
        <v>22</v>
      </c>
      <c r="N132" s="146" t="s">
        <v>222</v>
      </c>
      <c r="O132" s="146" t="s">
        <v>140</v>
      </c>
      <c r="P132" s="146" t="s">
        <v>22</v>
      </c>
      <c r="Q132" s="146">
        <v>100.0</v>
      </c>
      <c r="R132" s="146" t="s">
        <v>25</v>
      </c>
      <c r="S132" s="146" t="s">
        <v>25</v>
      </c>
      <c r="T132" s="146" t="s">
        <v>25</v>
      </c>
      <c r="U132" s="146" t="s">
        <v>22</v>
      </c>
      <c r="V132" s="146" t="s">
        <v>22</v>
      </c>
      <c r="W132" s="146" t="s">
        <v>25</v>
      </c>
      <c r="X132" s="146" t="s">
        <v>22</v>
      </c>
      <c r="Y132" s="146" t="s">
        <v>22</v>
      </c>
      <c r="Z132" s="146" t="s">
        <v>25</v>
      </c>
      <c r="AA132" s="146" t="s">
        <v>22</v>
      </c>
      <c r="AB132" s="153">
        <v>26714.0</v>
      </c>
      <c r="AC132" s="146" t="s">
        <v>25</v>
      </c>
      <c r="AD132" s="151" t="s">
        <v>486</v>
      </c>
      <c r="AE132" s="151" t="s">
        <v>22</v>
      </c>
      <c r="AF132" s="151" t="s">
        <v>22</v>
      </c>
      <c r="AG132" s="151" t="s">
        <v>25</v>
      </c>
      <c r="AH132" s="151" t="s">
        <v>22</v>
      </c>
      <c r="AI132" s="151">
        <v>389562.55</v>
      </c>
      <c r="AJ132" s="146">
        <v>601.0</v>
      </c>
      <c r="AK132" s="155" t="s">
        <v>487</v>
      </c>
      <c r="AL132" s="151" t="s">
        <v>22</v>
      </c>
      <c r="AM132" s="151" t="s">
        <v>22</v>
      </c>
      <c r="AN132" s="151" t="s">
        <v>155</v>
      </c>
      <c r="AO132" s="151" t="s">
        <v>80</v>
      </c>
      <c r="AP132" s="151" t="s">
        <v>80</v>
      </c>
      <c r="AQ132" s="164"/>
      <c r="AR132" s="151" t="s">
        <v>158</v>
      </c>
      <c r="AS132" s="159">
        <v>46225.0</v>
      </c>
      <c r="AT132" s="160">
        <f>Calculo!AQ132</f>
        <v>12</v>
      </c>
      <c r="AU132" s="161" t="str">
        <f>Calculo!AV132</f>
        <v>SEM-RISCO</v>
      </c>
      <c r="AV132" s="162" t="str">
        <f>Calculo!AW132</f>
        <v>LIBERADO</v>
      </c>
      <c r="AW132" s="161" t="str">
        <f>Calculo!AX132</f>
        <v>N/A</v>
      </c>
      <c r="AX132" s="161" t="str">
        <f>Calculo!K132</f>
        <v>SOLIC CONTRATO DE ENTREGA</v>
      </c>
      <c r="AY132" s="161" t="str">
        <f>Calculo!AY132</f>
        <v>N/A</v>
      </c>
      <c r="AZ132" s="161" t="str">
        <f>Calculo!AZ132</f>
        <v>N/A</v>
      </c>
      <c r="BA132" s="163"/>
    </row>
    <row r="133" ht="12.0" customHeight="1">
      <c r="A133" s="88" t="str">
        <f>'Parâmetros'!$A$19</f>
        <v>Rel. Básico PJ</v>
      </c>
      <c r="B133" s="146">
        <v>298.0</v>
      </c>
      <c r="C133" s="146">
        <v>25959.0</v>
      </c>
      <c r="D133" s="146" t="s">
        <v>142</v>
      </c>
      <c r="E133" s="149" t="s">
        <v>228</v>
      </c>
      <c r="F133" s="151">
        <v>31020.0</v>
      </c>
      <c r="G133" s="151" t="s">
        <v>147</v>
      </c>
      <c r="H133" s="146" t="s">
        <v>22</v>
      </c>
      <c r="I133" s="146" t="s">
        <v>25</v>
      </c>
      <c r="J133" s="146" t="s">
        <v>25</v>
      </c>
      <c r="K133" s="146" t="s">
        <v>25</v>
      </c>
      <c r="L133" s="146" t="s">
        <v>22</v>
      </c>
      <c r="M133" s="146" t="s">
        <v>25</v>
      </c>
      <c r="N133" s="146" t="s">
        <v>229</v>
      </c>
      <c r="O133" s="146">
        <v>0.0</v>
      </c>
      <c r="P133" s="146" t="s">
        <v>140</v>
      </c>
      <c r="Q133" s="146">
        <v>100.0</v>
      </c>
      <c r="R133" s="146" t="s">
        <v>22</v>
      </c>
      <c r="S133" s="146" t="s">
        <v>22</v>
      </c>
      <c r="T133" s="146" t="s">
        <v>25</v>
      </c>
      <c r="U133" s="146" t="s">
        <v>22</v>
      </c>
      <c r="V133" s="146" t="s">
        <v>22</v>
      </c>
      <c r="W133" s="146" t="s">
        <v>25</v>
      </c>
      <c r="X133" s="146" t="s">
        <v>22</v>
      </c>
      <c r="Y133" s="146" t="s">
        <v>22</v>
      </c>
      <c r="Z133" s="146" t="s">
        <v>25</v>
      </c>
      <c r="AA133" s="146" t="s">
        <v>22</v>
      </c>
      <c r="AB133" s="153">
        <v>45125.0</v>
      </c>
      <c r="AC133" s="146" t="s">
        <v>25</v>
      </c>
      <c r="AD133" s="151" t="s">
        <v>230</v>
      </c>
      <c r="AE133" s="151" t="s">
        <v>22</v>
      </c>
      <c r="AF133" s="151" t="s">
        <v>25</v>
      </c>
      <c r="AG133" s="151" t="s">
        <v>25</v>
      </c>
      <c r="AH133" s="151" t="s">
        <v>25</v>
      </c>
      <c r="AI133" s="151">
        <v>0.0</v>
      </c>
      <c r="AJ133" s="146">
        <v>699.0</v>
      </c>
      <c r="AK133" s="155" t="s">
        <v>231</v>
      </c>
      <c r="AL133" s="151" t="s">
        <v>22</v>
      </c>
      <c r="AM133" s="151" t="s">
        <v>22</v>
      </c>
      <c r="AN133" s="151" t="s">
        <v>155</v>
      </c>
      <c r="AO133" s="151" t="s">
        <v>80</v>
      </c>
      <c r="AP133" s="151" t="s">
        <v>80</v>
      </c>
      <c r="AQ133" s="164"/>
      <c r="AR133" s="151" t="s">
        <v>158</v>
      </c>
      <c r="AS133" s="159">
        <v>46226.0</v>
      </c>
      <c r="AT133" s="160">
        <f>Calculo!AQ133</f>
        <v>15</v>
      </c>
      <c r="AU133" s="161" t="str">
        <f>Calculo!AV133</f>
        <v>SEM-RISCO</v>
      </c>
      <c r="AV133" s="162" t="str">
        <f>Calculo!AW133</f>
        <v>LIBERADO</v>
      </c>
      <c r="AW133" s="161" t="str">
        <f>Calculo!AX133</f>
        <v>SOLICITAR PED COMPRA</v>
      </c>
      <c r="AX133" s="161" t="str">
        <f>Calculo!K133</f>
        <v>SOLIC CONTRATO DE ENTREGA</v>
      </c>
      <c r="AY133" s="161" t="str">
        <f>Calculo!AY133</f>
        <v>CHECAGEM REVERSA</v>
      </c>
      <c r="AZ133" s="161" t="str">
        <f>Calculo!AZ133</f>
        <v>N/A</v>
      </c>
      <c r="BA133" s="163"/>
    </row>
    <row r="134" ht="12.0" customHeight="1">
      <c r="A134" s="88" t="str">
        <f>'Parâmetros'!$A$19</f>
        <v>Rel. Básico PJ</v>
      </c>
      <c r="B134" s="146" t="s">
        <v>140</v>
      </c>
      <c r="C134" s="146" t="s">
        <v>140</v>
      </c>
      <c r="D134" s="146" t="s">
        <v>142</v>
      </c>
      <c r="E134" s="149" t="s">
        <v>140</v>
      </c>
      <c r="F134" s="151">
        <v>8542.0</v>
      </c>
      <c r="G134" s="151" t="s">
        <v>147</v>
      </c>
      <c r="H134" s="146" t="s">
        <v>22</v>
      </c>
      <c r="I134" s="146" t="s">
        <v>22</v>
      </c>
      <c r="J134" s="146" t="s">
        <v>25</v>
      </c>
      <c r="K134" s="146" t="s">
        <v>25</v>
      </c>
      <c r="L134" s="146" t="s">
        <v>22</v>
      </c>
      <c r="M134" s="146" t="s">
        <v>22</v>
      </c>
      <c r="N134" s="146" t="s">
        <v>187</v>
      </c>
      <c r="O134" s="146">
        <v>5.0</v>
      </c>
      <c r="P134" s="146" t="s">
        <v>25</v>
      </c>
      <c r="Q134" s="146">
        <v>100.0</v>
      </c>
      <c r="R134" s="146" t="s">
        <v>25</v>
      </c>
      <c r="S134" s="146" t="s">
        <v>25</v>
      </c>
      <c r="T134" s="146" t="s">
        <v>25</v>
      </c>
      <c r="U134" s="146" t="s">
        <v>22</v>
      </c>
      <c r="V134" s="146" t="s">
        <v>22</v>
      </c>
      <c r="W134" s="146" t="s">
        <v>25</v>
      </c>
      <c r="X134" s="146" t="s">
        <v>22</v>
      </c>
      <c r="Y134" s="146" t="s">
        <v>22</v>
      </c>
      <c r="Z134" s="146" t="s">
        <v>25</v>
      </c>
      <c r="AA134" s="146" t="s">
        <v>22</v>
      </c>
      <c r="AB134" s="153">
        <v>29404.0</v>
      </c>
      <c r="AC134" s="146" t="s">
        <v>22</v>
      </c>
      <c r="AD134" s="151" t="s">
        <v>488</v>
      </c>
      <c r="AE134" s="151" t="s">
        <v>22</v>
      </c>
      <c r="AF134" s="151" t="s">
        <v>22</v>
      </c>
      <c r="AG134" s="151" t="s">
        <v>25</v>
      </c>
      <c r="AH134" s="151" t="s">
        <v>22</v>
      </c>
      <c r="AI134" s="151">
        <v>8284.98</v>
      </c>
      <c r="AJ134" s="146"/>
      <c r="AK134" s="155" t="s">
        <v>489</v>
      </c>
      <c r="AL134" s="151" t="s">
        <v>22</v>
      </c>
      <c r="AM134" s="151" t="s">
        <v>22</v>
      </c>
      <c r="AN134" s="151" t="s">
        <v>155</v>
      </c>
      <c r="AO134" s="151" t="s">
        <v>80</v>
      </c>
      <c r="AP134" s="151" t="s">
        <v>80</v>
      </c>
      <c r="AQ134" s="157" t="s">
        <v>346</v>
      </c>
      <c r="AR134" s="151" t="s">
        <v>158</v>
      </c>
      <c r="AS134" s="159">
        <v>46226.0</v>
      </c>
      <c r="AT134" s="160">
        <f>Calculo!AQ134</f>
        <v>10</v>
      </c>
      <c r="AU134" s="161" t="str">
        <f>Calculo!AV134</f>
        <v>SEM-RISCO</v>
      </c>
      <c r="AV134" s="162" t="str">
        <f>Calculo!AW134</f>
        <v>LIBERADO</v>
      </c>
      <c r="AW134" s="161" t="str">
        <f>Calculo!AX134</f>
        <v>SOLICITAR PED COMPRA</v>
      </c>
      <c r="AX134" s="161" t="str">
        <f>Calculo!K134</f>
        <v>SOLIC CONTRATO DE ENTREGA</v>
      </c>
      <c r="AY134" s="161" t="str">
        <f>Calculo!AY134</f>
        <v>N/A</v>
      </c>
      <c r="AZ134" s="161" t="str">
        <f>Calculo!AZ134</f>
        <v>N/A</v>
      </c>
      <c r="BA134" s="163"/>
    </row>
    <row r="135" ht="12.0" customHeight="1">
      <c r="A135" s="88" t="str">
        <f>'Parâmetros'!$A$19</f>
        <v>Rel. Básico PJ</v>
      </c>
      <c r="B135" s="146">
        <v>682.0</v>
      </c>
      <c r="C135" s="146">
        <v>26054.0</v>
      </c>
      <c r="D135" s="146" t="s">
        <v>176</v>
      </c>
      <c r="E135" s="149" t="s">
        <v>490</v>
      </c>
      <c r="F135" s="151">
        <v>1079.0</v>
      </c>
      <c r="G135" s="151" t="s">
        <v>147</v>
      </c>
      <c r="H135" s="146" t="s">
        <v>22</v>
      </c>
      <c r="I135" s="146" t="s">
        <v>25</v>
      </c>
      <c r="J135" s="146" t="s">
        <v>25</v>
      </c>
      <c r="K135" s="146" t="s">
        <v>25</v>
      </c>
      <c r="L135" s="146" t="s">
        <v>22</v>
      </c>
      <c r="M135" s="146" t="s">
        <v>22</v>
      </c>
      <c r="N135" s="146" t="s">
        <v>233</v>
      </c>
      <c r="O135" s="146" t="s">
        <v>140</v>
      </c>
      <c r="P135" s="146" t="s">
        <v>22</v>
      </c>
      <c r="Q135" s="146">
        <v>100.0</v>
      </c>
      <c r="R135" s="146" t="s">
        <v>25</v>
      </c>
      <c r="S135" s="146" t="s">
        <v>22</v>
      </c>
      <c r="T135" s="146" t="s">
        <v>22</v>
      </c>
      <c r="U135" s="146" t="s">
        <v>22</v>
      </c>
      <c r="V135" s="146" t="s">
        <v>22</v>
      </c>
      <c r="W135" s="146" t="s">
        <v>22</v>
      </c>
      <c r="X135" s="146" t="s">
        <v>22</v>
      </c>
      <c r="Y135" s="146" t="s">
        <v>22</v>
      </c>
      <c r="Z135" s="146" t="s">
        <v>25</v>
      </c>
      <c r="AA135" s="146" t="s">
        <v>22</v>
      </c>
      <c r="AB135" s="153">
        <v>42576.0</v>
      </c>
      <c r="AC135" s="146" t="s">
        <v>22</v>
      </c>
      <c r="AD135" s="151" t="s">
        <v>491</v>
      </c>
      <c r="AE135" s="151" t="s">
        <v>22</v>
      </c>
      <c r="AF135" s="151" t="s">
        <v>22</v>
      </c>
      <c r="AG135" s="151" t="s">
        <v>25</v>
      </c>
      <c r="AH135" s="151" t="s">
        <v>22</v>
      </c>
      <c r="AI135" s="151">
        <v>176808.71</v>
      </c>
      <c r="AJ135" s="146">
        <v>624.0</v>
      </c>
      <c r="AK135" s="155" t="s">
        <v>492</v>
      </c>
      <c r="AL135" s="151" t="s">
        <v>22</v>
      </c>
      <c r="AM135" s="151" t="s">
        <v>22</v>
      </c>
      <c r="AN135" s="151" t="s">
        <v>155</v>
      </c>
      <c r="AO135" s="151" t="s">
        <v>80</v>
      </c>
      <c r="AP135" s="151" t="s">
        <v>80</v>
      </c>
      <c r="AQ135" s="164"/>
      <c r="AR135" s="151" t="s">
        <v>158</v>
      </c>
      <c r="AS135" s="159">
        <v>46226.0</v>
      </c>
      <c r="AT135" s="160">
        <f>Calculo!AQ135</f>
        <v>38</v>
      </c>
      <c r="AU135" s="161" t="str">
        <f>Calculo!AV135</f>
        <v>SEM-RISCO</v>
      </c>
      <c r="AV135" s="162" t="str">
        <f>Calculo!AW135</f>
        <v>LIBERADO</v>
      </c>
      <c r="AW135" s="161" t="str">
        <f>Calculo!AX135</f>
        <v>N/A</v>
      </c>
      <c r="AX135" s="161" t="str">
        <f>Calculo!K135</f>
        <v>SOLIC CONTRATO DE ENTREGA</v>
      </c>
      <c r="AY135" s="161" t="str">
        <f>Calculo!AY135</f>
        <v>N/A</v>
      </c>
      <c r="AZ135" s="161" t="str">
        <f>Calculo!AZ135</f>
        <v>N/A</v>
      </c>
      <c r="BA135" s="163"/>
    </row>
    <row r="136" ht="12.0" customHeight="1">
      <c r="A136" s="88" t="str">
        <f>'Parâmetros'!$A$19</f>
        <v>Rel. Básico PJ</v>
      </c>
      <c r="B136" s="146">
        <v>677.0</v>
      </c>
      <c r="C136" s="146">
        <v>26034.0</v>
      </c>
      <c r="D136" s="146" t="s">
        <v>176</v>
      </c>
      <c r="E136" s="149" t="s">
        <v>493</v>
      </c>
      <c r="F136" s="151">
        <v>1168.0</v>
      </c>
      <c r="G136" s="151" t="s">
        <v>147</v>
      </c>
      <c r="H136" s="146" t="s">
        <v>22</v>
      </c>
      <c r="I136" s="146" t="s">
        <v>25</v>
      </c>
      <c r="J136" s="146" t="s">
        <v>25</v>
      </c>
      <c r="K136" s="146" t="s">
        <v>25</v>
      </c>
      <c r="L136" s="146" t="s">
        <v>25</v>
      </c>
      <c r="M136" s="146" t="s">
        <v>22</v>
      </c>
      <c r="N136" s="146" t="s">
        <v>173</v>
      </c>
      <c r="O136" s="146" t="s">
        <v>140</v>
      </c>
      <c r="P136" s="146" t="s">
        <v>22</v>
      </c>
      <c r="Q136" s="146">
        <v>100.0</v>
      </c>
      <c r="R136" s="146" t="s">
        <v>25</v>
      </c>
      <c r="S136" s="146" t="s">
        <v>22</v>
      </c>
      <c r="T136" s="146" t="s">
        <v>22</v>
      </c>
      <c r="U136" s="146" t="s">
        <v>22</v>
      </c>
      <c r="V136" s="146" t="s">
        <v>22</v>
      </c>
      <c r="W136" s="146" t="s">
        <v>25</v>
      </c>
      <c r="X136" s="146" t="s">
        <v>22</v>
      </c>
      <c r="Y136" s="146" t="s">
        <v>22</v>
      </c>
      <c r="Z136" s="146" t="s">
        <v>25</v>
      </c>
      <c r="AA136" s="146" t="s">
        <v>22</v>
      </c>
      <c r="AB136" s="153">
        <v>40639.0</v>
      </c>
      <c r="AC136" s="146" t="s">
        <v>22</v>
      </c>
      <c r="AD136" s="151" t="s">
        <v>246</v>
      </c>
      <c r="AE136" s="151" t="s">
        <v>22</v>
      </c>
      <c r="AF136" s="151" t="s">
        <v>25</v>
      </c>
      <c r="AG136" s="151" t="s">
        <v>25</v>
      </c>
      <c r="AH136" s="151" t="s">
        <v>22</v>
      </c>
      <c r="AI136" s="151">
        <v>33000.0</v>
      </c>
      <c r="AJ136" s="146">
        <v>757.0</v>
      </c>
      <c r="AK136" s="155" t="s">
        <v>247</v>
      </c>
      <c r="AL136" s="151" t="s">
        <v>22</v>
      </c>
      <c r="AM136" s="151" t="s">
        <v>22</v>
      </c>
      <c r="AN136" s="151" t="s">
        <v>155</v>
      </c>
      <c r="AO136" s="151" t="s">
        <v>80</v>
      </c>
      <c r="AP136" s="151" t="s">
        <v>80</v>
      </c>
      <c r="AQ136" s="157"/>
      <c r="AR136" s="151" t="s">
        <v>158</v>
      </c>
      <c r="AS136" s="159">
        <v>46227.0</v>
      </c>
      <c r="AT136" s="160">
        <f>Calculo!AQ136</f>
        <v>54</v>
      </c>
      <c r="AU136" s="161" t="str">
        <f>Calculo!AV136</f>
        <v>SEM-RISCO</v>
      </c>
      <c r="AV136" s="162" t="str">
        <f>Calculo!AW136</f>
        <v>LIBERADO</v>
      </c>
      <c r="AW136" s="161" t="str">
        <f>Calculo!AX136</f>
        <v>N/A</v>
      </c>
      <c r="AX136" s="161" t="str">
        <f>Calculo!K136</f>
        <v>N/A</v>
      </c>
      <c r="AY136" s="161" t="str">
        <f>Calculo!AY136</f>
        <v>N/A</v>
      </c>
      <c r="AZ136" s="161" t="str">
        <f>Calculo!AZ136</f>
        <v>N/A</v>
      </c>
      <c r="BA136" s="163"/>
    </row>
    <row r="137" ht="12.0" customHeight="1">
      <c r="A137" s="88" t="str">
        <f>'Parâmetros'!$A$19</f>
        <v>Rel. Básico PJ</v>
      </c>
      <c r="B137" s="146" t="s">
        <v>140</v>
      </c>
      <c r="C137" s="146" t="s">
        <v>140</v>
      </c>
      <c r="D137" s="146" t="s">
        <v>142</v>
      </c>
      <c r="E137" s="149" t="s">
        <v>140</v>
      </c>
      <c r="F137" s="151">
        <v>6090.0</v>
      </c>
      <c r="G137" s="151" t="s">
        <v>147</v>
      </c>
      <c r="H137" s="146" t="s">
        <v>22</v>
      </c>
      <c r="I137" s="146" t="s">
        <v>25</v>
      </c>
      <c r="J137" s="146" t="s">
        <v>25</v>
      </c>
      <c r="K137" s="146" t="s">
        <v>25</v>
      </c>
      <c r="L137" s="146" t="s">
        <v>22</v>
      </c>
      <c r="M137" s="146" t="s">
        <v>22</v>
      </c>
      <c r="N137" s="146" t="s">
        <v>173</v>
      </c>
      <c r="O137" s="146">
        <v>5.0</v>
      </c>
      <c r="P137" s="146" t="s">
        <v>22</v>
      </c>
      <c r="Q137" s="146">
        <v>100.0</v>
      </c>
      <c r="R137" s="146" t="s">
        <v>25</v>
      </c>
      <c r="S137" s="146" t="s">
        <v>25</v>
      </c>
      <c r="T137" s="146" t="s">
        <v>25</v>
      </c>
      <c r="U137" s="146" t="s">
        <v>22</v>
      </c>
      <c r="V137" s="146" t="s">
        <v>22</v>
      </c>
      <c r="W137" s="146" t="s">
        <v>22</v>
      </c>
      <c r="X137" s="146" t="s">
        <v>22</v>
      </c>
      <c r="Y137" s="146" t="s">
        <v>22</v>
      </c>
      <c r="Z137" s="146" t="s">
        <v>25</v>
      </c>
      <c r="AA137" s="146" t="s">
        <v>22</v>
      </c>
      <c r="AB137" s="153">
        <v>43725.0</v>
      </c>
      <c r="AC137" s="146" t="s">
        <v>22</v>
      </c>
      <c r="AD137" s="151"/>
      <c r="AE137" s="151" t="s">
        <v>22</v>
      </c>
      <c r="AF137" s="151" t="s">
        <v>25</v>
      </c>
      <c r="AG137" s="151" t="s">
        <v>25</v>
      </c>
      <c r="AH137" s="151" t="s">
        <v>25</v>
      </c>
      <c r="AI137" s="151">
        <v>0.0</v>
      </c>
      <c r="AJ137" s="146">
        <v>372.0</v>
      </c>
      <c r="AK137" s="155" t="s">
        <v>494</v>
      </c>
      <c r="AL137" s="151" t="s">
        <v>22</v>
      </c>
      <c r="AM137" s="151" t="s">
        <v>22</v>
      </c>
      <c r="AN137" s="151" t="s">
        <v>155</v>
      </c>
      <c r="AO137" s="151" t="s">
        <v>80</v>
      </c>
      <c r="AP137" s="151" t="s">
        <v>80</v>
      </c>
      <c r="AQ137" s="157" t="s">
        <v>434</v>
      </c>
      <c r="AR137" s="151" t="s">
        <v>158</v>
      </c>
      <c r="AS137" s="159">
        <v>46227.0</v>
      </c>
      <c r="AT137" s="160">
        <f>Calculo!AQ137</f>
        <v>12</v>
      </c>
      <c r="AU137" s="161" t="str">
        <f>Calculo!AV137</f>
        <v>SEM-RISCO</v>
      </c>
      <c r="AV137" s="162" t="str">
        <f>Calculo!AW137</f>
        <v>LIBERADO</v>
      </c>
      <c r="AW137" s="161" t="str">
        <f>Calculo!AX137</f>
        <v>SOLICITAR PED COMPRA</v>
      </c>
      <c r="AX137" s="161" t="str">
        <f>Calculo!K137</f>
        <v>SOLIC CONTRATO DE ENTREGA</v>
      </c>
      <c r="AY137" s="161" t="str">
        <f>Calculo!AY137</f>
        <v>N/A</v>
      </c>
      <c r="AZ137" s="161" t="str">
        <f>Calculo!AZ137</f>
        <v>N/A</v>
      </c>
      <c r="BA137" s="163"/>
    </row>
    <row r="138" ht="12.0" customHeight="1">
      <c r="A138" s="88" t="str">
        <f>'Parâmetros'!$A$19</f>
        <v>Rel. Básico PJ</v>
      </c>
      <c r="B138" s="146">
        <v>301.0</v>
      </c>
      <c r="C138" s="146">
        <v>25612.0</v>
      </c>
      <c r="D138" s="146" t="s">
        <v>142</v>
      </c>
      <c r="E138" s="149" t="s">
        <v>495</v>
      </c>
      <c r="F138" s="151">
        <v>7120.0</v>
      </c>
      <c r="G138" s="151" t="s">
        <v>147</v>
      </c>
      <c r="H138" s="146" t="s">
        <v>22</v>
      </c>
      <c r="I138" s="146" t="s">
        <v>25</v>
      </c>
      <c r="J138" s="146" t="s">
        <v>25</v>
      </c>
      <c r="K138" s="146" t="s">
        <v>25</v>
      </c>
      <c r="L138" s="146" t="s">
        <v>22</v>
      </c>
      <c r="M138" s="146" t="s">
        <v>25</v>
      </c>
      <c r="N138" s="146" t="s">
        <v>173</v>
      </c>
      <c r="O138" s="146">
        <v>0.0</v>
      </c>
      <c r="P138" s="146" t="s">
        <v>22</v>
      </c>
      <c r="Q138" s="146">
        <v>100.0</v>
      </c>
      <c r="R138" s="146" t="s">
        <v>25</v>
      </c>
      <c r="S138" s="146" t="s">
        <v>22</v>
      </c>
      <c r="T138" s="146" t="s">
        <v>25</v>
      </c>
      <c r="U138" s="146" t="s">
        <v>22</v>
      </c>
      <c r="V138" s="146" t="s">
        <v>22</v>
      </c>
      <c r="W138" s="146" t="s">
        <v>25</v>
      </c>
      <c r="X138" s="146" t="s">
        <v>22</v>
      </c>
      <c r="Y138" s="146" t="s">
        <v>22</v>
      </c>
      <c r="Z138" s="146" t="s">
        <v>25</v>
      </c>
      <c r="AA138" s="146" t="s">
        <v>22</v>
      </c>
      <c r="AB138" s="153">
        <v>39883.0</v>
      </c>
      <c r="AC138" s="146" t="s">
        <v>25</v>
      </c>
      <c r="AD138" s="151" t="s">
        <v>496</v>
      </c>
      <c r="AE138" s="151" t="s">
        <v>22</v>
      </c>
      <c r="AF138" s="151" t="s">
        <v>25</v>
      </c>
      <c r="AG138" s="151" t="s">
        <v>25</v>
      </c>
      <c r="AH138" s="151" t="s">
        <v>25</v>
      </c>
      <c r="AI138" s="151">
        <v>0.0</v>
      </c>
      <c r="AJ138" s="146">
        <v>893.0</v>
      </c>
      <c r="AK138" s="155" t="s">
        <v>497</v>
      </c>
      <c r="AL138" s="151" t="s">
        <v>22</v>
      </c>
      <c r="AM138" s="151" t="s">
        <v>22</v>
      </c>
      <c r="AN138" s="151" t="s">
        <v>155</v>
      </c>
      <c r="AO138" s="151" t="s">
        <v>80</v>
      </c>
      <c r="AP138" s="151" t="s">
        <v>80</v>
      </c>
      <c r="AQ138" s="164"/>
      <c r="AR138" s="151" t="s">
        <v>158</v>
      </c>
      <c r="AS138" s="159">
        <v>46227.0</v>
      </c>
      <c r="AT138" s="160">
        <f>Calculo!AQ138</f>
        <v>47</v>
      </c>
      <c r="AU138" s="161" t="str">
        <f>Calculo!AV138</f>
        <v>SEM-RISCO</v>
      </c>
      <c r="AV138" s="162" t="str">
        <f>Calculo!AW138</f>
        <v>LIBERADO</v>
      </c>
      <c r="AW138" s="161" t="str">
        <f>Calculo!AX138</f>
        <v>SOLICITAR PED COMPRA</v>
      </c>
      <c r="AX138" s="161" t="str">
        <f>Calculo!K138</f>
        <v>SOLIC CONTRATO DE ENTREGA</v>
      </c>
      <c r="AY138" s="161" t="str">
        <f>Calculo!AY138</f>
        <v>CHECAGEM REVERSA</v>
      </c>
      <c r="AZ138" s="161" t="str">
        <f>Calculo!AZ138</f>
        <v>N/A</v>
      </c>
      <c r="BA138" s="163"/>
    </row>
    <row r="139" ht="12.0" customHeight="1">
      <c r="A139" s="88" t="str">
        <f>'Parâmetros'!$A$19</f>
        <v>Rel. Básico PJ</v>
      </c>
      <c r="B139" s="146">
        <v>302.0</v>
      </c>
      <c r="C139" s="146">
        <v>26047.0</v>
      </c>
      <c r="D139" s="146" t="s">
        <v>142</v>
      </c>
      <c r="E139" s="149" t="s">
        <v>498</v>
      </c>
      <c r="F139" s="151">
        <v>8380.0</v>
      </c>
      <c r="G139" s="151" t="s">
        <v>147</v>
      </c>
      <c r="H139" s="146" t="s">
        <v>22</v>
      </c>
      <c r="I139" s="146" t="s">
        <v>25</v>
      </c>
      <c r="J139" s="146" t="s">
        <v>25</v>
      </c>
      <c r="K139" s="146" t="s">
        <v>25</v>
      </c>
      <c r="L139" s="146" t="s">
        <v>22</v>
      </c>
      <c r="M139" s="146" t="s">
        <v>22</v>
      </c>
      <c r="N139" s="146" t="s">
        <v>173</v>
      </c>
      <c r="O139" s="146" t="s">
        <v>140</v>
      </c>
      <c r="P139" s="146" t="s">
        <v>25</v>
      </c>
      <c r="Q139" s="146">
        <v>100.0</v>
      </c>
      <c r="R139" s="146" t="s">
        <v>25</v>
      </c>
      <c r="S139" s="146" t="s">
        <v>25</v>
      </c>
      <c r="T139" s="146" t="s">
        <v>25</v>
      </c>
      <c r="U139" s="146" t="s">
        <v>22</v>
      </c>
      <c r="V139" s="146" t="s">
        <v>22</v>
      </c>
      <c r="W139" s="146" t="s">
        <v>25</v>
      </c>
      <c r="X139" s="146" t="s">
        <v>22</v>
      </c>
      <c r="Y139" s="146" t="s">
        <v>22</v>
      </c>
      <c r="Z139" s="146" t="s">
        <v>25</v>
      </c>
      <c r="AA139" s="146" t="s">
        <v>22</v>
      </c>
      <c r="AB139" s="153">
        <v>36649.0</v>
      </c>
      <c r="AC139" s="146" t="s">
        <v>25</v>
      </c>
      <c r="AD139" s="151" t="s">
        <v>499</v>
      </c>
      <c r="AE139" s="151" t="s">
        <v>22</v>
      </c>
      <c r="AF139" s="151" t="s">
        <v>25</v>
      </c>
      <c r="AG139" s="151" t="s">
        <v>25</v>
      </c>
      <c r="AH139" s="151" t="s">
        <v>25</v>
      </c>
      <c r="AI139" s="151">
        <v>0.0</v>
      </c>
      <c r="AJ139" s="146">
        <v>817.0</v>
      </c>
      <c r="AK139" s="155" t="s">
        <v>500</v>
      </c>
      <c r="AL139" s="151" t="s">
        <v>22</v>
      </c>
      <c r="AM139" s="151" t="s">
        <v>22</v>
      </c>
      <c r="AN139" s="151" t="s">
        <v>155</v>
      </c>
      <c r="AO139" s="151" t="s">
        <v>80</v>
      </c>
      <c r="AP139" s="151" t="s">
        <v>80</v>
      </c>
      <c r="AQ139" s="157"/>
      <c r="AR139" s="151" t="s">
        <v>158</v>
      </c>
      <c r="AS139" s="159">
        <v>46230.0</v>
      </c>
      <c r="AT139" s="160">
        <f>Calculo!AQ139</f>
        <v>43</v>
      </c>
      <c r="AU139" s="161" t="str">
        <f>Calculo!AV139</f>
        <v>SEM-RISCO</v>
      </c>
      <c r="AV139" s="162" t="str">
        <f>Calculo!AW139</f>
        <v>LIBERADO</v>
      </c>
      <c r="AW139" s="161" t="str">
        <f>Calculo!AX139</f>
        <v>SOLICITAR PED COMPRA</v>
      </c>
      <c r="AX139" s="161" t="str">
        <f>Calculo!K139</f>
        <v>SOLIC CONTRATO DE ENTREGA</v>
      </c>
      <c r="AY139" s="161" t="str">
        <f>Calculo!AY139</f>
        <v>N/A</v>
      </c>
      <c r="AZ139" s="161" t="str">
        <f>Calculo!AZ139</f>
        <v>N/A</v>
      </c>
      <c r="BA139" s="163"/>
    </row>
    <row r="140" ht="12.0" customHeight="1">
      <c r="A140" s="88" t="str">
        <f>'Parâmetros'!$A$19</f>
        <v>Rel. Básico PJ</v>
      </c>
      <c r="B140" s="146">
        <v>688.0</v>
      </c>
      <c r="C140" s="146">
        <v>25920.0</v>
      </c>
      <c r="D140" s="146" t="s">
        <v>176</v>
      </c>
      <c r="E140" s="149" t="s">
        <v>501</v>
      </c>
      <c r="F140" s="151">
        <v>1219.0</v>
      </c>
      <c r="G140" s="151" t="s">
        <v>147</v>
      </c>
      <c r="H140" s="146" t="s">
        <v>22</v>
      </c>
      <c r="I140" s="146" t="s">
        <v>25</v>
      </c>
      <c r="J140" s="146" t="s">
        <v>25</v>
      </c>
      <c r="K140" s="146" t="s">
        <v>25</v>
      </c>
      <c r="L140" s="146" t="s">
        <v>25</v>
      </c>
      <c r="M140" s="146" t="s">
        <v>22</v>
      </c>
      <c r="N140" s="146" t="s">
        <v>173</v>
      </c>
      <c r="O140" s="146" t="s">
        <v>140</v>
      </c>
      <c r="P140" s="146" t="s">
        <v>22</v>
      </c>
      <c r="Q140" s="146">
        <v>100.0</v>
      </c>
      <c r="R140" s="146" t="s">
        <v>25</v>
      </c>
      <c r="S140" s="146" t="s">
        <v>22</v>
      </c>
      <c r="T140" s="146" t="s">
        <v>25</v>
      </c>
      <c r="U140" s="146" t="s">
        <v>22</v>
      </c>
      <c r="V140" s="146" t="s">
        <v>22</v>
      </c>
      <c r="W140" s="146" t="s">
        <v>25</v>
      </c>
      <c r="X140" s="146" t="s">
        <v>22</v>
      </c>
      <c r="Y140" s="146" t="s">
        <v>22</v>
      </c>
      <c r="Z140" s="146" t="s">
        <v>25</v>
      </c>
      <c r="AA140" s="146" t="s">
        <v>22</v>
      </c>
      <c r="AB140" s="153">
        <v>25056.0</v>
      </c>
      <c r="AC140" s="146" t="s">
        <v>22</v>
      </c>
      <c r="AD140" s="151"/>
      <c r="AE140" s="151" t="s">
        <v>22</v>
      </c>
      <c r="AF140" s="151" t="s">
        <v>25</v>
      </c>
      <c r="AG140" s="151" t="s">
        <v>25</v>
      </c>
      <c r="AH140" s="151" t="s">
        <v>22</v>
      </c>
      <c r="AI140" s="151">
        <v>1079.04</v>
      </c>
      <c r="AJ140" s="146">
        <v>662.0</v>
      </c>
      <c r="AK140" s="155" t="s">
        <v>502</v>
      </c>
      <c r="AL140" s="151" t="s">
        <v>22</v>
      </c>
      <c r="AM140" s="151" t="s">
        <v>22</v>
      </c>
      <c r="AN140" s="151" t="s">
        <v>155</v>
      </c>
      <c r="AO140" s="151" t="s">
        <v>80</v>
      </c>
      <c r="AP140" s="151" t="s">
        <v>80</v>
      </c>
      <c r="AQ140" s="164"/>
      <c r="AR140" s="151" t="s">
        <v>158</v>
      </c>
      <c r="AS140" s="159">
        <v>46230.0</v>
      </c>
      <c r="AT140" s="160">
        <f>Calculo!AQ140</f>
        <v>28</v>
      </c>
      <c r="AU140" s="161" t="str">
        <f>Calculo!AV140</f>
        <v>SEM-RISCO</v>
      </c>
      <c r="AV140" s="162" t="str">
        <f>Calculo!AW140</f>
        <v>LIBERADO</v>
      </c>
      <c r="AW140" s="161" t="str">
        <f>Calculo!AX140</f>
        <v>N/A</v>
      </c>
      <c r="AX140" s="161" t="str">
        <f>Calculo!K140</f>
        <v>N/A</v>
      </c>
      <c r="AY140" s="161" t="str">
        <f>Calculo!AY140</f>
        <v>N/A</v>
      </c>
      <c r="AZ140" s="161" t="str">
        <f>Calculo!AZ140</f>
        <v>N/A</v>
      </c>
      <c r="BA140" s="163"/>
    </row>
    <row r="141" ht="12.0" customHeight="1">
      <c r="A141" s="88" t="str">
        <f>'Parâmetros'!$A$19</f>
        <v>Rel. Básico PJ</v>
      </c>
      <c r="B141" s="146">
        <v>303.0</v>
      </c>
      <c r="C141" s="146">
        <v>26061.0</v>
      </c>
      <c r="D141" s="146" t="s">
        <v>142</v>
      </c>
      <c r="E141" s="149" t="s">
        <v>503</v>
      </c>
      <c r="F141" s="151">
        <v>12000.0</v>
      </c>
      <c r="G141" s="151" t="s">
        <v>147</v>
      </c>
      <c r="H141" s="146" t="s">
        <v>22</v>
      </c>
      <c r="I141" s="146" t="s">
        <v>25</v>
      </c>
      <c r="J141" s="146" t="s">
        <v>25</v>
      </c>
      <c r="K141" s="146" t="s">
        <v>25</v>
      </c>
      <c r="L141" s="146" t="s">
        <v>22</v>
      </c>
      <c r="M141" s="146" t="s">
        <v>25</v>
      </c>
      <c r="N141" s="146" t="s">
        <v>173</v>
      </c>
      <c r="O141" s="146">
        <v>0.0</v>
      </c>
      <c r="P141" s="146" t="s">
        <v>25</v>
      </c>
      <c r="Q141" s="146">
        <v>100.0</v>
      </c>
      <c r="R141" s="146" t="s">
        <v>25</v>
      </c>
      <c r="S141" s="146" t="s">
        <v>25</v>
      </c>
      <c r="T141" s="146" t="s">
        <v>25</v>
      </c>
      <c r="U141" s="146" t="s">
        <v>22</v>
      </c>
      <c r="V141" s="146" t="s">
        <v>22</v>
      </c>
      <c r="W141" s="146" t="s">
        <v>25</v>
      </c>
      <c r="X141" s="146" t="s">
        <v>22</v>
      </c>
      <c r="Y141" s="146" t="s">
        <v>25</v>
      </c>
      <c r="Z141" s="146" t="s">
        <v>25</v>
      </c>
      <c r="AA141" s="146" t="s">
        <v>22</v>
      </c>
      <c r="AB141" s="153">
        <v>44292.0</v>
      </c>
      <c r="AC141" s="146" t="s">
        <v>25</v>
      </c>
      <c r="AD141" s="151" t="s">
        <v>420</v>
      </c>
      <c r="AE141" s="151" t="s">
        <v>22</v>
      </c>
      <c r="AF141" s="151" t="s">
        <v>25</v>
      </c>
      <c r="AG141" s="151" t="s">
        <v>25</v>
      </c>
      <c r="AH141" s="151" t="s">
        <v>25</v>
      </c>
      <c r="AI141" s="151">
        <v>0.0</v>
      </c>
      <c r="AJ141" s="146">
        <v>762.0</v>
      </c>
      <c r="AK141" s="155" t="s">
        <v>504</v>
      </c>
      <c r="AL141" s="151" t="s">
        <v>22</v>
      </c>
      <c r="AM141" s="151" t="s">
        <v>22</v>
      </c>
      <c r="AN141" s="151" t="s">
        <v>155</v>
      </c>
      <c r="AO141" s="151" t="s">
        <v>80</v>
      </c>
      <c r="AP141" s="151" t="s">
        <v>80</v>
      </c>
      <c r="AQ141" s="157"/>
      <c r="AR141" s="151" t="s">
        <v>158</v>
      </c>
      <c r="AS141" s="159">
        <v>46230.0</v>
      </c>
      <c r="AT141" s="160">
        <f>Calculo!AQ141</f>
        <v>12</v>
      </c>
      <c r="AU141" s="161" t="str">
        <f>Calculo!AV141</f>
        <v>SEM-RISCO</v>
      </c>
      <c r="AV141" s="162" t="str">
        <f>Calculo!AW141</f>
        <v>LIBERADO</v>
      </c>
      <c r="AW141" s="161" t="str">
        <f>Calculo!AX141</f>
        <v>SOLICITAR PED COMPRA</v>
      </c>
      <c r="AX141" s="161" t="str">
        <f>Calculo!K141</f>
        <v>SOLIC CONTRATO DE ENTREGA</v>
      </c>
      <c r="AY141" s="161" t="str">
        <f>Calculo!AY141</f>
        <v>CHECAGEM REVERSA</v>
      </c>
      <c r="AZ141" s="161" t="str">
        <f>Calculo!AZ141</f>
        <v>N/A</v>
      </c>
      <c r="BA141" s="163"/>
    </row>
    <row r="142" ht="12.0" customHeight="1">
      <c r="A142" s="88" t="str">
        <f>'Parâmetros'!$A$19</f>
        <v>Rel. Básico PJ</v>
      </c>
      <c r="B142" s="146">
        <v>305.0</v>
      </c>
      <c r="C142" s="146">
        <v>25898.0</v>
      </c>
      <c r="D142" s="146" t="s">
        <v>142</v>
      </c>
      <c r="E142" s="149" t="s">
        <v>430</v>
      </c>
      <c r="F142" s="151">
        <v>868.0</v>
      </c>
      <c r="G142" s="151" t="s">
        <v>147</v>
      </c>
      <c r="H142" s="146" t="s">
        <v>22</v>
      </c>
      <c r="I142" s="146" t="s">
        <v>25</v>
      </c>
      <c r="J142" s="146" t="s">
        <v>25</v>
      </c>
      <c r="K142" s="146" t="s">
        <v>25</v>
      </c>
      <c r="L142" s="146" t="s">
        <v>25</v>
      </c>
      <c r="M142" s="146" t="s">
        <v>22</v>
      </c>
      <c r="N142" s="146" t="s">
        <v>289</v>
      </c>
      <c r="O142" s="146" t="s">
        <v>140</v>
      </c>
      <c r="P142" s="146" t="s">
        <v>22</v>
      </c>
      <c r="Q142" s="146">
        <v>100.0</v>
      </c>
      <c r="R142" s="146" t="s">
        <v>25</v>
      </c>
      <c r="S142" s="146" t="s">
        <v>22</v>
      </c>
      <c r="T142" s="146" t="s">
        <v>25</v>
      </c>
      <c r="U142" s="146" t="s">
        <v>22</v>
      </c>
      <c r="V142" s="146" t="s">
        <v>22</v>
      </c>
      <c r="W142" s="146" t="s">
        <v>22</v>
      </c>
      <c r="X142" s="146" t="s">
        <v>22</v>
      </c>
      <c r="Y142" s="146" t="s">
        <v>22</v>
      </c>
      <c r="Z142" s="146" t="s">
        <v>25</v>
      </c>
      <c r="AA142" s="146" t="s">
        <v>22</v>
      </c>
      <c r="AB142" s="153">
        <v>35250.0</v>
      </c>
      <c r="AC142" s="146" t="s">
        <v>22</v>
      </c>
      <c r="AD142" s="151" t="s">
        <v>505</v>
      </c>
      <c r="AE142" s="151" t="s">
        <v>22</v>
      </c>
      <c r="AF142" s="151" t="s">
        <v>22</v>
      </c>
      <c r="AG142" s="151" t="s">
        <v>25</v>
      </c>
      <c r="AH142" s="151" t="s">
        <v>25</v>
      </c>
      <c r="AI142" s="151">
        <v>1095.03</v>
      </c>
      <c r="AJ142" s="146">
        <v>638.0</v>
      </c>
      <c r="AK142" s="155" t="s">
        <v>432</v>
      </c>
      <c r="AL142" s="151" t="s">
        <v>22</v>
      </c>
      <c r="AM142" s="151" t="s">
        <v>22</v>
      </c>
      <c r="AN142" s="151" t="s">
        <v>155</v>
      </c>
      <c r="AO142" s="151" t="s">
        <v>80</v>
      </c>
      <c r="AP142" s="151" t="s">
        <v>80</v>
      </c>
      <c r="AQ142" s="164"/>
      <c r="AR142" s="151" t="s">
        <v>158</v>
      </c>
      <c r="AS142" s="159">
        <v>46231.0</v>
      </c>
      <c r="AT142" s="160">
        <f>Calculo!AQ142</f>
        <v>44</v>
      </c>
      <c r="AU142" s="161" t="str">
        <f>Calculo!AV142</f>
        <v>SEM-RISCO</v>
      </c>
      <c r="AV142" s="162" t="str">
        <f>Calculo!AW142</f>
        <v>LIBERADO</v>
      </c>
      <c r="AW142" s="161" t="str">
        <f>Calculo!AX142</f>
        <v>N/A</v>
      </c>
      <c r="AX142" s="161" t="str">
        <f>Calculo!K142</f>
        <v>N/A</v>
      </c>
      <c r="AY142" s="161" t="str">
        <f>Calculo!AY142</f>
        <v>N/A</v>
      </c>
      <c r="AZ142" s="161" t="str">
        <f>Calculo!AZ142</f>
        <v>N/A</v>
      </c>
      <c r="BA142" s="163"/>
    </row>
    <row r="143" ht="12.0" customHeight="1">
      <c r="A143" s="88" t="str">
        <f>'Parâmetros'!$A$19</f>
        <v>Rel. Básico PJ</v>
      </c>
      <c r="B143" s="146">
        <v>304.0</v>
      </c>
      <c r="C143" s="146">
        <v>25891.0</v>
      </c>
      <c r="D143" s="146" t="s">
        <v>142</v>
      </c>
      <c r="E143" s="149" t="s">
        <v>506</v>
      </c>
      <c r="F143" s="151">
        <v>6609.3</v>
      </c>
      <c r="G143" s="151" t="s">
        <v>147</v>
      </c>
      <c r="H143" s="146" t="s">
        <v>22</v>
      </c>
      <c r="I143" s="146" t="s">
        <v>25</v>
      </c>
      <c r="J143" s="146" t="s">
        <v>25</v>
      </c>
      <c r="K143" s="146" t="s">
        <v>25</v>
      </c>
      <c r="L143" s="146" t="s">
        <v>22</v>
      </c>
      <c r="M143" s="146" t="s">
        <v>22</v>
      </c>
      <c r="N143" s="146" t="s">
        <v>507</v>
      </c>
      <c r="O143" s="146">
        <v>5.0</v>
      </c>
      <c r="P143" s="146" t="s">
        <v>22</v>
      </c>
      <c r="Q143" s="146">
        <v>100.0</v>
      </c>
      <c r="R143" s="146" t="s">
        <v>25</v>
      </c>
      <c r="S143" s="146" t="s">
        <v>25</v>
      </c>
      <c r="T143" s="146" t="s">
        <v>25</v>
      </c>
      <c r="U143" s="146" t="s">
        <v>22</v>
      </c>
      <c r="V143" s="146" t="s">
        <v>22</v>
      </c>
      <c r="W143" s="146" t="s">
        <v>25</v>
      </c>
      <c r="X143" s="146" t="s">
        <v>22</v>
      </c>
      <c r="Y143" s="146" t="s">
        <v>22</v>
      </c>
      <c r="Z143" s="146" t="s">
        <v>25</v>
      </c>
      <c r="AA143" s="146" t="s">
        <v>22</v>
      </c>
      <c r="AB143" s="153">
        <v>38016.0</v>
      </c>
      <c r="AC143" s="146" t="s">
        <v>25</v>
      </c>
      <c r="AD143" s="151" t="s">
        <v>482</v>
      </c>
      <c r="AE143" s="151" t="s">
        <v>22</v>
      </c>
      <c r="AF143" s="151" t="s">
        <v>25</v>
      </c>
      <c r="AG143" s="151" t="s">
        <v>25</v>
      </c>
      <c r="AH143" s="151" t="s">
        <v>25</v>
      </c>
      <c r="AI143" s="151">
        <v>0.0</v>
      </c>
      <c r="AJ143" s="146">
        <v>766.0</v>
      </c>
      <c r="AK143" s="155" t="s">
        <v>508</v>
      </c>
      <c r="AL143" s="151" t="s">
        <v>22</v>
      </c>
      <c r="AM143" s="151" t="s">
        <v>22</v>
      </c>
      <c r="AN143" s="151" t="s">
        <v>155</v>
      </c>
      <c r="AO143" s="151" t="s">
        <v>80</v>
      </c>
      <c r="AP143" s="151" t="s">
        <v>80</v>
      </c>
      <c r="AQ143" s="164"/>
      <c r="AR143" s="151" t="s">
        <v>158</v>
      </c>
      <c r="AS143" s="159">
        <v>46231.0</v>
      </c>
      <c r="AT143" s="160">
        <f>Calculo!AQ143</f>
        <v>46</v>
      </c>
      <c r="AU143" s="161" t="str">
        <f>Calculo!AV143</f>
        <v>SEM-RISCO</v>
      </c>
      <c r="AV143" s="162" t="str">
        <f>Calculo!AW143</f>
        <v>LIBERADO</v>
      </c>
      <c r="AW143" s="161" t="str">
        <f>Calculo!AX143</f>
        <v>SOLICITAR PED COMPRA</v>
      </c>
      <c r="AX143" s="161" t="str">
        <f>Calculo!K143</f>
        <v>SOLIC CONTRATO DE ENTREGA</v>
      </c>
      <c r="AY143" s="161" t="str">
        <f>Calculo!AY143</f>
        <v>N/A</v>
      </c>
      <c r="AZ143" s="161" t="str">
        <f>Calculo!AZ143</f>
        <v>N/A</v>
      </c>
      <c r="BA143" s="163"/>
    </row>
    <row r="144" ht="12.0" customHeight="1">
      <c r="A144" s="88" t="str">
        <f>'Parâmetros'!$A$19</f>
        <v>Rel. Básico PJ</v>
      </c>
      <c r="B144" s="146">
        <v>308.0</v>
      </c>
      <c r="C144" s="146">
        <v>26090.0</v>
      </c>
      <c r="D144" s="146" t="s">
        <v>142</v>
      </c>
      <c r="E144" s="149" t="s">
        <v>509</v>
      </c>
      <c r="F144" s="151">
        <v>4378.1</v>
      </c>
      <c r="G144" s="151" t="s">
        <v>147</v>
      </c>
      <c r="H144" s="146" t="s">
        <v>22</v>
      </c>
      <c r="I144" s="146" t="s">
        <v>22</v>
      </c>
      <c r="J144" s="146" t="s">
        <v>25</v>
      </c>
      <c r="K144" s="146" t="s">
        <v>25</v>
      </c>
      <c r="L144" s="146" t="s">
        <v>22</v>
      </c>
      <c r="M144" s="146" t="s">
        <v>22</v>
      </c>
      <c r="N144" s="146" t="s">
        <v>173</v>
      </c>
      <c r="O144" s="146" t="s">
        <v>140</v>
      </c>
      <c r="P144" s="146" t="s">
        <v>22</v>
      </c>
      <c r="Q144" s="146">
        <v>100.0</v>
      </c>
      <c r="R144" s="146" t="s">
        <v>25</v>
      </c>
      <c r="S144" s="146" t="s">
        <v>25</v>
      </c>
      <c r="T144" s="146" t="s">
        <v>25</v>
      </c>
      <c r="U144" s="146" t="s">
        <v>22</v>
      </c>
      <c r="V144" s="146" t="s">
        <v>22</v>
      </c>
      <c r="W144" s="146" t="s">
        <v>25</v>
      </c>
      <c r="X144" s="146" t="s">
        <v>22</v>
      </c>
      <c r="Y144" s="146" t="s">
        <v>22</v>
      </c>
      <c r="Z144" s="146" t="s">
        <v>25</v>
      </c>
      <c r="AA144" s="146" t="s">
        <v>22</v>
      </c>
      <c r="AB144" s="153">
        <v>37461.0</v>
      </c>
      <c r="AC144" s="146" t="s">
        <v>25</v>
      </c>
      <c r="AD144" s="151" t="s">
        <v>510</v>
      </c>
      <c r="AE144" s="151" t="s">
        <v>22</v>
      </c>
      <c r="AF144" s="151" t="s">
        <v>25</v>
      </c>
      <c r="AG144" s="151" t="s">
        <v>25</v>
      </c>
      <c r="AH144" s="151" t="s">
        <v>25</v>
      </c>
      <c r="AI144" s="151">
        <v>0.0</v>
      </c>
      <c r="AJ144" s="146">
        <v>749.0</v>
      </c>
      <c r="AK144" s="155" t="s">
        <v>511</v>
      </c>
      <c r="AL144" s="151" t="s">
        <v>22</v>
      </c>
      <c r="AM144" s="151" t="s">
        <v>22</v>
      </c>
      <c r="AN144" s="151" t="s">
        <v>155</v>
      </c>
      <c r="AO144" s="151" t="s">
        <v>80</v>
      </c>
      <c r="AP144" s="151" t="s">
        <v>80</v>
      </c>
      <c r="AQ144" s="157"/>
      <c r="AR144" s="151" t="s">
        <v>158</v>
      </c>
      <c r="AS144" s="159">
        <v>46232.0</v>
      </c>
      <c r="AT144" s="160">
        <f>Calculo!AQ144</f>
        <v>59</v>
      </c>
      <c r="AU144" s="161" t="str">
        <f>Calculo!AV144</f>
        <v>SEM-RISCO</v>
      </c>
      <c r="AV144" s="162" t="str">
        <f>Calculo!AW144</f>
        <v>LIBERADO</v>
      </c>
      <c r="AW144" s="161" t="str">
        <f>Calculo!AX144</f>
        <v>N/A</v>
      </c>
      <c r="AX144" s="161" t="str">
        <f>Calculo!K144</f>
        <v>SOLIC CONTRATO DE ENTREGA</v>
      </c>
      <c r="AY144" s="161" t="str">
        <f>Calculo!AY144</f>
        <v>N/A</v>
      </c>
      <c r="AZ144" s="161" t="str">
        <f>Calculo!AZ144</f>
        <v>N/A</v>
      </c>
      <c r="BA144" s="163"/>
    </row>
    <row r="145" ht="12.0" customHeight="1">
      <c r="A145" s="88" t="str">
        <f>'Parâmetros'!$A$19</f>
        <v>Rel. Básico PJ</v>
      </c>
      <c r="B145" s="146">
        <v>309.0</v>
      </c>
      <c r="C145" s="146">
        <v>26092.0</v>
      </c>
      <c r="D145" s="146" t="s">
        <v>142</v>
      </c>
      <c r="E145" s="149" t="s">
        <v>512</v>
      </c>
      <c r="F145" s="151">
        <v>6772.0</v>
      </c>
      <c r="G145" s="151" t="s">
        <v>147</v>
      </c>
      <c r="H145" s="146" t="s">
        <v>22</v>
      </c>
      <c r="I145" s="146" t="s">
        <v>25</v>
      </c>
      <c r="J145" s="146" t="s">
        <v>25</v>
      </c>
      <c r="K145" s="146" t="s">
        <v>25</v>
      </c>
      <c r="L145" s="146" t="s">
        <v>22</v>
      </c>
      <c r="M145" s="146" t="s">
        <v>22</v>
      </c>
      <c r="N145" s="146" t="s">
        <v>173</v>
      </c>
      <c r="O145" s="146" t="s">
        <v>140</v>
      </c>
      <c r="P145" s="146" t="s">
        <v>22</v>
      </c>
      <c r="Q145" s="146">
        <v>100.0</v>
      </c>
      <c r="R145" s="146" t="s">
        <v>25</v>
      </c>
      <c r="S145" s="146" t="s">
        <v>25</v>
      </c>
      <c r="T145" s="146" t="s">
        <v>25</v>
      </c>
      <c r="U145" s="146" t="s">
        <v>22</v>
      </c>
      <c r="V145" s="146" t="s">
        <v>22</v>
      </c>
      <c r="W145" s="146" t="s">
        <v>25</v>
      </c>
      <c r="X145" s="146" t="s">
        <v>22</v>
      </c>
      <c r="Y145" s="146" t="s">
        <v>25</v>
      </c>
      <c r="Z145" s="146" t="s">
        <v>25</v>
      </c>
      <c r="AA145" s="146" t="s">
        <v>22</v>
      </c>
      <c r="AB145" s="153">
        <v>45065.0</v>
      </c>
      <c r="AC145" s="146" t="s">
        <v>25</v>
      </c>
      <c r="AD145" s="151" t="s">
        <v>188</v>
      </c>
      <c r="AE145" s="151" t="s">
        <v>22</v>
      </c>
      <c r="AF145" s="151" t="s">
        <v>25</v>
      </c>
      <c r="AG145" s="151" t="s">
        <v>25</v>
      </c>
      <c r="AH145" s="151" t="s">
        <v>25</v>
      </c>
      <c r="AI145" s="151">
        <v>0.0</v>
      </c>
      <c r="AJ145" s="146">
        <v>287.0</v>
      </c>
      <c r="AK145" s="155" t="s">
        <v>513</v>
      </c>
      <c r="AL145" s="151" t="s">
        <v>22</v>
      </c>
      <c r="AM145" s="151" t="s">
        <v>22</v>
      </c>
      <c r="AN145" s="151" t="s">
        <v>155</v>
      </c>
      <c r="AO145" s="151" t="s">
        <v>80</v>
      </c>
      <c r="AP145" s="151" t="s">
        <v>80</v>
      </c>
      <c r="AQ145" s="164"/>
      <c r="AR145" s="151" t="s">
        <v>158</v>
      </c>
      <c r="AS145" s="159">
        <v>46232.0</v>
      </c>
      <c r="AT145" s="160">
        <f>Calculo!AQ145</f>
        <v>14</v>
      </c>
      <c r="AU145" s="161" t="str">
        <f>Calculo!AV145</f>
        <v>SEM-RISCO</v>
      </c>
      <c r="AV145" s="162" t="str">
        <f>Calculo!AW145</f>
        <v>LIBERADO</v>
      </c>
      <c r="AW145" s="161" t="str">
        <f>Calculo!AX145</f>
        <v>SOLICITAR PED COMPRA</v>
      </c>
      <c r="AX145" s="161" t="str">
        <f>Calculo!K145</f>
        <v>SOLIC CONTRATO DE ENTREGA</v>
      </c>
      <c r="AY145" s="161" t="str">
        <f>Calculo!AY145</f>
        <v>N/A</v>
      </c>
      <c r="AZ145" s="161" t="str">
        <f>Calculo!AZ145</f>
        <v>N/A</v>
      </c>
      <c r="BA145" s="163"/>
    </row>
    <row r="146" ht="12.0" customHeight="1">
      <c r="A146" s="88" t="str">
        <f>'Parâmetros'!$A$19</f>
        <v>Rel. Básico PJ</v>
      </c>
      <c r="B146" s="146">
        <v>310.0</v>
      </c>
      <c r="C146" s="146">
        <v>26096.0</v>
      </c>
      <c r="D146" s="146" t="s">
        <v>142</v>
      </c>
      <c r="E146" s="149" t="s">
        <v>514</v>
      </c>
      <c r="F146" s="151">
        <v>3175.0</v>
      </c>
      <c r="G146" s="151" t="s">
        <v>147</v>
      </c>
      <c r="H146" s="146" t="s">
        <v>22</v>
      </c>
      <c r="I146" s="146" t="s">
        <v>25</v>
      </c>
      <c r="J146" s="146" t="s">
        <v>25</v>
      </c>
      <c r="K146" s="146" t="s">
        <v>25</v>
      </c>
      <c r="L146" s="146" t="s">
        <v>22</v>
      </c>
      <c r="M146" s="146" t="s">
        <v>22</v>
      </c>
      <c r="N146" s="146" t="s">
        <v>173</v>
      </c>
      <c r="O146" s="146">
        <v>5.0</v>
      </c>
      <c r="P146" s="146" t="s">
        <v>22</v>
      </c>
      <c r="Q146" s="146">
        <v>100.0</v>
      </c>
      <c r="R146" s="146" t="s">
        <v>25</v>
      </c>
      <c r="S146" s="146" t="s">
        <v>22</v>
      </c>
      <c r="T146" s="146" t="s">
        <v>25</v>
      </c>
      <c r="U146" s="146" t="s">
        <v>22</v>
      </c>
      <c r="V146" s="146" t="s">
        <v>22</v>
      </c>
      <c r="W146" s="146" t="s">
        <v>25</v>
      </c>
      <c r="X146" s="146" t="s">
        <v>22</v>
      </c>
      <c r="Y146" s="146" t="s">
        <v>22</v>
      </c>
      <c r="Z146" s="146" t="s">
        <v>25</v>
      </c>
      <c r="AA146" s="146" t="s">
        <v>22</v>
      </c>
      <c r="AB146" s="153">
        <v>32562.0</v>
      </c>
      <c r="AC146" s="146" t="s">
        <v>25</v>
      </c>
      <c r="AD146" s="151" t="s">
        <v>459</v>
      </c>
      <c r="AE146" s="151" t="s">
        <v>22</v>
      </c>
      <c r="AF146" s="151" t="s">
        <v>25</v>
      </c>
      <c r="AG146" s="151" t="s">
        <v>25</v>
      </c>
      <c r="AH146" s="151" t="s">
        <v>25</v>
      </c>
      <c r="AI146" s="151">
        <v>0.0</v>
      </c>
      <c r="AJ146" s="146">
        <v>782.0</v>
      </c>
      <c r="AK146" s="155" t="s">
        <v>515</v>
      </c>
      <c r="AL146" s="151" t="s">
        <v>22</v>
      </c>
      <c r="AM146" s="151" t="s">
        <v>22</v>
      </c>
      <c r="AN146" s="151" t="s">
        <v>155</v>
      </c>
      <c r="AO146" s="151" t="s">
        <v>80</v>
      </c>
      <c r="AP146" s="151" t="s">
        <v>80</v>
      </c>
      <c r="AQ146" s="157"/>
      <c r="AR146" s="151" t="s">
        <v>158</v>
      </c>
      <c r="AS146" s="159">
        <v>46232.0</v>
      </c>
      <c r="AT146" s="160">
        <f>Calculo!AQ146</f>
        <v>62</v>
      </c>
      <c r="AU146" s="161" t="str">
        <f>Calculo!AV146</f>
        <v>SEM-RISCO</v>
      </c>
      <c r="AV146" s="162" t="str">
        <f>Calculo!AW146</f>
        <v>LIBERADO</v>
      </c>
      <c r="AW146" s="161" t="str">
        <f>Calculo!AX146</f>
        <v>N/A</v>
      </c>
      <c r="AX146" s="161" t="str">
        <f>Calculo!K146</f>
        <v>SOLIC CONTRATO DE ENTREGA</v>
      </c>
      <c r="AY146" s="161" t="str">
        <f>Calculo!AY146</f>
        <v>N/A</v>
      </c>
      <c r="AZ146" s="161" t="str">
        <f>Calculo!AZ146</f>
        <v>N/A</v>
      </c>
      <c r="BA146" s="163"/>
    </row>
    <row r="147" ht="12.0" customHeight="1">
      <c r="A147" s="88" t="str">
        <f>'Parâmetros'!$A$19</f>
        <v>Rel. Básico PJ</v>
      </c>
      <c r="B147" s="146">
        <v>311.0</v>
      </c>
      <c r="C147" s="146">
        <v>25567.0</v>
      </c>
      <c r="D147" s="146" t="s">
        <v>142</v>
      </c>
      <c r="E147" s="149" t="s">
        <v>516</v>
      </c>
      <c r="F147" s="151">
        <v>13875.0</v>
      </c>
      <c r="G147" s="151" t="s">
        <v>147</v>
      </c>
      <c r="H147" s="146" t="s">
        <v>22</v>
      </c>
      <c r="I147" s="146" t="s">
        <v>25</v>
      </c>
      <c r="J147" s="146" t="s">
        <v>25</v>
      </c>
      <c r="K147" s="146" t="s">
        <v>25</v>
      </c>
      <c r="L147" s="146" t="s">
        <v>22</v>
      </c>
      <c r="M147" s="146" t="s">
        <v>22</v>
      </c>
      <c r="N147" s="146" t="s">
        <v>173</v>
      </c>
      <c r="O147" s="146">
        <v>5.0</v>
      </c>
      <c r="P147" s="146" t="s">
        <v>25</v>
      </c>
      <c r="Q147" s="146">
        <v>100.0</v>
      </c>
      <c r="R147" s="146" t="s">
        <v>25</v>
      </c>
      <c r="S147" s="146" t="s">
        <v>25</v>
      </c>
      <c r="T147" s="146" t="s">
        <v>25</v>
      </c>
      <c r="U147" s="146" t="s">
        <v>22</v>
      </c>
      <c r="V147" s="146" t="s">
        <v>22</v>
      </c>
      <c r="W147" s="146" t="s">
        <v>25</v>
      </c>
      <c r="X147" s="146" t="s">
        <v>22</v>
      </c>
      <c r="Y147" s="146" t="s">
        <v>22</v>
      </c>
      <c r="Z147" s="146" t="s">
        <v>25</v>
      </c>
      <c r="AA147" s="146" t="s">
        <v>22</v>
      </c>
      <c r="AB147" s="153">
        <v>42520.0</v>
      </c>
      <c r="AC147" s="146" t="s">
        <v>25</v>
      </c>
      <c r="AD147" s="151" t="s">
        <v>344</v>
      </c>
      <c r="AE147" s="151" t="s">
        <v>22</v>
      </c>
      <c r="AF147" s="151" t="s">
        <v>22</v>
      </c>
      <c r="AG147" s="151" t="s">
        <v>25</v>
      </c>
      <c r="AH147" s="151" t="s">
        <v>25</v>
      </c>
      <c r="AI147" s="151">
        <v>1211.43</v>
      </c>
      <c r="AJ147" s="146">
        <v>351.0</v>
      </c>
      <c r="AK147" s="155" t="s">
        <v>345</v>
      </c>
      <c r="AL147" s="151" t="s">
        <v>22</v>
      </c>
      <c r="AM147" s="151" t="s">
        <v>22</v>
      </c>
      <c r="AN147" s="151" t="s">
        <v>155</v>
      </c>
      <c r="AO147" s="151" t="s">
        <v>80</v>
      </c>
      <c r="AP147" s="151" t="s">
        <v>80</v>
      </c>
      <c r="AQ147" s="164"/>
      <c r="AR147" s="151" t="s">
        <v>158</v>
      </c>
      <c r="AS147" s="159">
        <v>46233.0</v>
      </c>
      <c r="AT147" s="160">
        <f>Calculo!AQ147</f>
        <v>24</v>
      </c>
      <c r="AU147" s="161" t="str">
        <f>Calculo!AV147</f>
        <v>SEM-RISCO</v>
      </c>
      <c r="AV147" s="162" t="str">
        <f>Calculo!AW147</f>
        <v>LIBERADO</v>
      </c>
      <c r="AW147" s="161" t="str">
        <f>Calculo!AX147</f>
        <v>SOLICITAR PED COMPRA</v>
      </c>
      <c r="AX147" s="161" t="str">
        <f>Calculo!K147</f>
        <v>SOLIC CONTRATO DE ENTREGA</v>
      </c>
      <c r="AY147" s="161" t="str">
        <f>Calculo!AY147</f>
        <v>N/A</v>
      </c>
      <c r="AZ147" s="161" t="str">
        <f>Calculo!AZ147</f>
        <v>N/A</v>
      </c>
      <c r="BA147" s="163"/>
    </row>
    <row r="148" ht="12.0" customHeight="1">
      <c r="A148" s="88" t="str">
        <f>'Parâmetros'!$A$19</f>
        <v>Rel. Básico PJ</v>
      </c>
      <c r="B148" s="146">
        <v>695.0</v>
      </c>
      <c r="C148" s="146">
        <v>25871.0</v>
      </c>
      <c r="D148" s="146" t="s">
        <v>142</v>
      </c>
      <c r="E148" s="149" t="s">
        <v>397</v>
      </c>
      <c r="F148" s="151">
        <v>1079.0</v>
      </c>
      <c r="G148" s="151" t="s">
        <v>147</v>
      </c>
      <c r="H148" s="146" t="s">
        <v>22</v>
      </c>
      <c r="I148" s="146" t="s">
        <v>25</v>
      </c>
      <c r="J148" s="146" t="s">
        <v>25</v>
      </c>
      <c r="K148" s="146" t="s">
        <v>25</v>
      </c>
      <c r="L148" s="146" t="s">
        <v>25</v>
      </c>
      <c r="M148" s="146" t="s">
        <v>22</v>
      </c>
      <c r="N148" s="146" t="s">
        <v>148</v>
      </c>
      <c r="O148" s="146" t="s">
        <v>140</v>
      </c>
      <c r="P148" s="146" t="s">
        <v>25</v>
      </c>
      <c r="Q148" s="146">
        <v>100.0</v>
      </c>
      <c r="R148" s="146" t="s">
        <v>25</v>
      </c>
      <c r="S148" s="146" t="s">
        <v>22</v>
      </c>
      <c r="T148" s="146" t="s">
        <v>22</v>
      </c>
      <c r="U148" s="146" t="s">
        <v>22</v>
      </c>
      <c r="V148" s="146" t="s">
        <v>22</v>
      </c>
      <c r="W148" s="146" t="s">
        <v>25</v>
      </c>
      <c r="X148" s="146" t="s">
        <v>22</v>
      </c>
      <c r="Y148" s="146" t="s">
        <v>22</v>
      </c>
      <c r="Z148" s="146" t="s">
        <v>25</v>
      </c>
      <c r="AA148" s="146" t="s">
        <v>22</v>
      </c>
      <c r="AB148" s="153">
        <v>44074.0</v>
      </c>
      <c r="AC148" s="146" t="s">
        <v>25</v>
      </c>
      <c r="AD148" s="151" t="s">
        <v>398</v>
      </c>
      <c r="AE148" s="151" t="s">
        <v>22</v>
      </c>
      <c r="AF148" s="151" t="s">
        <v>25</v>
      </c>
      <c r="AG148" s="151" t="s">
        <v>25</v>
      </c>
      <c r="AH148" s="151" t="s">
        <v>22</v>
      </c>
      <c r="AI148" s="151">
        <v>625.45</v>
      </c>
      <c r="AJ148" s="146">
        <v>641.0</v>
      </c>
      <c r="AK148" s="155" t="s">
        <v>399</v>
      </c>
      <c r="AL148" s="151" t="s">
        <v>22</v>
      </c>
      <c r="AM148" s="151" t="s">
        <v>22</v>
      </c>
      <c r="AN148" s="151" t="s">
        <v>155</v>
      </c>
      <c r="AO148" s="151" t="s">
        <v>80</v>
      </c>
      <c r="AP148" s="151" t="s">
        <v>80</v>
      </c>
      <c r="AQ148" s="164"/>
      <c r="AR148" s="151" t="s">
        <v>158</v>
      </c>
      <c r="AS148" s="159">
        <v>46233.0</v>
      </c>
      <c r="AT148" s="160">
        <f>Calculo!AQ148</f>
        <v>55</v>
      </c>
      <c r="AU148" s="161" t="str">
        <f>Calculo!AV148</f>
        <v>SEM-RISCO</v>
      </c>
      <c r="AV148" s="162" t="str">
        <f>Calculo!AW148</f>
        <v>LIBERADO</v>
      </c>
      <c r="AW148" s="161" t="str">
        <f>Calculo!AX148</f>
        <v>N/A</v>
      </c>
      <c r="AX148" s="161" t="str">
        <f>Calculo!K148</f>
        <v>N/A</v>
      </c>
      <c r="AY148" s="161" t="str">
        <f>Calculo!AY148</f>
        <v>N/A</v>
      </c>
      <c r="AZ148" s="161" t="str">
        <f>Calculo!AZ148</f>
        <v>N/A</v>
      </c>
      <c r="BA148" s="163"/>
    </row>
    <row r="149" ht="12.0" customHeight="1">
      <c r="A149" s="88" t="str">
        <f>'Parâmetros'!$A$19</f>
        <v>Rel. Básico PJ</v>
      </c>
      <c r="B149" s="146">
        <v>313.0</v>
      </c>
      <c r="C149" s="146">
        <v>25771.0</v>
      </c>
      <c r="D149" s="146" t="s">
        <v>142</v>
      </c>
      <c r="E149" s="149" t="s">
        <v>517</v>
      </c>
      <c r="F149" s="151">
        <v>5868.5</v>
      </c>
      <c r="G149" s="151" t="s">
        <v>147</v>
      </c>
      <c r="H149" s="146" t="s">
        <v>22</v>
      </c>
      <c r="I149" s="146" t="s">
        <v>25</v>
      </c>
      <c r="J149" s="146" t="s">
        <v>25</v>
      </c>
      <c r="K149" s="146" t="s">
        <v>25</v>
      </c>
      <c r="L149" s="146" t="s">
        <v>22</v>
      </c>
      <c r="M149" s="146" t="s">
        <v>22</v>
      </c>
      <c r="N149" s="146" t="s">
        <v>173</v>
      </c>
      <c r="O149" s="146">
        <v>5.0</v>
      </c>
      <c r="P149" s="146" t="s">
        <v>25</v>
      </c>
      <c r="Q149" s="146">
        <v>100.0</v>
      </c>
      <c r="R149" s="146" t="s">
        <v>25</v>
      </c>
      <c r="S149" s="146" t="s">
        <v>25</v>
      </c>
      <c r="T149" s="146" t="s">
        <v>25</v>
      </c>
      <c r="U149" s="146" t="s">
        <v>22</v>
      </c>
      <c r="V149" s="146" t="s">
        <v>22</v>
      </c>
      <c r="W149" s="146" t="s">
        <v>22</v>
      </c>
      <c r="X149" s="146" t="s">
        <v>22</v>
      </c>
      <c r="Y149" s="146" t="s">
        <v>25</v>
      </c>
      <c r="Z149" s="146" t="s">
        <v>25</v>
      </c>
      <c r="AA149" s="146" t="s">
        <v>22</v>
      </c>
      <c r="AB149" s="153">
        <v>44593.0</v>
      </c>
      <c r="AC149" s="146" t="s">
        <v>25</v>
      </c>
      <c r="AD149" s="151" t="s">
        <v>392</v>
      </c>
      <c r="AE149" s="151" t="s">
        <v>22</v>
      </c>
      <c r="AF149" s="151" t="s">
        <v>25</v>
      </c>
      <c r="AG149" s="151" t="s">
        <v>25</v>
      </c>
      <c r="AH149" s="151" t="s">
        <v>25</v>
      </c>
      <c r="AI149" s="151">
        <v>0.0</v>
      </c>
      <c r="AJ149" s="146">
        <v>133.0</v>
      </c>
      <c r="AK149" s="155" t="s">
        <v>518</v>
      </c>
      <c r="AL149" s="151" t="s">
        <v>22</v>
      </c>
      <c r="AM149" s="151" t="s">
        <v>22</v>
      </c>
      <c r="AN149" s="151" t="s">
        <v>155</v>
      </c>
      <c r="AO149" s="151" t="s">
        <v>80</v>
      </c>
      <c r="AP149" s="151" t="s">
        <v>80</v>
      </c>
      <c r="AQ149" s="157" t="s">
        <v>519</v>
      </c>
      <c r="AR149" s="151"/>
      <c r="AS149" s="159">
        <v>46233.0</v>
      </c>
      <c r="AT149" s="160">
        <f>Calculo!AQ149</f>
        <v>0</v>
      </c>
      <c r="AU149" s="166" t="str">
        <f>Calculo!AV149</f>
        <v>GRANDE-OU-FALINDO:</v>
      </c>
      <c r="AV149" s="162" t="str">
        <f>Calculo!AW149</f>
        <v>SE FALINDO SÓ ANTECIPADO | SE GRANDE BUROCR PEGAR CONTATOS FINANCEIRO</v>
      </c>
      <c r="AW149" s="161" t="str">
        <f>Calculo!AX149</f>
        <v>SOLICITAR PED COMPRA</v>
      </c>
      <c r="AX149" s="161" t="str">
        <f>Calculo!K149</f>
        <v>SOLIC CONTRATO DE ENTREGA</v>
      </c>
      <c r="AY149" s="161" t="str">
        <f>Calculo!AY149</f>
        <v>N/A</v>
      </c>
      <c r="AZ149" s="161" t="str">
        <f>Calculo!AZ149</f>
        <v>N/A</v>
      </c>
      <c r="BA149" s="163"/>
    </row>
    <row r="150" ht="12.0" customHeight="1">
      <c r="A150" s="88" t="str">
        <f>'Parâmetros'!$A$19</f>
        <v>Rel. Básico PJ</v>
      </c>
      <c r="B150" s="146">
        <v>696.0</v>
      </c>
      <c r="C150" s="146">
        <v>26116.0</v>
      </c>
      <c r="D150" s="146" t="s">
        <v>142</v>
      </c>
      <c r="E150" s="149" t="s">
        <v>520</v>
      </c>
      <c r="F150" s="151">
        <v>2789.0</v>
      </c>
      <c r="G150" s="151" t="s">
        <v>147</v>
      </c>
      <c r="H150" s="146" t="s">
        <v>22</v>
      </c>
      <c r="I150" s="146" t="s">
        <v>25</v>
      </c>
      <c r="J150" s="146" t="s">
        <v>25</v>
      </c>
      <c r="K150" s="146" t="s">
        <v>25</v>
      </c>
      <c r="L150" s="146" t="s">
        <v>22</v>
      </c>
      <c r="M150" s="146" t="s">
        <v>25</v>
      </c>
      <c r="N150" s="146" t="s">
        <v>173</v>
      </c>
      <c r="O150" s="146">
        <v>0.0</v>
      </c>
      <c r="P150" s="146" t="s">
        <v>22</v>
      </c>
      <c r="Q150" s="146">
        <v>100.0</v>
      </c>
      <c r="R150" s="146" t="s">
        <v>25</v>
      </c>
      <c r="S150" s="146" t="s">
        <v>22</v>
      </c>
      <c r="T150" s="146" t="s">
        <v>25</v>
      </c>
      <c r="U150" s="146" t="s">
        <v>22</v>
      </c>
      <c r="V150" s="146" t="s">
        <v>22</v>
      </c>
      <c r="W150" s="146" t="s">
        <v>25</v>
      </c>
      <c r="X150" s="146" t="s">
        <v>22</v>
      </c>
      <c r="Y150" s="146" t="s">
        <v>22</v>
      </c>
      <c r="Z150" s="146" t="s">
        <v>25</v>
      </c>
      <c r="AA150" s="146" t="s">
        <v>22</v>
      </c>
      <c r="AB150" s="153">
        <v>32406.0</v>
      </c>
      <c r="AC150" s="146" t="s">
        <v>25</v>
      </c>
      <c r="AD150" s="151" t="s">
        <v>499</v>
      </c>
      <c r="AE150" s="151" t="s">
        <v>22</v>
      </c>
      <c r="AF150" s="151" t="s">
        <v>22</v>
      </c>
      <c r="AG150" s="151" t="s">
        <v>25</v>
      </c>
      <c r="AH150" s="151" t="s">
        <v>25</v>
      </c>
      <c r="AI150" s="151">
        <v>41.34</v>
      </c>
      <c r="AJ150" s="146">
        <v>731.0</v>
      </c>
      <c r="AK150" s="155" t="s">
        <v>521</v>
      </c>
      <c r="AL150" s="151" t="s">
        <v>22</v>
      </c>
      <c r="AM150" s="151" t="s">
        <v>22</v>
      </c>
      <c r="AN150" s="151" t="s">
        <v>155</v>
      </c>
      <c r="AO150" s="151" t="s">
        <v>80</v>
      </c>
      <c r="AP150" s="151" t="s">
        <v>80</v>
      </c>
      <c r="AQ150" s="164"/>
      <c r="AR150" s="151" t="s">
        <v>158</v>
      </c>
      <c r="AS150" s="159">
        <v>46234.0</v>
      </c>
      <c r="AT150" s="160">
        <f>Calculo!AQ150</f>
        <v>45</v>
      </c>
      <c r="AU150" s="161" t="str">
        <f>Calculo!AV150</f>
        <v>SEM-RISCO</v>
      </c>
      <c r="AV150" s="162" t="str">
        <f>Calculo!AW150</f>
        <v>LIBERADO</v>
      </c>
      <c r="AW150" s="161" t="str">
        <f>Calculo!AX150</f>
        <v>N/A</v>
      </c>
      <c r="AX150" s="161" t="str">
        <f>Calculo!K150</f>
        <v>SOLIC CONTRATO DE ENTREGA</v>
      </c>
      <c r="AY150" s="161" t="str">
        <f>Calculo!AY150</f>
        <v>CHECAGEM REVERSA</v>
      </c>
      <c r="AZ150" s="161" t="str">
        <f>Calculo!AZ150</f>
        <v>N/A</v>
      </c>
      <c r="BA150" s="163"/>
    </row>
    <row r="151" ht="12.0" customHeight="1">
      <c r="A151" s="88" t="str">
        <f>'Parâmetros'!$A$19</f>
        <v>Rel. Básico PJ</v>
      </c>
      <c r="B151" s="146">
        <v>1883.0</v>
      </c>
      <c r="C151" s="146">
        <v>26139.0</v>
      </c>
      <c r="D151" s="146" t="s">
        <v>171</v>
      </c>
      <c r="E151" s="149" t="s">
        <v>522</v>
      </c>
      <c r="F151" s="151">
        <v>424.0</v>
      </c>
      <c r="G151" s="151" t="s">
        <v>147</v>
      </c>
      <c r="H151" s="146" t="s">
        <v>22</v>
      </c>
      <c r="I151" s="146" t="s">
        <v>25</v>
      </c>
      <c r="J151" s="146" t="s">
        <v>25</v>
      </c>
      <c r="K151" s="146" t="s">
        <v>25</v>
      </c>
      <c r="L151" s="146" t="s">
        <v>25</v>
      </c>
      <c r="M151" s="146" t="s">
        <v>22</v>
      </c>
      <c r="N151" s="146" t="s">
        <v>173</v>
      </c>
      <c r="O151" s="146">
        <v>5.0</v>
      </c>
      <c r="P151" s="146" t="s">
        <v>22</v>
      </c>
      <c r="Q151" s="146">
        <v>100.0</v>
      </c>
      <c r="R151" s="146" t="s">
        <v>25</v>
      </c>
      <c r="S151" s="146" t="s">
        <v>22</v>
      </c>
      <c r="T151" s="146" t="s">
        <v>22</v>
      </c>
      <c r="U151" s="146" t="s">
        <v>22</v>
      </c>
      <c r="V151" s="146" t="s">
        <v>22</v>
      </c>
      <c r="W151" s="146" t="s">
        <v>25</v>
      </c>
      <c r="X151" s="146" t="s">
        <v>22</v>
      </c>
      <c r="Y151" s="146" t="s">
        <v>22</v>
      </c>
      <c r="Z151" s="146" t="s">
        <v>25</v>
      </c>
      <c r="AA151" s="146" t="s">
        <v>22</v>
      </c>
      <c r="AB151" s="153">
        <v>40903.0</v>
      </c>
      <c r="AC151" s="146" t="s">
        <v>25</v>
      </c>
      <c r="AD151" s="151" t="s">
        <v>523</v>
      </c>
      <c r="AE151" s="151" t="s">
        <v>22</v>
      </c>
      <c r="AF151" s="151" t="s">
        <v>25</v>
      </c>
      <c r="AG151" s="151" t="s">
        <v>25</v>
      </c>
      <c r="AH151" s="151" t="s">
        <v>25</v>
      </c>
      <c r="AI151" s="151">
        <v>0.0</v>
      </c>
      <c r="AJ151" s="146">
        <v>795.0</v>
      </c>
      <c r="AK151" s="155" t="s">
        <v>524</v>
      </c>
      <c r="AL151" s="151" t="s">
        <v>22</v>
      </c>
      <c r="AM151" s="151" t="s">
        <v>22</v>
      </c>
      <c r="AN151" s="151" t="s">
        <v>155</v>
      </c>
      <c r="AO151" s="151" t="s">
        <v>80</v>
      </c>
      <c r="AP151" s="151" t="s">
        <v>80</v>
      </c>
      <c r="AQ151" s="157"/>
      <c r="AR151" s="151" t="s">
        <v>158</v>
      </c>
      <c r="AS151" s="159">
        <v>46237.0</v>
      </c>
      <c r="AT151" s="160">
        <f>Calculo!AQ151</f>
        <v>77</v>
      </c>
      <c r="AU151" s="161" t="str">
        <f>Calculo!AV151</f>
        <v>SEM-RISCO</v>
      </c>
      <c r="AV151" s="162" t="str">
        <f>Calculo!AW151</f>
        <v>LIBERADO</v>
      </c>
      <c r="AW151" s="161" t="str">
        <f>Calculo!AX151</f>
        <v>N/A</v>
      </c>
      <c r="AX151" s="161" t="str">
        <f>Calculo!K151</f>
        <v>N/A</v>
      </c>
      <c r="AY151" s="161" t="str">
        <f>Calculo!AY151</f>
        <v>N/A</v>
      </c>
      <c r="AZ151" s="161" t="str">
        <f>Calculo!AZ151</f>
        <v>N/A</v>
      </c>
      <c r="BA151" s="163"/>
    </row>
    <row r="152" ht="12.0" customHeight="1">
      <c r="A152" s="88" t="str">
        <f>'Parâmetros'!$A$19</f>
        <v>Rel. Básico PJ</v>
      </c>
      <c r="B152" s="146">
        <v>316.0</v>
      </c>
      <c r="C152" s="146">
        <v>26051.0</v>
      </c>
      <c r="D152" s="146" t="s">
        <v>142</v>
      </c>
      <c r="E152" s="149" t="s">
        <v>525</v>
      </c>
      <c r="F152" s="151">
        <v>3140.0</v>
      </c>
      <c r="G152" s="151" t="s">
        <v>147</v>
      </c>
      <c r="H152" s="146" t="s">
        <v>22</v>
      </c>
      <c r="I152" s="146" t="s">
        <v>25</v>
      </c>
      <c r="J152" s="146" t="s">
        <v>25</v>
      </c>
      <c r="K152" s="146" t="s">
        <v>25</v>
      </c>
      <c r="L152" s="146" t="s">
        <v>22</v>
      </c>
      <c r="M152" s="146" t="s">
        <v>22</v>
      </c>
      <c r="N152" s="146" t="s">
        <v>173</v>
      </c>
      <c r="O152" s="146">
        <v>5.0</v>
      </c>
      <c r="P152" s="146" t="s">
        <v>22</v>
      </c>
      <c r="Q152" s="146">
        <v>100.0</v>
      </c>
      <c r="R152" s="146" t="s">
        <v>25</v>
      </c>
      <c r="S152" s="146" t="s">
        <v>25</v>
      </c>
      <c r="T152" s="146" t="s">
        <v>25</v>
      </c>
      <c r="U152" s="146" t="s">
        <v>22</v>
      </c>
      <c r="V152" s="146" t="s">
        <v>22</v>
      </c>
      <c r="W152" s="146" t="s">
        <v>22</v>
      </c>
      <c r="X152" s="146" t="s">
        <v>22</v>
      </c>
      <c r="Y152" s="146" t="s">
        <v>22</v>
      </c>
      <c r="Z152" s="146" t="s">
        <v>25</v>
      </c>
      <c r="AA152" s="146" t="s">
        <v>22</v>
      </c>
      <c r="AB152" s="153">
        <v>43725.0</v>
      </c>
      <c r="AC152" s="146" t="s">
        <v>22</v>
      </c>
      <c r="AD152" s="151"/>
      <c r="AE152" s="151" t="s">
        <v>22</v>
      </c>
      <c r="AF152" s="151" t="s">
        <v>22</v>
      </c>
      <c r="AG152" s="151" t="s">
        <v>25</v>
      </c>
      <c r="AH152" s="151" t="s">
        <v>25</v>
      </c>
      <c r="AI152" s="151">
        <v>5126.26</v>
      </c>
      <c r="AJ152" s="146">
        <v>374.0</v>
      </c>
      <c r="AK152" s="155" t="s">
        <v>494</v>
      </c>
      <c r="AL152" s="151" t="s">
        <v>22</v>
      </c>
      <c r="AM152" s="151" t="s">
        <v>22</v>
      </c>
      <c r="AN152" s="151" t="s">
        <v>155</v>
      </c>
      <c r="AO152" s="151" t="s">
        <v>80</v>
      </c>
      <c r="AP152" s="151" t="s">
        <v>80</v>
      </c>
      <c r="AQ152" s="157"/>
      <c r="AR152" s="151" t="s">
        <v>158</v>
      </c>
      <c r="AS152" s="159">
        <v>6620603.0</v>
      </c>
      <c r="AT152" s="160">
        <f>Calculo!AQ152</f>
        <v>6</v>
      </c>
      <c r="AU152" s="161" t="str">
        <f>Calculo!AV152</f>
        <v>SEM-RISCO</v>
      </c>
      <c r="AV152" s="162" t="str">
        <f>Calculo!AW152</f>
        <v>LIBERADO</v>
      </c>
      <c r="AW152" s="161" t="str">
        <f>Calculo!AX152</f>
        <v>N/A</v>
      </c>
      <c r="AX152" s="161" t="str">
        <f>Calculo!K152</f>
        <v>SOLIC CONTRATO DE ENTREGA</v>
      </c>
      <c r="AY152" s="161" t="str">
        <f>Calculo!AY152</f>
        <v>N/A</v>
      </c>
      <c r="AZ152" s="161" t="str">
        <f>Calculo!AZ152</f>
        <v>N/A</v>
      </c>
      <c r="BA152" s="163"/>
    </row>
    <row r="153" ht="12.0" customHeight="1">
      <c r="A153" s="88" t="str">
        <f>'Parâmetros'!$A$19</f>
        <v>Rel. Básico PJ</v>
      </c>
      <c r="B153" s="146">
        <v>317.0</v>
      </c>
      <c r="C153" s="146">
        <v>26155.0</v>
      </c>
      <c r="D153" s="146" t="s">
        <v>142</v>
      </c>
      <c r="E153" s="149" t="s">
        <v>526</v>
      </c>
      <c r="F153" s="151">
        <v>3140.0</v>
      </c>
      <c r="G153" s="151" t="s">
        <v>147</v>
      </c>
      <c r="H153" s="146" t="s">
        <v>22</v>
      </c>
      <c r="I153" s="146" t="s">
        <v>25</v>
      </c>
      <c r="J153" s="146" t="s">
        <v>25</v>
      </c>
      <c r="K153" s="146" t="s">
        <v>25</v>
      </c>
      <c r="L153" s="146" t="s">
        <v>22</v>
      </c>
      <c r="M153" s="146" t="s">
        <v>22</v>
      </c>
      <c r="N153" s="146" t="s">
        <v>173</v>
      </c>
      <c r="O153" s="146">
        <v>5.0</v>
      </c>
      <c r="P153" s="146" t="s">
        <v>22</v>
      </c>
      <c r="Q153" s="146">
        <v>100.0</v>
      </c>
      <c r="R153" s="146" t="s">
        <v>25</v>
      </c>
      <c r="S153" s="146" t="s">
        <v>25</v>
      </c>
      <c r="T153" s="146" t="s">
        <v>25</v>
      </c>
      <c r="U153" s="146" t="s">
        <v>22</v>
      </c>
      <c r="V153" s="146" t="s">
        <v>22</v>
      </c>
      <c r="W153" s="146" t="s">
        <v>22</v>
      </c>
      <c r="X153" s="146" t="s">
        <v>22</v>
      </c>
      <c r="Y153" s="146" t="s">
        <v>22</v>
      </c>
      <c r="Z153" s="146" t="s">
        <v>25</v>
      </c>
      <c r="AA153" s="146" t="s">
        <v>22</v>
      </c>
      <c r="AB153" s="153">
        <v>43725.0</v>
      </c>
      <c r="AC153" s="146" t="s">
        <v>22</v>
      </c>
      <c r="AD153" s="151"/>
      <c r="AE153" s="151" t="s">
        <v>22</v>
      </c>
      <c r="AF153" s="151" t="s">
        <v>22</v>
      </c>
      <c r="AG153" s="151" t="s">
        <v>25</v>
      </c>
      <c r="AH153" s="151" t="s">
        <v>25</v>
      </c>
      <c r="AI153" s="151">
        <v>5126.26</v>
      </c>
      <c r="AJ153" s="146">
        <v>374.0</v>
      </c>
      <c r="AK153" s="155" t="s">
        <v>494</v>
      </c>
      <c r="AL153" s="151" t="s">
        <v>22</v>
      </c>
      <c r="AM153" s="151" t="s">
        <v>22</v>
      </c>
      <c r="AN153" s="151" t="s">
        <v>155</v>
      </c>
      <c r="AO153" s="151" t="s">
        <v>80</v>
      </c>
      <c r="AP153" s="151" t="s">
        <v>80</v>
      </c>
      <c r="AQ153" s="157"/>
      <c r="AR153" s="151" t="s">
        <v>158</v>
      </c>
      <c r="AS153" s="159">
        <v>46238.0</v>
      </c>
      <c r="AT153" s="160">
        <f>Calculo!AQ153</f>
        <v>6</v>
      </c>
      <c r="AU153" s="161" t="str">
        <f>Calculo!AV153</f>
        <v>SEM-RISCO</v>
      </c>
      <c r="AV153" s="162" t="str">
        <f>Calculo!AW153</f>
        <v>LIBERADO</v>
      </c>
      <c r="AW153" s="161" t="str">
        <f>Calculo!AX153</f>
        <v>N/A</v>
      </c>
      <c r="AX153" s="161" t="str">
        <f>Calculo!K153</f>
        <v>SOLIC CONTRATO DE ENTREGA</v>
      </c>
      <c r="AY153" s="161" t="str">
        <f>Calculo!AY153</f>
        <v>N/A</v>
      </c>
      <c r="AZ153" s="161" t="str">
        <f>Calculo!AZ153</f>
        <v>N/A</v>
      </c>
      <c r="BA153" s="163"/>
    </row>
    <row r="154" ht="12.0" customHeight="1">
      <c r="A154" s="88" t="str">
        <f>'Parâmetros'!$A$19</f>
        <v>Rel. Básico PJ</v>
      </c>
      <c r="B154" s="146">
        <v>318.0</v>
      </c>
      <c r="C154" s="146">
        <v>26159.0</v>
      </c>
      <c r="D154" s="146" t="s">
        <v>142</v>
      </c>
      <c r="E154" s="149" t="s">
        <v>509</v>
      </c>
      <c r="F154" s="151">
        <v>4378.1</v>
      </c>
      <c r="G154" s="151" t="s">
        <v>147</v>
      </c>
      <c r="H154" s="146" t="s">
        <v>22</v>
      </c>
      <c r="I154" s="146" t="s">
        <v>22</v>
      </c>
      <c r="J154" s="146" t="s">
        <v>25</v>
      </c>
      <c r="K154" s="146" t="s">
        <v>25</v>
      </c>
      <c r="L154" s="146" t="s">
        <v>22</v>
      </c>
      <c r="M154" s="146" t="s">
        <v>22</v>
      </c>
      <c r="N154" s="146" t="s">
        <v>289</v>
      </c>
      <c r="O154" s="146" t="s">
        <v>140</v>
      </c>
      <c r="P154" s="146" t="s">
        <v>22</v>
      </c>
      <c r="Q154" s="146">
        <v>100.0</v>
      </c>
      <c r="R154" s="146" t="s">
        <v>22</v>
      </c>
      <c r="S154" s="146" t="s">
        <v>22</v>
      </c>
      <c r="T154" s="146" t="s">
        <v>25</v>
      </c>
      <c r="U154" s="146" t="s">
        <v>22</v>
      </c>
      <c r="V154" s="146" t="s">
        <v>22</v>
      </c>
      <c r="W154" s="146" t="s">
        <v>25</v>
      </c>
      <c r="X154" s="146" t="s">
        <v>22</v>
      </c>
      <c r="Y154" s="146" t="s">
        <v>22</v>
      </c>
      <c r="Z154" s="146" t="s">
        <v>25</v>
      </c>
      <c r="AA154" s="146" t="s">
        <v>22</v>
      </c>
      <c r="AB154" s="153">
        <v>37461.0</v>
      </c>
      <c r="AC154" s="146" t="s">
        <v>25</v>
      </c>
      <c r="AD154" s="151" t="s">
        <v>510</v>
      </c>
      <c r="AE154" s="151" t="s">
        <v>22</v>
      </c>
      <c r="AF154" s="151" t="s">
        <v>25</v>
      </c>
      <c r="AG154" s="151" t="s">
        <v>25</v>
      </c>
      <c r="AH154" s="151" t="s">
        <v>25</v>
      </c>
      <c r="AI154" s="151">
        <v>0.0</v>
      </c>
      <c r="AJ154" s="146">
        <v>749.0</v>
      </c>
      <c r="AK154" s="155" t="s">
        <v>511</v>
      </c>
      <c r="AL154" s="151" t="s">
        <v>22</v>
      </c>
      <c r="AM154" s="151" t="s">
        <v>22</v>
      </c>
      <c r="AN154" s="151" t="s">
        <v>155</v>
      </c>
      <c r="AO154" s="151" t="s">
        <v>80</v>
      </c>
      <c r="AP154" s="151" t="s">
        <v>80</v>
      </c>
      <c r="AQ154" s="157"/>
      <c r="AR154" s="151" t="s">
        <v>158</v>
      </c>
      <c r="AS154" s="159">
        <v>46238.0</v>
      </c>
      <c r="AT154" s="160">
        <f>Calculo!AQ154</f>
        <v>67</v>
      </c>
      <c r="AU154" s="161" t="str">
        <f>Calculo!AV154</f>
        <v>SEM-RISCO</v>
      </c>
      <c r="AV154" s="162" t="str">
        <f>Calculo!AW154</f>
        <v>LIBERADO</v>
      </c>
      <c r="AW154" s="161" t="str">
        <f>Calculo!AX154</f>
        <v>N/A</v>
      </c>
      <c r="AX154" s="161" t="str">
        <f>Calculo!K154</f>
        <v>SOLIC CONTRATO DE ENTREGA</v>
      </c>
      <c r="AY154" s="161" t="str">
        <f>Calculo!AY154</f>
        <v>N/A</v>
      </c>
      <c r="AZ154" s="161" t="str">
        <f>Calculo!AZ154</f>
        <v>N/A</v>
      </c>
      <c r="BA154" s="163"/>
    </row>
    <row r="155" ht="12.0" customHeight="1">
      <c r="A155" s="88" t="str">
        <f>'Parâmetros'!$A$19</f>
        <v>Rel. Básico PJ</v>
      </c>
      <c r="B155" s="146">
        <v>320.0</v>
      </c>
      <c r="C155" s="146">
        <v>26114.0</v>
      </c>
      <c r="D155" s="146" t="s">
        <v>142</v>
      </c>
      <c r="E155" s="149" t="s">
        <v>458</v>
      </c>
      <c r="F155" s="151">
        <v>7602.0</v>
      </c>
      <c r="G155" s="151" t="s">
        <v>147</v>
      </c>
      <c r="H155" s="146" t="s">
        <v>22</v>
      </c>
      <c r="I155" s="146" t="s">
        <v>22</v>
      </c>
      <c r="J155" s="146" t="s">
        <v>25</v>
      </c>
      <c r="K155" s="146" t="s">
        <v>25</v>
      </c>
      <c r="L155" s="146" t="s">
        <v>22</v>
      </c>
      <c r="M155" s="146" t="s">
        <v>25</v>
      </c>
      <c r="N155" s="146" t="s">
        <v>173</v>
      </c>
      <c r="O155" s="146">
        <v>0.0</v>
      </c>
      <c r="P155" s="146" t="s">
        <v>22</v>
      </c>
      <c r="Q155" s="146">
        <v>100.0</v>
      </c>
      <c r="R155" s="146" t="s">
        <v>25</v>
      </c>
      <c r="S155" s="146" t="s">
        <v>22</v>
      </c>
      <c r="T155" s="146" t="s">
        <v>25</v>
      </c>
      <c r="U155" s="146" t="s">
        <v>22</v>
      </c>
      <c r="V155" s="146" t="s">
        <v>22</v>
      </c>
      <c r="W155" s="146" t="s">
        <v>25</v>
      </c>
      <c r="X155" s="146" t="s">
        <v>22</v>
      </c>
      <c r="Y155" s="146" t="s">
        <v>22</v>
      </c>
      <c r="Z155" s="146" t="s">
        <v>25</v>
      </c>
      <c r="AA155" s="146" t="s">
        <v>22</v>
      </c>
      <c r="AB155" s="153">
        <v>42775.0</v>
      </c>
      <c r="AC155" s="146" t="s">
        <v>25</v>
      </c>
      <c r="AD155" s="151" t="s">
        <v>459</v>
      </c>
      <c r="AE155" s="151" t="s">
        <v>22</v>
      </c>
      <c r="AF155" s="151" t="s">
        <v>25</v>
      </c>
      <c r="AG155" s="151" t="s">
        <v>25</v>
      </c>
      <c r="AH155" s="151" t="s">
        <v>22</v>
      </c>
      <c r="AI155" s="151">
        <v>3.336946695E7</v>
      </c>
      <c r="AJ155" s="146"/>
      <c r="AK155" s="155" t="s">
        <v>460</v>
      </c>
      <c r="AL155" s="151" t="s">
        <v>22</v>
      </c>
      <c r="AM155" s="151" t="s">
        <v>22</v>
      </c>
      <c r="AN155" s="151" t="s">
        <v>155</v>
      </c>
      <c r="AO155" s="151" t="s">
        <v>80</v>
      </c>
      <c r="AP155" s="151" t="s">
        <v>80</v>
      </c>
      <c r="AQ155" s="157"/>
      <c r="AR155" s="151" t="s">
        <v>158</v>
      </c>
      <c r="AS155" s="159">
        <v>46238.0</v>
      </c>
      <c r="AT155" s="160">
        <f>Calculo!AQ155</f>
        <v>6</v>
      </c>
      <c r="AU155" s="161" t="str">
        <f>Calculo!AV155</f>
        <v>SEM-RISCO</v>
      </c>
      <c r="AV155" s="162" t="str">
        <f>Calculo!AW155</f>
        <v>LIBERADO</v>
      </c>
      <c r="AW155" s="161" t="str">
        <f>Calculo!AX155</f>
        <v>SOLICITAR PED COMPRA</v>
      </c>
      <c r="AX155" s="161" t="str">
        <f>Calculo!K155</f>
        <v>SOLIC CONTRATO DE ENTREGA</v>
      </c>
      <c r="AY155" s="161" t="str">
        <f>Calculo!AY155</f>
        <v>CHECAGEM REVERSA</v>
      </c>
      <c r="AZ155" s="161" t="str">
        <f>Calculo!AZ155</f>
        <v>N/A</v>
      </c>
      <c r="BA155" s="163"/>
    </row>
    <row r="156" ht="12.0" customHeight="1">
      <c r="A156" s="88" t="str">
        <f>'Parâmetros'!$A$19</f>
        <v>Rel. Básico PJ</v>
      </c>
      <c r="B156" s="146">
        <v>709.0</v>
      </c>
      <c r="C156" s="146">
        <v>26129.0</v>
      </c>
      <c r="D156" s="146" t="s">
        <v>176</v>
      </c>
      <c r="E156" s="149" t="s">
        <v>527</v>
      </c>
      <c r="F156" s="151">
        <v>479.0</v>
      </c>
      <c r="G156" s="151" t="s">
        <v>147</v>
      </c>
      <c r="H156" s="146" t="s">
        <v>22</v>
      </c>
      <c r="I156" s="146" t="s">
        <v>25</v>
      </c>
      <c r="J156" s="146" t="s">
        <v>25</v>
      </c>
      <c r="K156" s="146" t="s">
        <v>25</v>
      </c>
      <c r="L156" s="146" t="s">
        <v>25</v>
      </c>
      <c r="M156" s="146" t="s">
        <v>22</v>
      </c>
      <c r="N156" s="146" t="s">
        <v>173</v>
      </c>
      <c r="O156" s="146" t="s">
        <v>140</v>
      </c>
      <c r="P156" s="146" t="s">
        <v>22</v>
      </c>
      <c r="Q156" s="146">
        <v>100.0</v>
      </c>
      <c r="R156" s="146" t="s">
        <v>25</v>
      </c>
      <c r="S156" s="146" t="s">
        <v>25</v>
      </c>
      <c r="T156" s="146" t="s">
        <v>25</v>
      </c>
      <c r="U156" s="146" t="s">
        <v>22</v>
      </c>
      <c r="V156" s="146" t="s">
        <v>22</v>
      </c>
      <c r="W156" s="146" t="s">
        <v>25</v>
      </c>
      <c r="X156" s="146" t="s">
        <v>22</v>
      </c>
      <c r="Y156" s="146" t="s">
        <v>22</v>
      </c>
      <c r="Z156" s="146" t="s">
        <v>25</v>
      </c>
      <c r="AA156" s="146" t="s">
        <v>22</v>
      </c>
      <c r="AB156" s="153">
        <v>36060.0</v>
      </c>
      <c r="AC156" s="146" t="s">
        <v>22</v>
      </c>
      <c r="AD156" s="151"/>
      <c r="AE156" s="151" t="s">
        <v>22</v>
      </c>
      <c r="AF156" s="151" t="s">
        <v>25</v>
      </c>
      <c r="AG156" s="151" t="s">
        <v>25</v>
      </c>
      <c r="AH156" s="151" t="s">
        <v>22</v>
      </c>
      <c r="AI156" s="151">
        <v>6716.7</v>
      </c>
      <c r="AJ156" s="146">
        <v>642.0</v>
      </c>
      <c r="AK156" s="155" t="s">
        <v>528</v>
      </c>
      <c r="AL156" s="151" t="s">
        <v>22</v>
      </c>
      <c r="AM156" s="151" t="s">
        <v>22</v>
      </c>
      <c r="AN156" s="151" t="s">
        <v>155</v>
      </c>
      <c r="AO156" s="151" t="s">
        <v>80</v>
      </c>
      <c r="AP156" s="151" t="s">
        <v>80</v>
      </c>
      <c r="AQ156" s="157"/>
      <c r="AR156" s="151" t="s">
        <v>190</v>
      </c>
      <c r="AS156" s="159">
        <v>46239.0</v>
      </c>
      <c r="AT156" s="160">
        <f>Calculo!AQ156</f>
        <v>2</v>
      </c>
      <c r="AU156" s="161" t="str">
        <f>Calculo!AV156</f>
        <v>GOLPE</v>
      </c>
      <c r="AV156" s="162" t="str">
        <f>Calculo!AW156</f>
        <v>ENTRADA OU A VISTA</v>
      </c>
      <c r="AW156" s="161" t="str">
        <f>Calculo!AX156</f>
        <v>N/A</v>
      </c>
      <c r="AX156" s="161" t="str">
        <f>Calculo!K156</f>
        <v>N/A</v>
      </c>
      <c r="AY156" s="161" t="str">
        <f>Calculo!AY156</f>
        <v>N/A</v>
      </c>
      <c r="AZ156" s="161" t="str">
        <f>Calculo!AZ156</f>
        <v>N/A</v>
      </c>
      <c r="BA156" s="163"/>
    </row>
    <row r="157" ht="12.0" customHeight="1">
      <c r="A157" s="88" t="str">
        <f>'Parâmetros'!$A$19</f>
        <v>Rel. Básico PJ</v>
      </c>
      <c r="B157" s="146">
        <v>326.0</v>
      </c>
      <c r="C157" s="146">
        <v>25486.0</v>
      </c>
      <c r="D157" s="146" t="s">
        <v>142</v>
      </c>
      <c r="E157" s="149" t="s">
        <v>529</v>
      </c>
      <c r="F157" s="151">
        <v>4103.1</v>
      </c>
      <c r="G157" s="151" t="s">
        <v>147</v>
      </c>
      <c r="H157" s="146" t="s">
        <v>22</v>
      </c>
      <c r="I157" s="146" t="s">
        <v>25</v>
      </c>
      <c r="J157" s="146" t="s">
        <v>25</v>
      </c>
      <c r="K157" s="146" t="s">
        <v>25</v>
      </c>
      <c r="L157" s="146" t="s">
        <v>22</v>
      </c>
      <c r="M157" s="146" t="s">
        <v>25</v>
      </c>
      <c r="N157" s="146" t="s">
        <v>173</v>
      </c>
      <c r="O157" s="146">
        <v>0.0</v>
      </c>
      <c r="P157" s="146" t="s">
        <v>25</v>
      </c>
      <c r="Q157" s="146">
        <v>100.0</v>
      </c>
      <c r="R157" s="146" t="s">
        <v>25</v>
      </c>
      <c r="S157" s="146" t="s">
        <v>25</v>
      </c>
      <c r="T157" s="146" t="s">
        <v>25</v>
      </c>
      <c r="U157" s="146" t="s">
        <v>22</v>
      </c>
      <c r="V157" s="146" t="s">
        <v>22</v>
      </c>
      <c r="W157" s="146" t="s">
        <v>25</v>
      </c>
      <c r="X157" s="146" t="s">
        <v>22</v>
      </c>
      <c r="Y157" s="146" t="s">
        <v>25</v>
      </c>
      <c r="Z157" s="146" t="s">
        <v>25</v>
      </c>
      <c r="AA157" s="146" t="s">
        <v>22</v>
      </c>
      <c r="AB157" s="153">
        <v>43209.0</v>
      </c>
      <c r="AC157" s="146" t="s">
        <v>25</v>
      </c>
      <c r="AD157" s="151" t="s">
        <v>188</v>
      </c>
      <c r="AE157" s="151" t="s">
        <v>22</v>
      </c>
      <c r="AF157" s="151" t="s">
        <v>25</v>
      </c>
      <c r="AG157" s="151" t="s">
        <v>25</v>
      </c>
      <c r="AH157" s="151" t="s">
        <v>25</v>
      </c>
      <c r="AI157" s="151">
        <v>0.0</v>
      </c>
      <c r="AJ157" s="146">
        <v>822.0</v>
      </c>
      <c r="AK157" s="155" t="s">
        <v>530</v>
      </c>
      <c r="AL157" s="151" t="s">
        <v>22</v>
      </c>
      <c r="AM157" s="151" t="s">
        <v>22</v>
      </c>
      <c r="AN157" s="151" t="s">
        <v>155</v>
      </c>
      <c r="AO157" s="151" t="s">
        <v>80</v>
      </c>
      <c r="AP157" s="151" t="s">
        <v>80</v>
      </c>
      <c r="AQ157" s="157"/>
      <c r="AR157" s="151" t="s">
        <v>158</v>
      </c>
      <c r="AS157" s="159">
        <v>46240.0</v>
      </c>
      <c r="AT157" s="160">
        <f>Calculo!AQ157</f>
        <v>18</v>
      </c>
      <c r="AU157" s="161" t="str">
        <f>Calculo!AV157</f>
        <v>SEM-RISCO</v>
      </c>
      <c r="AV157" s="162" t="str">
        <f>Calculo!AW157</f>
        <v>LIBERADO</v>
      </c>
      <c r="AW157" s="161" t="str">
        <f>Calculo!AX157</f>
        <v>N/A</v>
      </c>
      <c r="AX157" s="161" t="str">
        <f>Calculo!K157</f>
        <v>SOLIC CONTRATO DE ENTREGA</v>
      </c>
      <c r="AY157" s="161" t="str">
        <f>Calculo!AY157</f>
        <v>CHECAGEM REVERSA</v>
      </c>
      <c r="AZ157" s="161" t="str">
        <f>Calculo!AZ157</f>
        <v>N/A</v>
      </c>
      <c r="BA157" s="163"/>
    </row>
    <row r="158" ht="12.0" customHeight="1">
      <c r="A158" s="88" t="str">
        <f>'Parâmetros'!$A$19</f>
        <v>Rel. Básico PJ</v>
      </c>
      <c r="B158" s="146">
        <v>327.0</v>
      </c>
      <c r="C158" s="146">
        <v>25559.0</v>
      </c>
      <c r="D158" s="146" t="s">
        <v>142</v>
      </c>
      <c r="E158" s="149" t="s">
        <v>531</v>
      </c>
      <c r="F158" s="151">
        <v>6402.0</v>
      </c>
      <c r="G158" s="151" t="s">
        <v>147</v>
      </c>
      <c r="H158" s="146" t="s">
        <v>22</v>
      </c>
      <c r="I158" s="146" t="s">
        <v>25</v>
      </c>
      <c r="J158" s="146" t="s">
        <v>25</v>
      </c>
      <c r="K158" s="146" t="s">
        <v>25</v>
      </c>
      <c r="L158" s="146" t="s">
        <v>22</v>
      </c>
      <c r="M158" s="146" t="s">
        <v>25</v>
      </c>
      <c r="N158" s="146" t="s">
        <v>532</v>
      </c>
      <c r="O158" s="146">
        <v>0.0</v>
      </c>
      <c r="P158" s="146" t="s">
        <v>22</v>
      </c>
      <c r="Q158" s="146">
        <v>100.0</v>
      </c>
      <c r="R158" s="146" t="s">
        <v>25</v>
      </c>
      <c r="S158" s="146" t="s">
        <v>25</v>
      </c>
      <c r="T158" s="146" t="s">
        <v>25</v>
      </c>
      <c r="U158" s="146" t="s">
        <v>22</v>
      </c>
      <c r="V158" s="146" t="s">
        <v>22</v>
      </c>
      <c r="W158" s="146" t="s">
        <v>25</v>
      </c>
      <c r="X158" s="146" t="s">
        <v>22</v>
      </c>
      <c r="Y158" s="146" t="s">
        <v>22</v>
      </c>
      <c r="Z158" s="146" t="s">
        <v>25</v>
      </c>
      <c r="AA158" s="146" t="s">
        <v>22</v>
      </c>
      <c r="AB158" s="153">
        <v>39468.0</v>
      </c>
      <c r="AC158" s="146" t="s">
        <v>25</v>
      </c>
      <c r="AD158" s="151" t="s">
        <v>533</v>
      </c>
      <c r="AE158" s="151" t="s">
        <v>22</v>
      </c>
      <c r="AF158" s="151" t="s">
        <v>22</v>
      </c>
      <c r="AG158" s="151" t="s">
        <v>25</v>
      </c>
      <c r="AH158" s="151" t="s">
        <v>25</v>
      </c>
      <c r="AI158" s="151">
        <v>810.41</v>
      </c>
      <c r="AJ158" s="146">
        <v>425.0</v>
      </c>
      <c r="AK158" s="155" t="s">
        <v>534</v>
      </c>
      <c r="AL158" s="151" t="s">
        <v>22</v>
      </c>
      <c r="AM158" s="151" t="s">
        <v>22</v>
      </c>
      <c r="AN158" s="151" t="s">
        <v>155</v>
      </c>
      <c r="AO158" s="151" t="s">
        <v>80</v>
      </c>
      <c r="AP158" s="151" t="s">
        <v>80</v>
      </c>
      <c r="AQ158" s="157"/>
      <c r="AR158" s="151" t="s">
        <v>158</v>
      </c>
      <c r="AS158" s="159">
        <v>46241.0</v>
      </c>
      <c r="AT158" s="160">
        <f>Calculo!AQ158</f>
        <v>17</v>
      </c>
      <c r="AU158" s="161" t="str">
        <f>Calculo!AV158</f>
        <v>SEM-RISCO</v>
      </c>
      <c r="AV158" s="162" t="str">
        <f>Calculo!AW158</f>
        <v>LIBERADO</v>
      </c>
      <c r="AW158" s="161" t="str">
        <f>Calculo!AX158</f>
        <v>SOLICITAR PED COMPRA</v>
      </c>
      <c r="AX158" s="161" t="str">
        <f>Calculo!K158</f>
        <v>SOLIC CONTRATO DE ENTREGA</v>
      </c>
      <c r="AY158" s="161" t="str">
        <f>Calculo!AY158</f>
        <v>CHECAGEM REVERSA</v>
      </c>
      <c r="AZ158" s="161" t="str">
        <f>Calculo!AZ158</f>
        <v>N/A</v>
      </c>
      <c r="BA158" s="163"/>
    </row>
    <row r="159" ht="12.0" customHeight="1">
      <c r="A159" s="88" t="str">
        <f>'Parâmetros'!$A$19</f>
        <v>Rel. Básico PJ</v>
      </c>
      <c r="B159" s="146">
        <v>328.0</v>
      </c>
      <c r="C159" s="146">
        <v>26205.0</v>
      </c>
      <c r="D159" s="146" t="s">
        <v>142</v>
      </c>
      <c r="E159" s="149" t="s">
        <v>535</v>
      </c>
      <c r="F159" s="151">
        <v>7261.0</v>
      </c>
      <c r="G159" s="151" t="s">
        <v>147</v>
      </c>
      <c r="H159" s="146" t="s">
        <v>22</v>
      </c>
      <c r="I159" s="146" t="s">
        <v>25</v>
      </c>
      <c r="J159" s="146" t="s">
        <v>25</v>
      </c>
      <c r="K159" s="146" t="s">
        <v>25</v>
      </c>
      <c r="L159" s="146" t="s">
        <v>22</v>
      </c>
      <c r="M159" s="146" t="s">
        <v>22</v>
      </c>
      <c r="N159" s="146" t="s">
        <v>229</v>
      </c>
      <c r="O159" s="146" t="s">
        <v>140</v>
      </c>
      <c r="P159" s="146" t="s">
        <v>22</v>
      </c>
      <c r="Q159" s="146">
        <v>100.0</v>
      </c>
      <c r="R159" s="146" t="s">
        <v>25</v>
      </c>
      <c r="S159" s="146" t="s">
        <v>22</v>
      </c>
      <c r="T159" s="146" t="s">
        <v>25</v>
      </c>
      <c r="U159" s="146" t="s">
        <v>22</v>
      </c>
      <c r="V159" s="146" t="s">
        <v>22</v>
      </c>
      <c r="W159" s="146" t="s">
        <v>25</v>
      </c>
      <c r="X159" s="146" t="s">
        <v>22</v>
      </c>
      <c r="Y159" s="146" t="s">
        <v>22</v>
      </c>
      <c r="Z159" s="146" t="s">
        <v>25</v>
      </c>
      <c r="AA159" s="146" t="s">
        <v>22</v>
      </c>
      <c r="AB159" s="153">
        <v>31827.0</v>
      </c>
      <c r="AC159" s="146" t="s">
        <v>22</v>
      </c>
      <c r="AD159" s="151" t="s">
        <v>342</v>
      </c>
      <c r="AE159" s="151" t="s">
        <v>22</v>
      </c>
      <c r="AF159" s="151" t="s">
        <v>22</v>
      </c>
      <c r="AG159" s="151" t="s">
        <v>25</v>
      </c>
      <c r="AH159" s="151" t="s">
        <v>22</v>
      </c>
      <c r="AI159" s="151">
        <v>402881.44</v>
      </c>
      <c r="AJ159" s="146">
        <v>727.0</v>
      </c>
      <c r="AK159" s="155" t="s">
        <v>343</v>
      </c>
      <c r="AL159" s="151" t="s">
        <v>22</v>
      </c>
      <c r="AM159" s="151" t="s">
        <v>22</v>
      </c>
      <c r="AN159" s="151" t="s">
        <v>155</v>
      </c>
      <c r="AO159" s="151" t="s">
        <v>80</v>
      </c>
      <c r="AP159" s="151" t="s">
        <v>80</v>
      </c>
      <c r="AQ159" s="157"/>
      <c r="AR159" s="151" t="s">
        <v>158</v>
      </c>
      <c r="AS159" s="159">
        <v>46241.0</v>
      </c>
      <c r="AT159" s="160">
        <f>Calculo!AQ159</f>
        <v>33</v>
      </c>
      <c r="AU159" s="161" t="str">
        <f>Calculo!AV159</f>
        <v>SEM-RISCO</v>
      </c>
      <c r="AV159" s="162" t="str">
        <f>Calculo!AW159</f>
        <v>LIBERADO</v>
      </c>
      <c r="AW159" s="161" t="str">
        <f>Calculo!AX159</f>
        <v>SOLICITAR PED COMPRA</v>
      </c>
      <c r="AX159" s="161" t="str">
        <f>Calculo!K159</f>
        <v>SOLIC CONTRATO DE ENTREGA</v>
      </c>
      <c r="AY159" s="161" t="str">
        <f>Calculo!AY159</f>
        <v>N/A</v>
      </c>
      <c r="AZ159" s="161" t="str">
        <f>Calculo!AZ159</f>
        <v>N/A</v>
      </c>
      <c r="BA159" s="163"/>
    </row>
    <row r="160" ht="12.0" customHeight="1">
      <c r="A160" s="88" t="str">
        <f>'Parâmetros'!$A$19</f>
        <v>Rel. Básico PJ</v>
      </c>
      <c r="B160" s="146">
        <v>335.0</v>
      </c>
      <c r="C160" s="146">
        <v>26200.0</v>
      </c>
      <c r="D160" s="146" t="s">
        <v>142</v>
      </c>
      <c r="E160" s="149" t="s">
        <v>536</v>
      </c>
      <c r="F160" s="151">
        <v>3201.0</v>
      </c>
      <c r="G160" s="151" t="s">
        <v>147</v>
      </c>
      <c r="H160" s="146" t="s">
        <v>22</v>
      </c>
      <c r="I160" s="146" t="s">
        <v>25</v>
      </c>
      <c r="J160" s="146" t="s">
        <v>25</v>
      </c>
      <c r="K160" s="146" t="s">
        <v>25</v>
      </c>
      <c r="L160" s="146" t="s">
        <v>22</v>
      </c>
      <c r="M160" s="146" t="s">
        <v>22</v>
      </c>
      <c r="N160" s="146" t="s">
        <v>178</v>
      </c>
      <c r="O160" s="146">
        <v>5.0</v>
      </c>
      <c r="P160" s="146" t="s">
        <v>22</v>
      </c>
      <c r="Q160" s="146">
        <v>100.0</v>
      </c>
      <c r="R160" s="146" t="s">
        <v>25</v>
      </c>
      <c r="S160" s="146" t="s">
        <v>25</v>
      </c>
      <c r="T160" s="146" t="s">
        <v>25</v>
      </c>
      <c r="U160" s="146" t="s">
        <v>22</v>
      </c>
      <c r="V160" s="146" t="s">
        <v>22</v>
      </c>
      <c r="W160" s="146" t="s">
        <v>25</v>
      </c>
      <c r="X160" s="146" t="s">
        <v>22</v>
      </c>
      <c r="Y160" s="146" t="s">
        <v>22</v>
      </c>
      <c r="Z160" s="146" t="s">
        <v>25</v>
      </c>
      <c r="AA160" s="146" t="s">
        <v>22</v>
      </c>
      <c r="AB160" s="153">
        <v>44176.0</v>
      </c>
      <c r="AC160" s="146" t="s">
        <v>25</v>
      </c>
      <c r="AD160" s="151" t="s">
        <v>537</v>
      </c>
      <c r="AE160" s="151" t="s">
        <v>22</v>
      </c>
      <c r="AF160" s="151" t="s">
        <v>25</v>
      </c>
      <c r="AG160" s="151" t="s">
        <v>25</v>
      </c>
      <c r="AH160" s="151" t="s">
        <v>22</v>
      </c>
      <c r="AI160" s="151">
        <v>2271.66</v>
      </c>
      <c r="AJ160" s="146">
        <v>352.0</v>
      </c>
      <c r="AK160" s="155" t="s">
        <v>538</v>
      </c>
      <c r="AL160" s="151" t="s">
        <v>22</v>
      </c>
      <c r="AM160" s="151" t="s">
        <v>22</v>
      </c>
      <c r="AN160" s="151" t="s">
        <v>155</v>
      </c>
      <c r="AO160" s="151" t="s">
        <v>80</v>
      </c>
      <c r="AP160" s="151" t="s">
        <v>80</v>
      </c>
      <c r="AQ160" s="157"/>
      <c r="AR160" s="151" t="s">
        <v>158</v>
      </c>
      <c r="AS160" s="159">
        <v>46241.0</v>
      </c>
      <c r="AT160" s="160">
        <f>Calculo!AQ160</f>
        <v>15</v>
      </c>
      <c r="AU160" s="161" t="str">
        <f>Calculo!AV160</f>
        <v>SEM-RISCO</v>
      </c>
      <c r="AV160" s="162" t="str">
        <f>Calculo!AW160</f>
        <v>LIBERADO</v>
      </c>
      <c r="AW160" s="161" t="str">
        <f>Calculo!AX160</f>
        <v>N/A</v>
      </c>
      <c r="AX160" s="161" t="str">
        <f>Calculo!K160</f>
        <v>SOLIC CONTRATO DE ENTREGA</v>
      </c>
      <c r="AY160" s="161" t="str">
        <f>Calculo!AY160</f>
        <v>N/A</v>
      </c>
      <c r="AZ160" s="161" t="str">
        <f>Calculo!AZ160</f>
        <v>N/A</v>
      </c>
      <c r="BA160" s="163"/>
    </row>
    <row r="161" ht="12.0" customHeight="1">
      <c r="A161" s="88" t="str">
        <f>'Parâmetros'!$A$19</f>
        <v>Rel. Básico PJ</v>
      </c>
      <c r="B161" s="146" t="s">
        <v>140</v>
      </c>
      <c r="C161" s="146" t="s">
        <v>140</v>
      </c>
      <c r="D161" s="146" t="s">
        <v>142</v>
      </c>
      <c r="E161" s="149" t="s">
        <v>140</v>
      </c>
      <c r="F161" s="151">
        <v>85426.0</v>
      </c>
      <c r="G161" s="151" t="s">
        <v>147</v>
      </c>
      <c r="H161" s="146" t="s">
        <v>22</v>
      </c>
      <c r="I161" s="146" t="s">
        <v>25</v>
      </c>
      <c r="J161" s="146" t="s">
        <v>25</v>
      </c>
      <c r="K161" s="146" t="s">
        <v>25</v>
      </c>
      <c r="L161" s="146" t="s">
        <v>22</v>
      </c>
      <c r="M161" s="146" t="s">
        <v>22</v>
      </c>
      <c r="N161" s="146" t="s">
        <v>165</v>
      </c>
      <c r="O161" s="146">
        <v>5.0</v>
      </c>
      <c r="P161" s="146" t="s">
        <v>25</v>
      </c>
      <c r="Q161" s="146">
        <v>100.0</v>
      </c>
      <c r="R161" s="146" t="s">
        <v>25</v>
      </c>
      <c r="S161" s="146" t="s">
        <v>25</v>
      </c>
      <c r="T161" s="146" t="s">
        <v>25</v>
      </c>
      <c r="U161" s="146" t="s">
        <v>22</v>
      </c>
      <c r="V161" s="146" t="s">
        <v>22</v>
      </c>
      <c r="W161" s="146" t="s">
        <v>22</v>
      </c>
      <c r="X161" s="146" t="s">
        <v>22</v>
      </c>
      <c r="Y161" s="146" t="s">
        <v>22</v>
      </c>
      <c r="Z161" s="146" t="s">
        <v>25</v>
      </c>
      <c r="AA161" s="146" t="s">
        <v>22</v>
      </c>
      <c r="AB161" s="153">
        <v>44302.0</v>
      </c>
      <c r="AC161" s="146" t="s">
        <v>22</v>
      </c>
      <c r="AD161" s="151" t="s">
        <v>539</v>
      </c>
      <c r="AE161" s="151" t="s">
        <v>22</v>
      </c>
      <c r="AF161" s="151" t="s">
        <v>22</v>
      </c>
      <c r="AG161" s="151" t="s">
        <v>25</v>
      </c>
      <c r="AH161" s="151" t="s">
        <v>22</v>
      </c>
      <c r="AI161" s="151">
        <v>222891.25</v>
      </c>
      <c r="AJ161" s="146">
        <v>608.0</v>
      </c>
      <c r="AK161" s="155" t="s">
        <v>540</v>
      </c>
      <c r="AL161" s="151" t="s">
        <v>22</v>
      </c>
      <c r="AM161" s="151" t="s">
        <v>22</v>
      </c>
      <c r="AN161" s="151" t="s">
        <v>155</v>
      </c>
      <c r="AO161" s="151" t="s">
        <v>80</v>
      </c>
      <c r="AP161" s="151" t="s">
        <v>80</v>
      </c>
      <c r="AQ161" s="157" t="s">
        <v>541</v>
      </c>
      <c r="AR161" s="151"/>
      <c r="AS161" s="159">
        <v>46241.0</v>
      </c>
      <c r="AT161" s="160">
        <f>Calculo!AQ161</f>
        <v>-8</v>
      </c>
      <c r="AU161" s="166" t="str">
        <f>Calculo!AV161</f>
        <v>GRANDE-OU-FALINDO:</v>
      </c>
      <c r="AV161" s="162" t="str">
        <f>Calculo!AW161</f>
        <v>SE FALINDO SÓ ANTECIPADO | SE GRANDE BUROCR PEGAR CONTATOS FINANCEIRO</v>
      </c>
      <c r="AW161" s="161" t="str">
        <f>Calculo!AX161</f>
        <v>SOLICITAR PED COMPRA</v>
      </c>
      <c r="AX161" s="161" t="str">
        <f>Calculo!K161</f>
        <v>SOLIC CONTRATO DE ENTREGA</v>
      </c>
      <c r="AY161" s="161" t="str">
        <f>Calculo!AY161</f>
        <v>N/A</v>
      </c>
      <c r="AZ161" s="161" t="str">
        <f>Calculo!AZ161</f>
        <v>N/A</v>
      </c>
      <c r="BA161" s="163"/>
    </row>
    <row r="162" ht="12.0" customHeight="1">
      <c r="A162" s="88" t="str">
        <f>'Parâmetros'!$A$19</f>
        <v>Rel. Básico PJ</v>
      </c>
      <c r="B162" s="146">
        <v>330.0</v>
      </c>
      <c r="C162" s="146">
        <v>26193.0</v>
      </c>
      <c r="D162" s="146" t="s">
        <v>142</v>
      </c>
      <c r="E162" s="149" t="s">
        <v>542</v>
      </c>
      <c r="F162" s="151">
        <v>7759.03</v>
      </c>
      <c r="G162" s="151" t="s">
        <v>147</v>
      </c>
      <c r="H162" s="146" t="s">
        <v>22</v>
      </c>
      <c r="I162" s="146" t="s">
        <v>25</v>
      </c>
      <c r="J162" s="146" t="s">
        <v>25</v>
      </c>
      <c r="K162" s="146" t="s">
        <v>25</v>
      </c>
      <c r="L162" s="146" t="s">
        <v>22</v>
      </c>
      <c r="M162" s="146" t="s">
        <v>25</v>
      </c>
      <c r="N162" s="146" t="s">
        <v>173</v>
      </c>
      <c r="O162" s="146">
        <v>0.0</v>
      </c>
      <c r="P162" s="146" t="s">
        <v>22</v>
      </c>
      <c r="Q162" s="146">
        <v>100.0</v>
      </c>
      <c r="R162" s="146" t="s">
        <v>25</v>
      </c>
      <c r="S162" s="146" t="s">
        <v>25</v>
      </c>
      <c r="T162" s="146" t="s">
        <v>25</v>
      </c>
      <c r="U162" s="146" t="s">
        <v>22</v>
      </c>
      <c r="V162" s="146" t="s">
        <v>22</v>
      </c>
      <c r="W162" s="146" t="s">
        <v>25</v>
      </c>
      <c r="X162" s="146" t="s">
        <v>22</v>
      </c>
      <c r="Y162" s="146" t="s">
        <v>25</v>
      </c>
      <c r="Z162" s="146" t="s">
        <v>25</v>
      </c>
      <c r="AA162" s="146" t="s">
        <v>22</v>
      </c>
      <c r="AB162" s="153">
        <v>27103.0</v>
      </c>
      <c r="AC162" s="146" t="s">
        <v>25</v>
      </c>
      <c r="AD162" s="151" t="s">
        <v>543</v>
      </c>
      <c r="AE162" s="151" t="s">
        <v>22</v>
      </c>
      <c r="AF162" s="151" t="s">
        <v>25</v>
      </c>
      <c r="AG162" s="151" t="s">
        <v>25</v>
      </c>
      <c r="AH162" s="151" t="s">
        <v>25</v>
      </c>
      <c r="AI162" s="151">
        <v>0.0</v>
      </c>
      <c r="AJ162" s="146">
        <v>737.0</v>
      </c>
      <c r="AK162" s="155" t="s">
        <v>544</v>
      </c>
      <c r="AL162" s="151" t="s">
        <v>22</v>
      </c>
      <c r="AM162" s="151" t="s">
        <v>22</v>
      </c>
      <c r="AN162" s="151" t="s">
        <v>155</v>
      </c>
      <c r="AO162" s="151" t="s">
        <v>80</v>
      </c>
      <c r="AP162" s="151" t="s">
        <v>80</v>
      </c>
      <c r="AQ162" s="157" t="s">
        <v>545</v>
      </c>
      <c r="AR162" s="151" t="s">
        <v>158</v>
      </c>
      <c r="AS162" s="159">
        <v>46244.0</v>
      </c>
      <c r="AT162" s="160">
        <f>Calculo!AQ162</f>
        <v>32</v>
      </c>
      <c r="AU162" s="161" t="str">
        <f>Calculo!AV162</f>
        <v>SEM-RISCO</v>
      </c>
      <c r="AV162" s="162" t="str">
        <f>Calculo!AW162</f>
        <v>LIBERADO</v>
      </c>
      <c r="AW162" s="161" t="str">
        <f>Calculo!AX162</f>
        <v>SOLICITAR PED COMPRA</v>
      </c>
      <c r="AX162" s="161" t="str">
        <f>Calculo!K162</f>
        <v>SOLIC CONTRATO DE ENTREGA</v>
      </c>
      <c r="AY162" s="161" t="str">
        <f>Calculo!AY162</f>
        <v>CHECAGEM REVERSA</v>
      </c>
      <c r="AZ162" s="161" t="str">
        <f>Calculo!AZ162</f>
        <v>N/A</v>
      </c>
      <c r="BA162" s="163"/>
    </row>
    <row r="163" ht="12.0" customHeight="1">
      <c r="A163" s="88" t="str">
        <f>'Parâmetros'!$A$19</f>
        <v>Rel. Básico PJ</v>
      </c>
      <c r="B163" s="146">
        <v>730.0</v>
      </c>
      <c r="C163" s="146">
        <v>26293.0</v>
      </c>
      <c r="D163" s="146" t="s">
        <v>176</v>
      </c>
      <c r="E163" s="149" t="s">
        <v>546</v>
      </c>
      <c r="F163" s="151">
        <v>420.6</v>
      </c>
      <c r="G163" s="151" t="s">
        <v>147</v>
      </c>
      <c r="H163" s="146" t="s">
        <v>22</v>
      </c>
      <c r="I163" s="146" t="s">
        <v>25</v>
      </c>
      <c r="J163" s="146" t="s">
        <v>25</v>
      </c>
      <c r="K163" s="146" t="s">
        <v>25</v>
      </c>
      <c r="L163" s="146" t="s">
        <v>25</v>
      </c>
      <c r="M163" s="146" t="s">
        <v>22</v>
      </c>
      <c r="N163" s="146" t="s">
        <v>222</v>
      </c>
      <c r="O163" s="146" t="s">
        <v>140</v>
      </c>
      <c r="P163" s="146" t="s">
        <v>25</v>
      </c>
      <c r="Q163" s="146">
        <v>100.0</v>
      </c>
      <c r="R163" s="146" t="s">
        <v>25</v>
      </c>
      <c r="S163" s="146" t="s">
        <v>22</v>
      </c>
      <c r="T163" s="146" t="s">
        <v>22</v>
      </c>
      <c r="U163" s="146" t="s">
        <v>22</v>
      </c>
      <c r="V163" s="146" t="s">
        <v>22</v>
      </c>
      <c r="W163" s="146" t="s">
        <v>25</v>
      </c>
      <c r="X163" s="146" t="s">
        <v>22</v>
      </c>
      <c r="Y163" s="146" t="s">
        <v>22</v>
      </c>
      <c r="Z163" s="146" t="s">
        <v>25</v>
      </c>
      <c r="AA163" s="146" t="s">
        <v>22</v>
      </c>
      <c r="AB163" s="153">
        <v>38518.0</v>
      </c>
      <c r="AC163" s="146" t="s">
        <v>25</v>
      </c>
      <c r="AD163" s="151" t="s">
        <v>188</v>
      </c>
      <c r="AE163" s="151" t="s">
        <v>22</v>
      </c>
      <c r="AF163" s="151" t="s">
        <v>25</v>
      </c>
      <c r="AG163" s="151" t="s">
        <v>25</v>
      </c>
      <c r="AH163" s="151" t="s">
        <v>25</v>
      </c>
      <c r="AI163" s="151">
        <v>0.0</v>
      </c>
      <c r="AJ163" s="146">
        <v>767.0</v>
      </c>
      <c r="AK163" s="155" t="s">
        <v>547</v>
      </c>
      <c r="AL163" s="151" t="s">
        <v>22</v>
      </c>
      <c r="AM163" s="151" t="s">
        <v>22</v>
      </c>
      <c r="AN163" s="151" t="s">
        <v>155</v>
      </c>
      <c r="AO163" s="151" t="s">
        <v>80</v>
      </c>
      <c r="AP163" s="151" t="s">
        <v>80</v>
      </c>
      <c r="AQ163" s="157" t="s">
        <v>548</v>
      </c>
      <c r="AR163" s="151" t="s">
        <v>158</v>
      </c>
      <c r="AS163" s="159">
        <v>46244.0</v>
      </c>
      <c r="AT163" s="160">
        <f>Calculo!AQ163</f>
        <v>78</v>
      </c>
      <c r="AU163" s="161" t="str">
        <f>Calculo!AV163</f>
        <v>SEM-RISCO</v>
      </c>
      <c r="AV163" s="162" t="str">
        <f>Calculo!AW163</f>
        <v>LIBERADO</v>
      </c>
      <c r="AW163" s="161" t="str">
        <f>Calculo!AX163</f>
        <v>N/A</v>
      </c>
      <c r="AX163" s="161" t="str">
        <f>Calculo!K163</f>
        <v>N/A</v>
      </c>
      <c r="AY163" s="161" t="str">
        <f>Calculo!AY163</f>
        <v>N/A</v>
      </c>
      <c r="AZ163" s="161" t="str">
        <f>Calculo!AZ163</f>
        <v>N/A</v>
      </c>
      <c r="BA163" s="163"/>
    </row>
    <row r="164" ht="12.0" customHeight="1">
      <c r="A164" s="88" t="str">
        <f>'Parâmetros'!$A$19</f>
        <v>Rel. Básico PJ</v>
      </c>
      <c r="B164" s="146">
        <v>1885.0</v>
      </c>
      <c r="C164" s="146">
        <v>26220.0</v>
      </c>
      <c r="D164" s="146" t="s">
        <v>171</v>
      </c>
      <c r="E164" s="149" t="s">
        <v>549</v>
      </c>
      <c r="F164" s="151">
        <v>3141.72</v>
      </c>
      <c r="G164" s="151" t="s">
        <v>147</v>
      </c>
      <c r="H164" s="146" t="s">
        <v>22</v>
      </c>
      <c r="I164" s="146" t="s">
        <v>25</v>
      </c>
      <c r="J164" s="146" t="s">
        <v>25</v>
      </c>
      <c r="K164" s="146" t="s">
        <v>25</v>
      </c>
      <c r="L164" s="146" t="s">
        <v>25</v>
      </c>
      <c r="M164" s="146" t="s">
        <v>22</v>
      </c>
      <c r="N164" s="146" t="s">
        <v>165</v>
      </c>
      <c r="O164" s="146" t="s">
        <v>140</v>
      </c>
      <c r="P164" s="146" t="s">
        <v>25</v>
      </c>
      <c r="Q164" s="146">
        <v>100.0</v>
      </c>
      <c r="R164" s="146" t="s">
        <v>25</v>
      </c>
      <c r="S164" s="146" t="s">
        <v>22</v>
      </c>
      <c r="T164" s="146" t="s">
        <v>22</v>
      </c>
      <c r="U164" s="146" t="s">
        <v>22</v>
      </c>
      <c r="V164" s="146" t="s">
        <v>22</v>
      </c>
      <c r="W164" s="146" t="s">
        <v>25</v>
      </c>
      <c r="X164" s="146" t="s">
        <v>22</v>
      </c>
      <c r="Y164" s="146" t="s">
        <v>22</v>
      </c>
      <c r="Z164" s="146" t="s">
        <v>25</v>
      </c>
      <c r="AA164" s="146" t="s">
        <v>22</v>
      </c>
      <c r="AB164" s="153">
        <v>24364.0</v>
      </c>
      <c r="AC164" s="146" t="s">
        <v>22</v>
      </c>
      <c r="AD164" s="151" t="s">
        <v>550</v>
      </c>
      <c r="AE164" s="151" t="s">
        <v>22</v>
      </c>
      <c r="AF164" s="151" t="s">
        <v>25</v>
      </c>
      <c r="AG164" s="151" t="s">
        <v>25</v>
      </c>
      <c r="AH164" s="151" t="s">
        <v>25</v>
      </c>
      <c r="AI164" s="151">
        <v>0.0</v>
      </c>
      <c r="AJ164" s="146">
        <v>639.0</v>
      </c>
      <c r="AK164" s="155" t="s">
        <v>551</v>
      </c>
      <c r="AL164" s="151" t="s">
        <v>22</v>
      </c>
      <c r="AM164" s="151" t="s">
        <v>22</v>
      </c>
      <c r="AN164" s="151" t="s">
        <v>155</v>
      </c>
      <c r="AO164" s="151" t="s">
        <v>80</v>
      </c>
      <c r="AP164" s="151" t="s">
        <v>80</v>
      </c>
      <c r="AQ164" s="157"/>
      <c r="AR164" s="151" t="s">
        <v>158</v>
      </c>
      <c r="AS164" s="159">
        <v>46245.0</v>
      </c>
      <c r="AT164" s="160">
        <f>Calculo!AQ164</f>
        <v>83</v>
      </c>
      <c r="AU164" s="161" t="str">
        <f>Calculo!AV164</f>
        <v>SEM-RISCO</v>
      </c>
      <c r="AV164" s="162" t="str">
        <f>Calculo!AW164</f>
        <v>LIBERADO</v>
      </c>
      <c r="AW164" s="161" t="str">
        <f>Calculo!AX164</f>
        <v>N/A</v>
      </c>
      <c r="AX164" s="161" t="str">
        <f>Calculo!K164</f>
        <v>N/A</v>
      </c>
      <c r="AY164" s="161" t="str">
        <f>Calculo!AY164</f>
        <v>N/A</v>
      </c>
      <c r="AZ164" s="161" t="str">
        <f>Calculo!AZ164</f>
        <v>N/A</v>
      </c>
      <c r="BA164" s="163"/>
    </row>
    <row r="165" ht="12.0" customHeight="1">
      <c r="A165" s="88" t="str">
        <f>'Parâmetros'!$A$19</f>
        <v>Rel. Básico PJ</v>
      </c>
      <c r="B165" s="146">
        <v>332.0</v>
      </c>
      <c r="C165" s="146">
        <v>25615.0</v>
      </c>
      <c r="D165" s="146" t="s">
        <v>142</v>
      </c>
      <c r="E165" s="149" t="s">
        <v>552</v>
      </c>
      <c r="F165" s="151">
        <v>20359.0</v>
      </c>
      <c r="G165" s="151" t="s">
        <v>147</v>
      </c>
      <c r="H165" s="146" t="s">
        <v>22</v>
      </c>
      <c r="I165" s="146" t="s">
        <v>25</v>
      </c>
      <c r="J165" s="146" t="s">
        <v>25</v>
      </c>
      <c r="K165" s="146" t="s">
        <v>25</v>
      </c>
      <c r="L165" s="146" t="s">
        <v>22</v>
      </c>
      <c r="M165" s="146" t="s">
        <v>22</v>
      </c>
      <c r="N165" s="146" t="s">
        <v>178</v>
      </c>
      <c r="O165" s="146">
        <v>5.0</v>
      </c>
      <c r="P165" s="146" t="s">
        <v>22</v>
      </c>
      <c r="Q165" s="146">
        <v>100.0</v>
      </c>
      <c r="R165" s="146" t="s">
        <v>25</v>
      </c>
      <c r="S165" s="146" t="s">
        <v>25</v>
      </c>
      <c r="T165" s="146" t="s">
        <v>25</v>
      </c>
      <c r="U165" s="146" t="s">
        <v>22</v>
      </c>
      <c r="V165" s="146" t="s">
        <v>22</v>
      </c>
      <c r="W165" s="146" t="s">
        <v>25</v>
      </c>
      <c r="X165" s="146" t="s">
        <v>22</v>
      </c>
      <c r="Y165" s="146" t="s">
        <v>22</v>
      </c>
      <c r="Z165" s="146" t="s">
        <v>25</v>
      </c>
      <c r="AA165" s="146" t="s">
        <v>22</v>
      </c>
      <c r="AB165" s="153">
        <v>26406.0</v>
      </c>
      <c r="AC165" s="146" t="s">
        <v>22</v>
      </c>
      <c r="AD165" s="151" t="s">
        <v>553</v>
      </c>
      <c r="AE165" s="151" t="s">
        <v>22</v>
      </c>
      <c r="AF165" s="151" t="s">
        <v>25</v>
      </c>
      <c r="AG165" s="151" t="s">
        <v>25</v>
      </c>
      <c r="AH165" s="151" t="s">
        <v>25</v>
      </c>
      <c r="AI165" s="151">
        <v>0.0</v>
      </c>
      <c r="AJ165" s="146">
        <v>546.0</v>
      </c>
      <c r="AK165" s="155" t="s">
        <v>554</v>
      </c>
      <c r="AL165" s="151" t="s">
        <v>22</v>
      </c>
      <c r="AM165" s="151" t="s">
        <v>22</v>
      </c>
      <c r="AN165" s="151" t="s">
        <v>155</v>
      </c>
      <c r="AO165" s="151" t="s">
        <v>80</v>
      </c>
      <c r="AP165" s="151" t="s">
        <v>80</v>
      </c>
      <c r="AQ165" s="157"/>
      <c r="AR165" s="151" t="s">
        <v>158</v>
      </c>
      <c r="AS165" s="159">
        <v>46246.0</v>
      </c>
      <c r="AT165" s="160">
        <f>Calculo!AQ165</f>
        <v>51</v>
      </c>
      <c r="AU165" s="161" t="str">
        <f>Calculo!AV165</f>
        <v>SEM-RISCO</v>
      </c>
      <c r="AV165" s="162" t="str">
        <f>Calculo!AW165</f>
        <v>LIBERADO</v>
      </c>
      <c r="AW165" s="161" t="str">
        <f>Calculo!AX165</f>
        <v>SOLICITAR PED COMPRA</v>
      </c>
      <c r="AX165" s="161" t="str">
        <f>Calculo!K165</f>
        <v>SOLIC CONTRATO DE ENTREGA</v>
      </c>
      <c r="AY165" s="161" t="str">
        <f>Calculo!AY165</f>
        <v>N/A</v>
      </c>
      <c r="AZ165" s="161" t="str">
        <f>Calculo!AZ165</f>
        <v>N/A</v>
      </c>
      <c r="BA165" s="163"/>
    </row>
    <row r="166" ht="12.0" customHeight="1">
      <c r="A166" s="88" t="str">
        <f>'Parâmetros'!$A$19</f>
        <v>Rel. Básico PJ</v>
      </c>
      <c r="B166" s="146">
        <v>1886.0</v>
      </c>
      <c r="C166" s="146">
        <v>26242.0</v>
      </c>
      <c r="D166" s="146" t="s">
        <v>142</v>
      </c>
      <c r="E166" s="149" t="s">
        <v>555</v>
      </c>
      <c r="F166" s="151">
        <v>588.0</v>
      </c>
      <c r="G166" s="151" t="s">
        <v>147</v>
      </c>
      <c r="H166" s="146" t="s">
        <v>22</v>
      </c>
      <c r="I166" s="146" t="s">
        <v>25</v>
      </c>
      <c r="J166" s="146" t="s">
        <v>25</v>
      </c>
      <c r="K166" s="146" t="s">
        <v>25</v>
      </c>
      <c r="L166" s="146" t="s">
        <v>25</v>
      </c>
      <c r="M166" s="146" t="s">
        <v>22</v>
      </c>
      <c r="N166" s="146" t="s">
        <v>165</v>
      </c>
      <c r="O166" s="146" t="s">
        <v>140</v>
      </c>
      <c r="P166" s="146" t="s">
        <v>22</v>
      </c>
      <c r="Q166" s="146">
        <v>100.0</v>
      </c>
      <c r="R166" s="146" t="s">
        <v>25</v>
      </c>
      <c r="S166" s="146" t="s">
        <v>22</v>
      </c>
      <c r="T166" s="146" t="s">
        <v>22</v>
      </c>
      <c r="U166" s="146" t="s">
        <v>22</v>
      </c>
      <c r="V166" s="146" t="s">
        <v>22</v>
      </c>
      <c r="W166" s="146" t="s">
        <v>25</v>
      </c>
      <c r="X166" s="146" t="s">
        <v>22</v>
      </c>
      <c r="Y166" s="146" t="s">
        <v>22</v>
      </c>
      <c r="Z166" s="146" t="s">
        <v>25</v>
      </c>
      <c r="AA166" s="146" t="s">
        <v>22</v>
      </c>
      <c r="AB166" s="153">
        <v>24343.0</v>
      </c>
      <c r="AC166" s="146" t="s">
        <v>22</v>
      </c>
      <c r="AD166" s="151" t="s">
        <v>240</v>
      </c>
      <c r="AE166" s="151" t="s">
        <v>22</v>
      </c>
      <c r="AF166" s="151" t="s">
        <v>22</v>
      </c>
      <c r="AG166" s="151" t="s">
        <v>25</v>
      </c>
      <c r="AH166" s="151" t="s">
        <v>22</v>
      </c>
      <c r="AI166" s="151">
        <v>3.012232959E7</v>
      </c>
      <c r="AJ166" s="146"/>
      <c r="AK166" s="155" t="s">
        <v>241</v>
      </c>
      <c r="AL166" s="151" t="s">
        <v>22</v>
      </c>
      <c r="AM166" s="151" t="s">
        <v>22</v>
      </c>
      <c r="AN166" s="151" t="s">
        <v>155</v>
      </c>
      <c r="AO166" s="151" t="s">
        <v>80</v>
      </c>
      <c r="AP166" s="151" t="s">
        <v>80</v>
      </c>
      <c r="AQ166" s="157"/>
      <c r="AR166" s="151" t="s">
        <v>158</v>
      </c>
      <c r="AS166" s="159">
        <v>46246.0</v>
      </c>
      <c r="AT166" s="160">
        <f>Calculo!AQ166</f>
        <v>28</v>
      </c>
      <c r="AU166" s="161" t="str">
        <f>Calculo!AV166</f>
        <v>SEM-RISCO</v>
      </c>
      <c r="AV166" s="162" t="str">
        <f>Calculo!AW166</f>
        <v>LIBERADO</v>
      </c>
      <c r="AW166" s="161" t="str">
        <f>Calculo!AX166</f>
        <v>N/A</v>
      </c>
      <c r="AX166" s="161" t="str">
        <f>Calculo!K166</f>
        <v>N/A</v>
      </c>
      <c r="AY166" s="161" t="str">
        <f>Calculo!AY166</f>
        <v>N/A</v>
      </c>
      <c r="AZ166" s="161" t="str">
        <f>Calculo!AZ166</f>
        <v>N/A</v>
      </c>
      <c r="BA166" s="163"/>
    </row>
    <row r="167" ht="12.0" customHeight="1">
      <c r="A167" s="88" t="str">
        <f>'Parâmetros'!$A$19</f>
        <v>Rel. Básico PJ</v>
      </c>
      <c r="B167" s="146">
        <v>1887.0</v>
      </c>
      <c r="C167" s="146">
        <v>26244.0</v>
      </c>
      <c r="D167" s="146" t="s">
        <v>142</v>
      </c>
      <c r="E167" s="149" t="s">
        <v>555</v>
      </c>
      <c r="F167" s="151">
        <v>588.0</v>
      </c>
      <c r="G167" s="151" t="s">
        <v>147</v>
      </c>
      <c r="H167" s="146" t="s">
        <v>22</v>
      </c>
      <c r="I167" s="146" t="s">
        <v>25</v>
      </c>
      <c r="J167" s="146" t="s">
        <v>25</v>
      </c>
      <c r="K167" s="146" t="s">
        <v>25</v>
      </c>
      <c r="L167" s="146" t="s">
        <v>25</v>
      </c>
      <c r="M167" s="146" t="s">
        <v>22</v>
      </c>
      <c r="N167" s="146" t="s">
        <v>165</v>
      </c>
      <c r="O167" s="146" t="s">
        <v>140</v>
      </c>
      <c r="P167" s="146" t="s">
        <v>22</v>
      </c>
      <c r="Q167" s="146">
        <v>100.0</v>
      </c>
      <c r="R167" s="146" t="s">
        <v>25</v>
      </c>
      <c r="S167" s="146" t="s">
        <v>22</v>
      </c>
      <c r="T167" s="146" t="s">
        <v>22</v>
      </c>
      <c r="U167" s="146" t="s">
        <v>22</v>
      </c>
      <c r="V167" s="146" t="s">
        <v>22</v>
      </c>
      <c r="W167" s="146" t="s">
        <v>25</v>
      </c>
      <c r="X167" s="146" t="s">
        <v>22</v>
      </c>
      <c r="Y167" s="146" t="s">
        <v>22</v>
      </c>
      <c r="Z167" s="146" t="s">
        <v>25</v>
      </c>
      <c r="AA167" s="146" t="s">
        <v>22</v>
      </c>
      <c r="AB167" s="153">
        <v>24343.0</v>
      </c>
      <c r="AC167" s="146" t="s">
        <v>22</v>
      </c>
      <c r="AD167" s="151" t="s">
        <v>240</v>
      </c>
      <c r="AE167" s="151" t="s">
        <v>22</v>
      </c>
      <c r="AF167" s="151" t="s">
        <v>22</v>
      </c>
      <c r="AG167" s="151" t="s">
        <v>25</v>
      </c>
      <c r="AH167" s="151" t="s">
        <v>22</v>
      </c>
      <c r="AI167" s="151">
        <v>3.012232959E7</v>
      </c>
      <c r="AJ167" s="146"/>
      <c r="AK167" s="155" t="s">
        <v>241</v>
      </c>
      <c r="AL167" s="151" t="s">
        <v>22</v>
      </c>
      <c r="AM167" s="151" t="s">
        <v>22</v>
      </c>
      <c r="AN167" s="151" t="s">
        <v>155</v>
      </c>
      <c r="AO167" s="151" t="s">
        <v>80</v>
      </c>
      <c r="AP167" s="151" t="s">
        <v>80</v>
      </c>
      <c r="AQ167" s="157"/>
      <c r="AR167" s="151" t="s">
        <v>158</v>
      </c>
      <c r="AS167" s="159">
        <v>46246.0</v>
      </c>
      <c r="AT167" s="160">
        <f>Calculo!AQ167</f>
        <v>28</v>
      </c>
      <c r="AU167" s="161" t="str">
        <f>Calculo!AV167</f>
        <v>SEM-RISCO</v>
      </c>
      <c r="AV167" s="162" t="str">
        <f>Calculo!AW167</f>
        <v>LIBERADO</v>
      </c>
      <c r="AW167" s="161" t="str">
        <f>Calculo!AX167</f>
        <v>N/A</v>
      </c>
      <c r="AX167" s="161" t="str">
        <f>Calculo!K167</f>
        <v>N/A</v>
      </c>
      <c r="AY167" s="161" t="str">
        <f>Calculo!AY167</f>
        <v>N/A</v>
      </c>
      <c r="AZ167" s="161" t="str">
        <f>Calculo!AZ167</f>
        <v>N/A</v>
      </c>
      <c r="BA167" s="163"/>
    </row>
    <row r="168" ht="12.0" customHeight="1">
      <c r="A168" s="88" t="str">
        <f>'Parâmetros'!$A$19</f>
        <v>Rel. Básico PJ</v>
      </c>
      <c r="B168" s="146">
        <v>333.0</v>
      </c>
      <c r="C168" s="146">
        <v>26249.0</v>
      </c>
      <c r="D168" s="146" t="s">
        <v>142</v>
      </c>
      <c r="E168" s="149" t="s">
        <v>556</v>
      </c>
      <c r="F168" s="151">
        <v>6402.0</v>
      </c>
      <c r="G168" s="151" t="s">
        <v>147</v>
      </c>
      <c r="H168" s="146" t="s">
        <v>22</v>
      </c>
      <c r="I168" s="146" t="s">
        <v>25</v>
      </c>
      <c r="J168" s="146" t="s">
        <v>25</v>
      </c>
      <c r="K168" s="146" t="s">
        <v>25</v>
      </c>
      <c r="L168" s="146" t="s">
        <v>22</v>
      </c>
      <c r="M168" s="146" t="s">
        <v>25</v>
      </c>
      <c r="N168" s="146" t="s">
        <v>507</v>
      </c>
      <c r="O168" s="146">
        <v>0.0</v>
      </c>
      <c r="P168" s="146" t="s">
        <v>22</v>
      </c>
      <c r="Q168" s="146">
        <v>100.0</v>
      </c>
      <c r="R168" s="146" t="s">
        <v>25</v>
      </c>
      <c r="S168" s="146" t="s">
        <v>22</v>
      </c>
      <c r="T168" s="146" t="s">
        <v>25</v>
      </c>
      <c r="U168" s="146" t="s">
        <v>22</v>
      </c>
      <c r="V168" s="146" t="s">
        <v>22</v>
      </c>
      <c r="W168" s="146" t="s">
        <v>25</v>
      </c>
      <c r="X168" s="146" t="s">
        <v>22</v>
      </c>
      <c r="Y168" s="146" t="s">
        <v>22</v>
      </c>
      <c r="Z168" s="146" t="s">
        <v>25</v>
      </c>
      <c r="AA168" s="146" t="s">
        <v>22</v>
      </c>
      <c r="AB168" s="153">
        <v>39841.0</v>
      </c>
      <c r="AC168" s="146" t="s">
        <v>22</v>
      </c>
      <c r="AD168" s="151" t="s">
        <v>557</v>
      </c>
      <c r="AE168" s="151" t="s">
        <v>22</v>
      </c>
      <c r="AF168" s="151" t="s">
        <v>25</v>
      </c>
      <c r="AG168" s="151" t="s">
        <v>25</v>
      </c>
      <c r="AH168" s="151" t="s">
        <v>25</v>
      </c>
      <c r="AI168" s="151">
        <v>0.0</v>
      </c>
      <c r="AJ168" s="146">
        <v>581.0</v>
      </c>
      <c r="AK168" s="155" t="s">
        <v>558</v>
      </c>
      <c r="AL168" s="151" t="s">
        <v>22</v>
      </c>
      <c r="AM168" s="151" t="s">
        <v>22</v>
      </c>
      <c r="AN168" s="151" t="s">
        <v>155</v>
      </c>
      <c r="AO168" s="151" t="s">
        <v>80</v>
      </c>
      <c r="AP168" s="151" t="s">
        <v>80</v>
      </c>
      <c r="AQ168" s="157"/>
      <c r="AR168" s="151" t="s">
        <v>158</v>
      </c>
      <c r="AS168" s="159">
        <v>46247.0</v>
      </c>
      <c r="AT168" s="160">
        <f>Calculo!AQ168</f>
        <v>48</v>
      </c>
      <c r="AU168" s="161" t="str">
        <f>Calculo!AV168</f>
        <v>SEM-RISCO</v>
      </c>
      <c r="AV168" s="162" t="str">
        <f>Calculo!AW168</f>
        <v>LIBERADO</v>
      </c>
      <c r="AW168" s="161" t="str">
        <f>Calculo!AX168</f>
        <v>SOLICITAR PED COMPRA</v>
      </c>
      <c r="AX168" s="161" t="str">
        <f>Calculo!K168</f>
        <v>SOLIC CONTRATO DE ENTREGA</v>
      </c>
      <c r="AY168" s="161" t="str">
        <f>Calculo!AY168</f>
        <v>CHECAGEM REVERSA</v>
      </c>
      <c r="AZ168" s="161" t="str">
        <f>Calculo!AZ168</f>
        <v>N/A</v>
      </c>
      <c r="BA168" s="163"/>
    </row>
    <row r="169" ht="12.0" customHeight="1">
      <c r="A169" s="88" t="str">
        <f>'Parâmetros'!$A$19</f>
        <v>Rel. Básico PJ</v>
      </c>
      <c r="B169" s="146">
        <v>334.0</v>
      </c>
      <c r="C169" s="146">
        <v>26195.0</v>
      </c>
      <c r="D169" s="146" t="s">
        <v>142</v>
      </c>
      <c r="E169" s="149" t="s">
        <v>559</v>
      </c>
      <c r="F169" s="151">
        <v>5100.0</v>
      </c>
      <c r="G169" s="151" t="s">
        <v>147</v>
      </c>
      <c r="H169" s="146" t="s">
        <v>22</v>
      </c>
      <c r="I169" s="146" t="s">
        <v>25</v>
      </c>
      <c r="J169" s="146" t="s">
        <v>25</v>
      </c>
      <c r="K169" s="146" t="s">
        <v>25</v>
      </c>
      <c r="L169" s="146" t="s">
        <v>22</v>
      </c>
      <c r="M169" s="146" t="s">
        <v>22</v>
      </c>
      <c r="N169" s="146" t="s">
        <v>173</v>
      </c>
      <c r="O169" s="146">
        <v>5.0</v>
      </c>
      <c r="P169" s="146" t="s">
        <v>25</v>
      </c>
      <c r="Q169" s="146">
        <v>100.0</v>
      </c>
      <c r="R169" s="146" t="s">
        <v>25</v>
      </c>
      <c r="S169" s="146" t="s">
        <v>25</v>
      </c>
      <c r="T169" s="146" t="s">
        <v>25</v>
      </c>
      <c r="U169" s="146" t="s">
        <v>22</v>
      </c>
      <c r="V169" s="146" t="s">
        <v>22</v>
      </c>
      <c r="W169" s="146" t="s">
        <v>25</v>
      </c>
      <c r="X169" s="146" t="s">
        <v>22</v>
      </c>
      <c r="Y169" s="146" t="s">
        <v>22</v>
      </c>
      <c r="Z169" s="146" t="s">
        <v>25</v>
      </c>
      <c r="AA169" s="146" t="s">
        <v>22</v>
      </c>
      <c r="AB169" s="153">
        <v>42912.0</v>
      </c>
      <c r="AC169" s="146" t="s">
        <v>25</v>
      </c>
      <c r="AD169" s="151" t="s">
        <v>420</v>
      </c>
      <c r="AE169" s="151" t="s">
        <v>22</v>
      </c>
      <c r="AF169" s="151" t="s">
        <v>25</v>
      </c>
      <c r="AG169" s="151" t="s">
        <v>25</v>
      </c>
      <c r="AH169" s="151" t="s">
        <v>25</v>
      </c>
      <c r="AI169" s="151">
        <v>0.0</v>
      </c>
      <c r="AJ169" s="146">
        <v>797.0</v>
      </c>
      <c r="AK169" s="155" t="s">
        <v>560</v>
      </c>
      <c r="AL169" s="151" t="s">
        <v>22</v>
      </c>
      <c r="AM169" s="151" t="s">
        <v>22</v>
      </c>
      <c r="AN169" s="151" t="s">
        <v>155</v>
      </c>
      <c r="AO169" s="151" t="s">
        <v>80</v>
      </c>
      <c r="AP169" s="151" t="s">
        <v>80</v>
      </c>
      <c r="AQ169" s="157"/>
      <c r="AR169" s="151" t="s">
        <v>158</v>
      </c>
      <c r="AS169" s="159">
        <v>46247.0</v>
      </c>
      <c r="AT169" s="160">
        <f>Calculo!AQ169</f>
        <v>42</v>
      </c>
      <c r="AU169" s="161" t="str">
        <f>Calculo!AV169</f>
        <v>SEM-RISCO</v>
      </c>
      <c r="AV169" s="162" t="str">
        <f>Calculo!AW169</f>
        <v>LIBERADO</v>
      </c>
      <c r="AW169" s="161" t="str">
        <f>Calculo!AX169</f>
        <v>SOLICITAR PED COMPRA</v>
      </c>
      <c r="AX169" s="161" t="str">
        <f>Calculo!K169</f>
        <v>SOLIC CONTRATO DE ENTREGA</v>
      </c>
      <c r="AY169" s="161" t="str">
        <f>Calculo!AY169</f>
        <v>N/A</v>
      </c>
      <c r="AZ169" s="161" t="str">
        <f>Calculo!AZ169</f>
        <v>N/A</v>
      </c>
      <c r="BA169" s="163"/>
    </row>
    <row r="170" ht="12.0" customHeight="1">
      <c r="A170" s="88" t="str">
        <f>'Parâmetros'!$A$19</f>
        <v>Rel. Básico PJ</v>
      </c>
      <c r="B170" s="146">
        <v>336.0</v>
      </c>
      <c r="C170" s="146">
        <v>26230.0</v>
      </c>
      <c r="D170" s="146" t="s">
        <v>142</v>
      </c>
      <c r="E170" s="149" t="s">
        <v>561</v>
      </c>
      <c r="F170" s="151">
        <v>2900.0</v>
      </c>
      <c r="G170" s="151" t="s">
        <v>147</v>
      </c>
      <c r="H170" s="146" t="s">
        <v>22</v>
      </c>
      <c r="I170" s="146" t="s">
        <v>22</v>
      </c>
      <c r="J170" s="146" t="s">
        <v>25</v>
      </c>
      <c r="K170" s="146" t="s">
        <v>25</v>
      </c>
      <c r="L170" s="146" t="s">
        <v>22</v>
      </c>
      <c r="M170" s="146" t="s">
        <v>25</v>
      </c>
      <c r="N170" s="146" t="s">
        <v>173</v>
      </c>
      <c r="O170" s="146">
        <v>0.0</v>
      </c>
      <c r="P170" s="146" t="s">
        <v>25</v>
      </c>
      <c r="Q170" s="146">
        <v>100.0</v>
      </c>
      <c r="R170" s="146" t="s">
        <v>25</v>
      </c>
      <c r="S170" s="146" t="s">
        <v>25</v>
      </c>
      <c r="T170" s="146" t="s">
        <v>25</v>
      </c>
      <c r="U170" s="146" t="s">
        <v>22</v>
      </c>
      <c r="V170" s="146" t="s">
        <v>22</v>
      </c>
      <c r="W170" s="146" t="s">
        <v>25</v>
      </c>
      <c r="X170" s="146" t="s">
        <v>22</v>
      </c>
      <c r="Y170" s="146" t="s">
        <v>22</v>
      </c>
      <c r="Z170" s="146" t="s">
        <v>25</v>
      </c>
      <c r="AA170" s="146" t="s">
        <v>22</v>
      </c>
      <c r="AB170" s="153">
        <v>41808.0</v>
      </c>
      <c r="AC170" s="146" t="s">
        <v>25</v>
      </c>
      <c r="AD170" s="151" t="s">
        <v>562</v>
      </c>
      <c r="AE170" s="151" t="s">
        <v>22</v>
      </c>
      <c r="AF170" s="151" t="s">
        <v>25</v>
      </c>
      <c r="AG170" s="151" t="s">
        <v>25</v>
      </c>
      <c r="AH170" s="151" t="s">
        <v>25</v>
      </c>
      <c r="AI170" s="151">
        <v>0.0</v>
      </c>
      <c r="AJ170" s="146">
        <v>803.0</v>
      </c>
      <c r="AK170" s="155" t="s">
        <v>563</v>
      </c>
      <c r="AL170" s="151" t="s">
        <v>22</v>
      </c>
      <c r="AM170" s="151" t="s">
        <v>22</v>
      </c>
      <c r="AN170" s="151" t="s">
        <v>155</v>
      </c>
      <c r="AO170" s="151" t="s">
        <v>80</v>
      </c>
      <c r="AP170" s="151" t="s">
        <v>80</v>
      </c>
      <c r="AQ170" s="157"/>
      <c r="AR170" s="151" t="s">
        <v>158</v>
      </c>
      <c r="AS170" s="159">
        <v>46251.0</v>
      </c>
      <c r="AT170" s="160">
        <f>Calculo!AQ170</f>
        <v>41</v>
      </c>
      <c r="AU170" s="161" t="str">
        <f>Calculo!AV170</f>
        <v>SEM-RISCO</v>
      </c>
      <c r="AV170" s="162" t="str">
        <f>Calculo!AW170</f>
        <v>LIBERADO</v>
      </c>
      <c r="AW170" s="161" t="str">
        <f>Calculo!AX170</f>
        <v>N/A</v>
      </c>
      <c r="AX170" s="161" t="str">
        <f>Calculo!K170</f>
        <v>SOLIC CONTRATO DE ENTREGA</v>
      </c>
      <c r="AY170" s="161" t="str">
        <f>Calculo!AY170</f>
        <v>CHECAGEM REVERSA</v>
      </c>
      <c r="AZ170" s="161" t="str">
        <f>Calculo!AZ170</f>
        <v>N/A</v>
      </c>
      <c r="BA170" s="163"/>
    </row>
    <row r="171" ht="12.0" customHeight="1">
      <c r="A171" s="88" t="str">
        <f>'Parâmetros'!$A$19</f>
        <v>Rel. Básico PJ</v>
      </c>
      <c r="B171" s="146">
        <v>337.0</v>
      </c>
      <c r="C171" s="146">
        <v>22899.0</v>
      </c>
      <c r="D171" s="146" t="s">
        <v>142</v>
      </c>
      <c r="E171" s="149" t="s">
        <v>564</v>
      </c>
      <c r="F171" s="151">
        <v>7512.0</v>
      </c>
      <c r="G171" s="151" t="s">
        <v>147</v>
      </c>
      <c r="H171" s="146" t="s">
        <v>22</v>
      </c>
      <c r="I171" s="146" t="s">
        <v>25</v>
      </c>
      <c r="J171" s="146" t="s">
        <v>25</v>
      </c>
      <c r="K171" s="146" t="s">
        <v>25</v>
      </c>
      <c r="L171" s="146" t="s">
        <v>22</v>
      </c>
      <c r="M171" s="146" t="s">
        <v>22</v>
      </c>
      <c r="N171" s="146" t="s">
        <v>222</v>
      </c>
      <c r="O171" s="146" t="s">
        <v>140</v>
      </c>
      <c r="P171" s="146" t="s">
        <v>22</v>
      </c>
      <c r="Q171" s="146">
        <v>100.0</v>
      </c>
      <c r="R171" s="146" t="s">
        <v>25</v>
      </c>
      <c r="S171" s="146" t="s">
        <v>25</v>
      </c>
      <c r="T171" s="146" t="s">
        <v>25</v>
      </c>
      <c r="U171" s="146" t="s">
        <v>22</v>
      </c>
      <c r="V171" s="146" t="s">
        <v>22</v>
      </c>
      <c r="W171" s="146" t="s">
        <v>25</v>
      </c>
      <c r="X171" s="146" t="s">
        <v>22</v>
      </c>
      <c r="Y171" s="146" t="s">
        <v>22</v>
      </c>
      <c r="Z171" s="146" t="s">
        <v>25</v>
      </c>
      <c r="AA171" s="146" t="s">
        <v>22</v>
      </c>
      <c r="AB171" s="153">
        <v>39265.0</v>
      </c>
      <c r="AC171" s="146" t="s">
        <v>25</v>
      </c>
      <c r="AD171" s="151" t="s">
        <v>565</v>
      </c>
      <c r="AE171" s="151" t="s">
        <v>22</v>
      </c>
      <c r="AF171" s="151" t="s">
        <v>22</v>
      </c>
      <c r="AG171" s="151" t="s">
        <v>25</v>
      </c>
      <c r="AH171" s="151" t="s">
        <v>25</v>
      </c>
      <c r="AI171" s="151">
        <v>12898.39</v>
      </c>
      <c r="AJ171" s="146">
        <v>640.0</v>
      </c>
      <c r="AK171" s="155" t="s">
        <v>566</v>
      </c>
      <c r="AL171" s="151" t="s">
        <v>22</v>
      </c>
      <c r="AM171" s="151" t="s">
        <v>22</v>
      </c>
      <c r="AN171" s="151" t="s">
        <v>155</v>
      </c>
      <c r="AO171" s="151" t="s">
        <v>80</v>
      </c>
      <c r="AP171" s="151" t="s">
        <v>80</v>
      </c>
      <c r="AQ171" s="157"/>
      <c r="AR171" s="151" t="s">
        <v>158</v>
      </c>
      <c r="AS171" s="159">
        <v>46251.0</v>
      </c>
      <c r="AT171" s="160">
        <f>Calculo!AQ171</f>
        <v>33</v>
      </c>
      <c r="AU171" s="161" t="str">
        <f>Calculo!AV171</f>
        <v>SEM-RISCO</v>
      </c>
      <c r="AV171" s="162" t="str">
        <f>Calculo!AW171</f>
        <v>LIBERADO</v>
      </c>
      <c r="AW171" s="161" t="str">
        <f>Calculo!AX171</f>
        <v>SOLICITAR PED COMPRA</v>
      </c>
      <c r="AX171" s="161" t="str">
        <f>Calculo!K171</f>
        <v>SOLIC CONTRATO DE ENTREGA</v>
      </c>
      <c r="AY171" s="161" t="str">
        <f>Calculo!AY171</f>
        <v>N/A</v>
      </c>
      <c r="AZ171" s="161" t="str">
        <f>Calculo!AZ171</f>
        <v>N/A</v>
      </c>
      <c r="BA171" s="163"/>
    </row>
    <row r="172" ht="12.0" customHeight="1">
      <c r="A172" s="88" t="str">
        <f>'Parâmetros'!$A$19</f>
        <v>Rel. Básico PJ</v>
      </c>
      <c r="B172" s="146">
        <v>735.0</v>
      </c>
      <c r="C172" s="146">
        <v>26273.0</v>
      </c>
      <c r="D172" s="146" t="s">
        <v>176</v>
      </c>
      <c r="E172" s="149" t="s">
        <v>567</v>
      </c>
      <c r="F172" s="151">
        <v>1070.0</v>
      </c>
      <c r="G172" s="151" t="s">
        <v>147</v>
      </c>
      <c r="H172" s="146" t="s">
        <v>22</v>
      </c>
      <c r="I172" s="146" t="s">
        <v>25</v>
      </c>
      <c r="J172" s="146" t="s">
        <v>25</v>
      </c>
      <c r="K172" s="146" t="s">
        <v>25</v>
      </c>
      <c r="L172" s="146" t="s">
        <v>25</v>
      </c>
      <c r="M172" s="146" t="s">
        <v>22</v>
      </c>
      <c r="N172" s="146" t="s">
        <v>173</v>
      </c>
      <c r="O172" s="146">
        <v>5.0</v>
      </c>
      <c r="P172" s="146" t="s">
        <v>25</v>
      </c>
      <c r="Q172" s="146">
        <v>100.0</v>
      </c>
      <c r="R172" s="146" t="s">
        <v>25</v>
      </c>
      <c r="S172" s="146" t="s">
        <v>22</v>
      </c>
      <c r="T172" s="146" t="s">
        <v>25</v>
      </c>
      <c r="U172" s="146" t="s">
        <v>22</v>
      </c>
      <c r="V172" s="146" t="s">
        <v>22</v>
      </c>
      <c r="W172" s="146" t="s">
        <v>25</v>
      </c>
      <c r="X172" s="146" t="s">
        <v>22</v>
      </c>
      <c r="Y172" s="146" t="s">
        <v>22</v>
      </c>
      <c r="Z172" s="146" t="s">
        <v>25</v>
      </c>
      <c r="AA172" s="146" t="s">
        <v>22</v>
      </c>
      <c r="AB172" s="153">
        <v>24511.0</v>
      </c>
      <c r="AC172" s="146" t="s">
        <v>22</v>
      </c>
      <c r="AD172" s="151"/>
      <c r="AE172" s="151" t="s">
        <v>22</v>
      </c>
      <c r="AF172" s="151" t="s">
        <v>25</v>
      </c>
      <c r="AG172" s="151" t="s">
        <v>25</v>
      </c>
      <c r="AH172" s="151" t="s">
        <v>25</v>
      </c>
      <c r="AI172" s="151">
        <v>0.0</v>
      </c>
      <c r="AJ172" s="146">
        <v>615.0</v>
      </c>
      <c r="AK172" s="155" t="s">
        <v>568</v>
      </c>
      <c r="AL172" s="151" t="s">
        <v>22</v>
      </c>
      <c r="AM172" s="151" t="s">
        <v>22</v>
      </c>
      <c r="AN172" s="151" t="s">
        <v>155</v>
      </c>
      <c r="AO172" s="151" t="s">
        <v>80</v>
      </c>
      <c r="AP172" s="151" t="s">
        <v>80</v>
      </c>
      <c r="AQ172" s="157"/>
      <c r="AR172" s="151" t="s">
        <v>158</v>
      </c>
      <c r="AS172" s="159">
        <v>46252.0</v>
      </c>
      <c r="AT172" s="160">
        <f>Calculo!AQ172</f>
        <v>46</v>
      </c>
      <c r="AU172" s="161" t="str">
        <f>Calculo!AV172</f>
        <v>SEM-RISCO</v>
      </c>
      <c r="AV172" s="162" t="str">
        <f>Calculo!AW172</f>
        <v>LIBERADO</v>
      </c>
      <c r="AW172" s="161" t="str">
        <f>Calculo!AX172</f>
        <v>N/A</v>
      </c>
      <c r="AX172" s="161" t="str">
        <f>Calculo!K172</f>
        <v>N/A</v>
      </c>
      <c r="AY172" s="161" t="str">
        <f>Calculo!AY172</f>
        <v>N/A</v>
      </c>
      <c r="AZ172" s="161" t="str">
        <f>Calculo!AZ172</f>
        <v>N/A</v>
      </c>
      <c r="BA172" s="163"/>
    </row>
    <row r="173" ht="12.0" customHeight="1">
      <c r="A173" s="88" t="str">
        <f>'Parâmetros'!$A$19</f>
        <v>Rel. Básico PJ</v>
      </c>
      <c r="B173" s="146">
        <v>338.0</v>
      </c>
      <c r="C173" s="146">
        <v>26321.0</v>
      </c>
      <c r="D173" s="146" t="s">
        <v>142</v>
      </c>
      <c r="E173" s="149" t="s">
        <v>559</v>
      </c>
      <c r="F173" s="151">
        <v>5100.0</v>
      </c>
      <c r="G173" s="151" t="s">
        <v>147</v>
      </c>
      <c r="H173" s="146" t="s">
        <v>22</v>
      </c>
      <c r="I173" s="146" t="s">
        <v>25</v>
      </c>
      <c r="J173" s="146" t="s">
        <v>25</v>
      </c>
      <c r="K173" s="146" t="s">
        <v>25</v>
      </c>
      <c r="L173" s="146" t="s">
        <v>22</v>
      </c>
      <c r="M173" s="146" t="s">
        <v>22</v>
      </c>
      <c r="N173" s="146" t="s">
        <v>173</v>
      </c>
      <c r="O173" s="146">
        <v>5.0</v>
      </c>
      <c r="P173" s="146" t="s">
        <v>25</v>
      </c>
      <c r="Q173" s="146">
        <v>100.0</v>
      </c>
      <c r="R173" s="146" t="s">
        <v>25</v>
      </c>
      <c r="S173" s="146" t="s">
        <v>25</v>
      </c>
      <c r="T173" s="146" t="s">
        <v>25</v>
      </c>
      <c r="U173" s="146" t="s">
        <v>22</v>
      </c>
      <c r="V173" s="146" t="s">
        <v>22</v>
      </c>
      <c r="W173" s="146" t="s">
        <v>25</v>
      </c>
      <c r="X173" s="146" t="s">
        <v>22</v>
      </c>
      <c r="Y173" s="146" t="s">
        <v>22</v>
      </c>
      <c r="Z173" s="146" t="s">
        <v>25</v>
      </c>
      <c r="AA173" s="146" t="s">
        <v>22</v>
      </c>
      <c r="AB173" s="153">
        <v>42912.0</v>
      </c>
      <c r="AC173" s="146" t="s">
        <v>25</v>
      </c>
      <c r="AD173" s="151" t="s">
        <v>420</v>
      </c>
      <c r="AE173" s="151" t="s">
        <v>22</v>
      </c>
      <c r="AF173" s="151" t="s">
        <v>25</v>
      </c>
      <c r="AG173" s="151" t="s">
        <v>25</v>
      </c>
      <c r="AH173" s="151" t="s">
        <v>25</v>
      </c>
      <c r="AI173" s="151">
        <v>0.0</v>
      </c>
      <c r="AJ173" s="146">
        <v>797.0</v>
      </c>
      <c r="AK173" s="155" t="s">
        <v>560</v>
      </c>
      <c r="AL173" s="151" t="s">
        <v>22</v>
      </c>
      <c r="AM173" s="151" t="s">
        <v>22</v>
      </c>
      <c r="AN173" s="151" t="s">
        <v>155</v>
      </c>
      <c r="AO173" s="151" t="s">
        <v>80</v>
      </c>
      <c r="AP173" s="151" t="s">
        <v>80</v>
      </c>
      <c r="AQ173" s="157"/>
      <c r="AR173" s="151" t="s">
        <v>158</v>
      </c>
      <c r="AS173" s="159">
        <v>46252.0</v>
      </c>
      <c r="AT173" s="160">
        <f>Calculo!AQ173</f>
        <v>42</v>
      </c>
      <c r="AU173" s="161" t="str">
        <f>Calculo!AV173</f>
        <v>SEM-RISCO</v>
      </c>
      <c r="AV173" s="162" t="str">
        <f>Calculo!AW173</f>
        <v>LIBERADO</v>
      </c>
      <c r="AW173" s="161" t="str">
        <f>Calculo!AX173</f>
        <v>SOLICITAR PED COMPRA</v>
      </c>
      <c r="AX173" s="161" t="str">
        <f>Calculo!K173</f>
        <v>SOLIC CONTRATO DE ENTREGA</v>
      </c>
      <c r="AY173" s="161" t="str">
        <f>Calculo!AY173</f>
        <v>N/A</v>
      </c>
      <c r="AZ173" s="161" t="str">
        <f>Calculo!AZ173</f>
        <v>N/A</v>
      </c>
      <c r="BA173" s="163"/>
    </row>
    <row r="174" ht="12.0" customHeight="1">
      <c r="A174" s="88" t="str">
        <f>'Parâmetros'!$A$19</f>
        <v>Rel. Básico PJ</v>
      </c>
      <c r="B174" s="146">
        <v>339.0</v>
      </c>
      <c r="C174" s="146">
        <v>26311.0</v>
      </c>
      <c r="D174" s="146" t="s">
        <v>142</v>
      </c>
      <c r="E174" s="149" t="s">
        <v>569</v>
      </c>
      <c r="F174" s="151">
        <v>4103.1</v>
      </c>
      <c r="G174" s="151" t="s">
        <v>147</v>
      </c>
      <c r="H174" s="146" t="s">
        <v>22</v>
      </c>
      <c r="I174" s="146" t="s">
        <v>22</v>
      </c>
      <c r="J174" s="146" t="s">
        <v>25</v>
      </c>
      <c r="K174" s="146" t="s">
        <v>25</v>
      </c>
      <c r="L174" s="146" t="s">
        <v>22</v>
      </c>
      <c r="M174" s="146" t="s">
        <v>25</v>
      </c>
      <c r="N174" s="146" t="s">
        <v>173</v>
      </c>
      <c r="O174" s="146">
        <v>0.0</v>
      </c>
      <c r="P174" s="146" t="s">
        <v>22</v>
      </c>
      <c r="Q174" s="146">
        <v>100.0</v>
      </c>
      <c r="R174" s="146" t="s">
        <v>25</v>
      </c>
      <c r="S174" s="146" t="s">
        <v>25</v>
      </c>
      <c r="T174" s="146" t="s">
        <v>25</v>
      </c>
      <c r="U174" s="146" t="s">
        <v>22</v>
      </c>
      <c r="V174" s="146" t="s">
        <v>22</v>
      </c>
      <c r="W174" s="146" t="s">
        <v>25</v>
      </c>
      <c r="X174" s="146" t="s">
        <v>22</v>
      </c>
      <c r="Y174" s="146" t="s">
        <v>25</v>
      </c>
      <c r="Z174" s="146" t="s">
        <v>25</v>
      </c>
      <c r="AA174" s="146" t="s">
        <v>22</v>
      </c>
      <c r="AB174" s="153">
        <v>34072.0</v>
      </c>
      <c r="AC174" s="146" t="s">
        <v>25</v>
      </c>
      <c r="AD174" s="151" t="s">
        <v>169</v>
      </c>
      <c r="AE174" s="151" t="s">
        <v>22</v>
      </c>
      <c r="AF174" s="151" t="s">
        <v>25</v>
      </c>
      <c r="AG174" s="151" t="s">
        <v>25</v>
      </c>
      <c r="AH174" s="151" t="s">
        <v>25</v>
      </c>
      <c r="AI174" s="151">
        <v>0.0</v>
      </c>
      <c r="AJ174" s="146">
        <v>937.0</v>
      </c>
      <c r="AK174" s="155" t="s">
        <v>570</v>
      </c>
      <c r="AL174" s="151" t="s">
        <v>22</v>
      </c>
      <c r="AM174" s="151" t="s">
        <v>22</v>
      </c>
      <c r="AN174" s="151" t="s">
        <v>155</v>
      </c>
      <c r="AO174" s="151" t="s">
        <v>80</v>
      </c>
      <c r="AP174" s="151" t="s">
        <v>80</v>
      </c>
      <c r="AQ174" s="157"/>
      <c r="AR174" s="151" t="s">
        <v>158</v>
      </c>
      <c r="AS174" s="159">
        <v>46252.0</v>
      </c>
      <c r="AT174" s="160">
        <f>Calculo!AQ174</f>
        <v>48</v>
      </c>
      <c r="AU174" s="161" t="str">
        <f>Calculo!AV174</f>
        <v>SEM-RISCO</v>
      </c>
      <c r="AV174" s="162" t="str">
        <f>Calculo!AW174</f>
        <v>LIBERADO</v>
      </c>
      <c r="AW174" s="161" t="str">
        <f>Calculo!AX174</f>
        <v>N/A</v>
      </c>
      <c r="AX174" s="161" t="str">
        <f>Calculo!K174</f>
        <v>SOLIC CONTRATO DE ENTREGA</v>
      </c>
      <c r="AY174" s="161" t="str">
        <f>Calculo!AY174</f>
        <v>CHECAGEM REVERSA</v>
      </c>
      <c r="AZ174" s="161" t="str">
        <f>Calculo!AZ174</f>
        <v>N/A</v>
      </c>
      <c r="BA174" s="163"/>
    </row>
    <row r="175" ht="12.0" customHeight="1">
      <c r="A175" s="88" t="str">
        <f>'Parâmetros'!$A$19</f>
        <v>Rel. Básico PJ</v>
      </c>
      <c r="B175" s="146">
        <v>340.0</v>
      </c>
      <c r="C175" s="146">
        <v>26049.0</v>
      </c>
      <c r="D175" s="146" t="s">
        <v>142</v>
      </c>
      <c r="E175" s="149" t="s">
        <v>571</v>
      </c>
      <c r="F175" s="151">
        <v>3053.5</v>
      </c>
      <c r="G175" s="151" t="s">
        <v>147</v>
      </c>
      <c r="H175" s="146" t="s">
        <v>22</v>
      </c>
      <c r="I175" s="146" t="s">
        <v>25</v>
      </c>
      <c r="J175" s="146" t="s">
        <v>25</v>
      </c>
      <c r="K175" s="146" t="s">
        <v>25</v>
      </c>
      <c r="L175" s="146" t="s">
        <v>22</v>
      </c>
      <c r="M175" s="146" t="s">
        <v>22</v>
      </c>
      <c r="N175" s="146" t="s">
        <v>173</v>
      </c>
      <c r="O175" s="146" t="s">
        <v>140</v>
      </c>
      <c r="P175" s="146" t="s">
        <v>25</v>
      </c>
      <c r="Q175" s="146">
        <v>100.0</v>
      </c>
      <c r="R175" s="146" t="s">
        <v>25</v>
      </c>
      <c r="S175" s="146" t="s">
        <v>25</v>
      </c>
      <c r="T175" s="146" t="s">
        <v>25</v>
      </c>
      <c r="U175" s="146" t="s">
        <v>22</v>
      </c>
      <c r="V175" s="146" t="s">
        <v>22</v>
      </c>
      <c r="W175" s="146" t="s">
        <v>25</v>
      </c>
      <c r="X175" s="146" t="s">
        <v>22</v>
      </c>
      <c r="Y175" s="146" t="s">
        <v>22</v>
      </c>
      <c r="Z175" s="146" t="s">
        <v>25</v>
      </c>
      <c r="AA175" s="146" t="s">
        <v>22</v>
      </c>
      <c r="AB175" s="153">
        <v>36741.0</v>
      </c>
      <c r="AC175" s="146" t="s">
        <v>25</v>
      </c>
      <c r="AD175" s="151" t="s">
        <v>572</v>
      </c>
      <c r="AE175" s="151" t="s">
        <v>22</v>
      </c>
      <c r="AF175" s="151" t="s">
        <v>25</v>
      </c>
      <c r="AG175" s="151" t="s">
        <v>25</v>
      </c>
      <c r="AH175" s="151" t="s">
        <v>25</v>
      </c>
      <c r="AI175" s="151">
        <v>0.0</v>
      </c>
      <c r="AJ175" s="146">
        <v>675.0</v>
      </c>
      <c r="AK175" s="155" t="s">
        <v>573</v>
      </c>
      <c r="AL175" s="151" t="s">
        <v>22</v>
      </c>
      <c r="AM175" s="151" t="s">
        <v>22</v>
      </c>
      <c r="AN175" s="151" t="s">
        <v>155</v>
      </c>
      <c r="AO175" s="151" t="s">
        <v>80</v>
      </c>
      <c r="AP175" s="151" t="s">
        <v>80</v>
      </c>
      <c r="AQ175" s="157"/>
      <c r="AR175" s="151" t="s">
        <v>158</v>
      </c>
      <c r="AS175" s="159">
        <v>46252.0</v>
      </c>
      <c r="AT175" s="160">
        <f>Calculo!AQ175</f>
        <v>39</v>
      </c>
      <c r="AU175" s="161" t="str">
        <f>Calculo!AV175</f>
        <v>SEM-RISCO</v>
      </c>
      <c r="AV175" s="162" t="str">
        <f>Calculo!AW175</f>
        <v>LIBERADO</v>
      </c>
      <c r="AW175" s="161" t="str">
        <f>Calculo!AX175</f>
        <v>N/A</v>
      </c>
      <c r="AX175" s="161" t="str">
        <f>Calculo!K175</f>
        <v>SOLIC CONTRATO DE ENTREGA</v>
      </c>
      <c r="AY175" s="161" t="str">
        <f>Calculo!AY175</f>
        <v>N/A</v>
      </c>
      <c r="AZ175" s="161" t="str">
        <f>Calculo!AZ175</f>
        <v>N/A</v>
      </c>
      <c r="BA175" s="163"/>
    </row>
    <row r="176" ht="12.0" customHeight="1">
      <c r="A176" s="88" t="str">
        <f>'Parâmetros'!$A$19</f>
        <v>Rel. Básico PJ</v>
      </c>
      <c r="B176" s="146">
        <v>341.0</v>
      </c>
      <c r="C176" s="146">
        <v>26309.0</v>
      </c>
      <c r="D176" s="146" t="s">
        <v>142</v>
      </c>
      <c r="E176" s="149" t="s">
        <v>574</v>
      </c>
      <c r="F176" s="151">
        <v>22900.0</v>
      </c>
      <c r="G176" s="151" t="s">
        <v>147</v>
      </c>
      <c r="H176" s="146" t="s">
        <v>22</v>
      </c>
      <c r="I176" s="146" t="s">
        <v>25</v>
      </c>
      <c r="J176" s="146" t="s">
        <v>25</v>
      </c>
      <c r="K176" s="146" t="s">
        <v>25</v>
      </c>
      <c r="L176" s="146" t="s">
        <v>22</v>
      </c>
      <c r="M176" s="146" t="s">
        <v>22</v>
      </c>
      <c r="N176" s="146" t="s">
        <v>173</v>
      </c>
      <c r="O176" s="146" t="s">
        <v>140</v>
      </c>
      <c r="P176" s="146" t="s">
        <v>25</v>
      </c>
      <c r="Q176" s="146">
        <v>100.0</v>
      </c>
      <c r="R176" s="146" t="s">
        <v>25</v>
      </c>
      <c r="S176" s="146" t="s">
        <v>25</v>
      </c>
      <c r="T176" s="146" t="s">
        <v>25</v>
      </c>
      <c r="U176" s="146" t="s">
        <v>22</v>
      </c>
      <c r="V176" s="146" t="s">
        <v>22</v>
      </c>
      <c r="W176" s="146" t="s">
        <v>22</v>
      </c>
      <c r="X176" s="146" t="s">
        <v>22</v>
      </c>
      <c r="Y176" s="146" t="s">
        <v>22</v>
      </c>
      <c r="Z176" s="146" t="s">
        <v>25</v>
      </c>
      <c r="AA176" s="146" t="s">
        <v>22</v>
      </c>
      <c r="AB176" s="153">
        <v>38517.0</v>
      </c>
      <c r="AC176" s="146" t="s">
        <v>22</v>
      </c>
      <c r="AD176" s="151" t="s">
        <v>575</v>
      </c>
      <c r="AE176" s="151" t="s">
        <v>22</v>
      </c>
      <c r="AF176" s="151" t="s">
        <v>25</v>
      </c>
      <c r="AG176" s="151" t="s">
        <v>25</v>
      </c>
      <c r="AH176" s="151" t="s">
        <v>25</v>
      </c>
      <c r="AI176" s="151">
        <v>0.0</v>
      </c>
      <c r="AJ176" s="146">
        <v>556.0</v>
      </c>
      <c r="AK176" s="155" t="s">
        <v>576</v>
      </c>
      <c r="AL176" s="151" t="s">
        <v>22</v>
      </c>
      <c r="AM176" s="151" t="s">
        <v>22</v>
      </c>
      <c r="AN176" s="151" t="s">
        <v>155</v>
      </c>
      <c r="AO176" s="151" t="s">
        <v>80</v>
      </c>
      <c r="AP176" s="151" t="s">
        <v>80</v>
      </c>
      <c r="AQ176" s="157"/>
      <c r="AR176" s="151" t="s">
        <v>158</v>
      </c>
      <c r="AS176" s="159">
        <v>46252.0</v>
      </c>
      <c r="AT176" s="160">
        <f>Calculo!AQ176</f>
        <v>30</v>
      </c>
      <c r="AU176" s="161" t="str">
        <f>Calculo!AV176</f>
        <v>SEM-RISCO</v>
      </c>
      <c r="AV176" s="162" t="str">
        <f>Calculo!AW176</f>
        <v>LIBERADO</v>
      </c>
      <c r="AW176" s="161" t="str">
        <f>Calculo!AX176</f>
        <v>SOLICITAR PED COMPRA</v>
      </c>
      <c r="AX176" s="161" t="str">
        <f>Calculo!K176</f>
        <v>SOLIC CONTRATO DE ENTREGA</v>
      </c>
      <c r="AY176" s="161" t="str">
        <f>Calculo!AY176</f>
        <v>N/A</v>
      </c>
      <c r="AZ176" s="161" t="str">
        <f>Calculo!AZ176</f>
        <v>N/A</v>
      </c>
      <c r="BA176" s="163"/>
    </row>
    <row r="177" ht="12.0" customHeight="1">
      <c r="A177" s="88" t="str">
        <f>'Parâmetros'!$A$19</f>
        <v>Rel. Básico PJ</v>
      </c>
      <c r="B177" s="146">
        <v>737.0</v>
      </c>
      <c r="C177" s="146">
        <v>26332.0</v>
      </c>
      <c r="D177" s="146" t="s">
        <v>176</v>
      </c>
      <c r="E177" s="149" t="s">
        <v>408</v>
      </c>
      <c r="F177" s="151">
        <v>1661.4</v>
      </c>
      <c r="G177" s="151" t="s">
        <v>147</v>
      </c>
      <c r="H177" s="146" t="s">
        <v>22</v>
      </c>
      <c r="I177" s="146" t="s">
        <v>25</v>
      </c>
      <c r="J177" s="146" t="s">
        <v>25</v>
      </c>
      <c r="K177" s="146" t="s">
        <v>25</v>
      </c>
      <c r="L177" s="146" t="s">
        <v>25</v>
      </c>
      <c r="M177" s="146" t="s">
        <v>22</v>
      </c>
      <c r="N177" s="146" t="s">
        <v>173</v>
      </c>
      <c r="O177" s="146">
        <v>0.0</v>
      </c>
      <c r="P177" s="146" t="s">
        <v>25</v>
      </c>
      <c r="Q177" s="146">
        <v>100.0</v>
      </c>
      <c r="R177" s="146" t="s">
        <v>25</v>
      </c>
      <c r="S177" s="146" t="s">
        <v>22</v>
      </c>
      <c r="T177" s="146" t="s">
        <v>22</v>
      </c>
      <c r="U177" s="146" t="s">
        <v>22</v>
      </c>
      <c r="V177" s="146" t="s">
        <v>22</v>
      </c>
      <c r="W177" s="146" t="s">
        <v>25</v>
      </c>
      <c r="X177" s="146" t="s">
        <v>22</v>
      </c>
      <c r="Y177" s="146" t="s">
        <v>22</v>
      </c>
      <c r="Z177" s="146" t="s">
        <v>25</v>
      </c>
      <c r="AA177" s="146" t="s">
        <v>22</v>
      </c>
      <c r="AB177" s="153">
        <v>44103.0</v>
      </c>
      <c r="AC177" s="146" t="s">
        <v>25</v>
      </c>
      <c r="AD177" s="151" t="s">
        <v>223</v>
      </c>
      <c r="AE177" s="151" t="s">
        <v>22</v>
      </c>
      <c r="AF177" s="151" t="s">
        <v>25</v>
      </c>
      <c r="AG177" s="151" t="s">
        <v>25</v>
      </c>
      <c r="AH177" s="151" t="s">
        <v>22</v>
      </c>
      <c r="AI177" s="151">
        <v>91.01</v>
      </c>
      <c r="AJ177" s="146">
        <v>760.0</v>
      </c>
      <c r="AK177" s="155" t="s">
        <v>409</v>
      </c>
      <c r="AL177" s="151" t="s">
        <v>22</v>
      </c>
      <c r="AM177" s="151" t="s">
        <v>22</v>
      </c>
      <c r="AN177" s="151" t="s">
        <v>155</v>
      </c>
      <c r="AO177" s="151" t="s">
        <v>80</v>
      </c>
      <c r="AP177" s="151" t="s">
        <v>80</v>
      </c>
      <c r="AQ177" s="157"/>
      <c r="AR177" s="151" t="s">
        <v>158</v>
      </c>
      <c r="AS177" s="159">
        <v>46252.0</v>
      </c>
      <c r="AT177" s="160">
        <f>Calculo!AQ177</f>
        <v>56</v>
      </c>
      <c r="AU177" s="161" t="str">
        <f>Calculo!AV177</f>
        <v>SEM-RISCO</v>
      </c>
      <c r="AV177" s="162" t="str">
        <f>Calculo!AW177</f>
        <v>LIBERADO</v>
      </c>
      <c r="AW177" s="161" t="str">
        <f>Calculo!AX177</f>
        <v>N/A</v>
      </c>
      <c r="AX177" s="161" t="str">
        <f>Calculo!K177</f>
        <v>N/A</v>
      </c>
      <c r="AY177" s="161" t="str">
        <f>Calculo!AY177</f>
        <v>N/A</v>
      </c>
      <c r="AZ177" s="161" t="str">
        <f>Calculo!AZ177</f>
        <v>N/A</v>
      </c>
      <c r="BA177" s="163"/>
    </row>
    <row r="178" ht="12.0" customHeight="1">
      <c r="A178" s="88" t="str">
        <f>'Parâmetros'!$A$19</f>
        <v>Rel. Básico PJ</v>
      </c>
      <c r="B178" s="146">
        <v>343.0</v>
      </c>
      <c r="C178" s="146">
        <v>25851.0</v>
      </c>
      <c r="D178" s="146" t="s">
        <v>142</v>
      </c>
      <c r="E178" s="149" t="s">
        <v>218</v>
      </c>
      <c r="F178" s="151">
        <v>11295.0</v>
      </c>
      <c r="G178" s="151" t="s">
        <v>147</v>
      </c>
      <c r="H178" s="146" t="s">
        <v>22</v>
      </c>
      <c r="I178" s="146" t="s">
        <v>25</v>
      </c>
      <c r="J178" s="146" t="s">
        <v>25</v>
      </c>
      <c r="K178" s="146" t="s">
        <v>25</v>
      </c>
      <c r="L178" s="146" t="s">
        <v>22</v>
      </c>
      <c r="M178" s="146" t="s">
        <v>22</v>
      </c>
      <c r="N178" s="146" t="s">
        <v>173</v>
      </c>
      <c r="O178" s="146">
        <v>5.0</v>
      </c>
      <c r="P178" s="146" t="s">
        <v>25</v>
      </c>
      <c r="Q178" s="146">
        <v>100.0</v>
      </c>
      <c r="R178" s="146" t="s">
        <v>25</v>
      </c>
      <c r="S178" s="146" t="s">
        <v>22</v>
      </c>
      <c r="T178" s="146" t="s">
        <v>25</v>
      </c>
      <c r="U178" s="146" t="s">
        <v>22</v>
      </c>
      <c r="V178" s="146" t="s">
        <v>22</v>
      </c>
      <c r="W178" s="146" t="s">
        <v>25</v>
      </c>
      <c r="X178" s="146" t="s">
        <v>22</v>
      </c>
      <c r="Y178" s="146" t="s">
        <v>25</v>
      </c>
      <c r="Z178" s="146" t="s">
        <v>25</v>
      </c>
      <c r="AA178" s="146" t="s">
        <v>22</v>
      </c>
      <c r="AB178" s="153">
        <v>31315.0</v>
      </c>
      <c r="AC178" s="146" t="s">
        <v>22</v>
      </c>
      <c r="AD178" s="151" t="s">
        <v>219</v>
      </c>
      <c r="AE178" s="151" t="s">
        <v>22</v>
      </c>
      <c r="AF178" s="151" t="s">
        <v>22</v>
      </c>
      <c r="AG178" s="151" t="s">
        <v>25</v>
      </c>
      <c r="AH178" s="151" t="s">
        <v>22</v>
      </c>
      <c r="AI178" s="151">
        <v>1821.14</v>
      </c>
      <c r="AJ178" s="146">
        <v>868.0</v>
      </c>
      <c r="AK178" s="155" t="s">
        <v>220</v>
      </c>
      <c r="AL178" s="151" t="s">
        <v>22</v>
      </c>
      <c r="AM178" s="151" t="s">
        <v>22</v>
      </c>
      <c r="AN178" s="151" t="s">
        <v>155</v>
      </c>
      <c r="AO178" s="151" t="s">
        <v>80</v>
      </c>
      <c r="AP178" s="151" t="s">
        <v>80</v>
      </c>
      <c r="AQ178" s="157"/>
      <c r="AR178" s="151" t="s">
        <v>158</v>
      </c>
      <c r="AS178" s="159">
        <v>46254.0</v>
      </c>
      <c r="AT178" s="160">
        <f>Calculo!AQ178</f>
        <v>39</v>
      </c>
      <c r="AU178" s="161" t="str">
        <f>Calculo!AV178</f>
        <v>SEM-RISCO</v>
      </c>
      <c r="AV178" s="162" t="str">
        <f>Calculo!AW178</f>
        <v>LIBERADO</v>
      </c>
      <c r="AW178" s="161" t="str">
        <f>Calculo!AX178</f>
        <v>SOLICITAR PED COMPRA</v>
      </c>
      <c r="AX178" s="161" t="str">
        <f>Calculo!K178</f>
        <v>SOLIC CONTRATO DE ENTREGA</v>
      </c>
      <c r="AY178" s="161" t="str">
        <f>Calculo!AY178</f>
        <v>N/A</v>
      </c>
      <c r="AZ178" s="161" t="str">
        <f>Calculo!AZ178</f>
        <v>N/A</v>
      </c>
      <c r="BA178" s="163"/>
    </row>
    <row r="179" ht="12.0" customHeight="1">
      <c r="A179" s="88" t="str">
        <f>'Parâmetros'!$A$19</f>
        <v>Rel. Básico PJ</v>
      </c>
      <c r="B179" s="146">
        <v>745.0</v>
      </c>
      <c r="C179" s="146">
        <v>25731.0</v>
      </c>
      <c r="D179" s="146" t="s">
        <v>176</v>
      </c>
      <c r="E179" s="149" t="s">
        <v>577</v>
      </c>
      <c r="F179" s="151">
        <v>2360.0</v>
      </c>
      <c r="G179" s="151" t="s">
        <v>147</v>
      </c>
      <c r="H179" s="146" t="s">
        <v>22</v>
      </c>
      <c r="I179" s="146" t="s">
        <v>25</v>
      </c>
      <c r="J179" s="146" t="s">
        <v>25</v>
      </c>
      <c r="K179" s="146" t="s">
        <v>25</v>
      </c>
      <c r="L179" s="146" t="s">
        <v>22</v>
      </c>
      <c r="M179" s="146" t="s">
        <v>22</v>
      </c>
      <c r="N179" s="146" t="s">
        <v>578</v>
      </c>
      <c r="O179" s="146">
        <v>5.0</v>
      </c>
      <c r="P179" s="146" t="s">
        <v>25</v>
      </c>
      <c r="Q179" s="146">
        <v>100.0</v>
      </c>
      <c r="R179" s="146" t="s">
        <v>25</v>
      </c>
      <c r="S179" s="146" t="s">
        <v>22</v>
      </c>
      <c r="T179" s="146" t="s">
        <v>22</v>
      </c>
      <c r="U179" s="146" t="s">
        <v>22</v>
      </c>
      <c r="V179" s="146" t="s">
        <v>22</v>
      </c>
      <c r="W179" s="146" t="s">
        <v>25</v>
      </c>
      <c r="X179" s="146" t="s">
        <v>22</v>
      </c>
      <c r="Y179" s="146" t="s">
        <v>22</v>
      </c>
      <c r="Z179" s="146" t="s">
        <v>25</v>
      </c>
      <c r="AA179" s="146" t="s">
        <v>22</v>
      </c>
      <c r="AB179" s="153">
        <v>42774.0</v>
      </c>
      <c r="AC179" s="146" t="s">
        <v>22</v>
      </c>
      <c r="AD179" s="151" t="s">
        <v>579</v>
      </c>
      <c r="AE179" s="151" t="s">
        <v>22</v>
      </c>
      <c r="AF179" s="151" t="s">
        <v>22</v>
      </c>
      <c r="AG179" s="151" t="s">
        <v>25</v>
      </c>
      <c r="AH179" s="151" t="s">
        <v>25</v>
      </c>
      <c r="AI179" s="151">
        <v>2810.75</v>
      </c>
      <c r="AJ179" s="146">
        <v>771.0</v>
      </c>
      <c r="AK179" s="155" t="s">
        <v>580</v>
      </c>
      <c r="AL179" s="151" t="s">
        <v>22</v>
      </c>
      <c r="AM179" s="151" t="s">
        <v>22</v>
      </c>
      <c r="AN179" s="151" t="s">
        <v>155</v>
      </c>
      <c r="AO179" s="151" t="s">
        <v>80</v>
      </c>
      <c r="AP179" s="151" t="s">
        <v>80</v>
      </c>
      <c r="AQ179" s="157"/>
      <c r="AR179" s="151" t="s">
        <v>158</v>
      </c>
      <c r="AS179" s="159">
        <v>46254.0</v>
      </c>
      <c r="AT179" s="160">
        <f>Calculo!AQ179</f>
        <v>76</v>
      </c>
      <c r="AU179" s="161" t="str">
        <f>Calculo!AV179</f>
        <v>SEM-RISCO</v>
      </c>
      <c r="AV179" s="162" t="str">
        <f>Calculo!AW179</f>
        <v>LIBERADO</v>
      </c>
      <c r="AW179" s="161" t="str">
        <f>Calculo!AX179</f>
        <v>N/A</v>
      </c>
      <c r="AX179" s="161" t="str">
        <f>Calculo!K179</f>
        <v>SOLIC CONTRATO DE ENTREGA</v>
      </c>
      <c r="AY179" s="161" t="str">
        <f>Calculo!AY179</f>
        <v>N/A</v>
      </c>
      <c r="AZ179" s="161" t="str">
        <f>Calculo!AZ179</f>
        <v>N/A</v>
      </c>
      <c r="BA179" s="163"/>
    </row>
    <row r="180" ht="12.0" customHeight="1">
      <c r="A180" s="88" t="str">
        <f>'Parâmetros'!$A$19</f>
        <v>Rel. Básico PJ</v>
      </c>
      <c r="B180" s="146">
        <v>345.0</v>
      </c>
      <c r="C180" s="146">
        <v>26392.0</v>
      </c>
      <c r="D180" s="146" t="s">
        <v>142</v>
      </c>
      <c r="E180" s="149" t="s">
        <v>498</v>
      </c>
      <c r="F180" s="151">
        <v>1596.0</v>
      </c>
      <c r="G180" s="151" t="s">
        <v>147</v>
      </c>
      <c r="H180" s="146" t="s">
        <v>22</v>
      </c>
      <c r="I180" s="146" t="s">
        <v>25</v>
      </c>
      <c r="J180" s="146" t="s">
        <v>25</v>
      </c>
      <c r="K180" s="146" t="s">
        <v>25</v>
      </c>
      <c r="L180" s="146" t="s">
        <v>25</v>
      </c>
      <c r="M180" s="146" t="s">
        <v>22</v>
      </c>
      <c r="N180" s="146" t="s">
        <v>173</v>
      </c>
      <c r="O180" s="146" t="s">
        <v>140</v>
      </c>
      <c r="P180" s="146" t="s">
        <v>25</v>
      </c>
      <c r="Q180" s="146">
        <v>100.0</v>
      </c>
      <c r="R180" s="146" t="s">
        <v>25</v>
      </c>
      <c r="S180" s="146" t="s">
        <v>22</v>
      </c>
      <c r="T180" s="146" t="s">
        <v>25</v>
      </c>
      <c r="U180" s="146" t="s">
        <v>22</v>
      </c>
      <c r="V180" s="146" t="s">
        <v>22</v>
      </c>
      <c r="W180" s="146" t="s">
        <v>25</v>
      </c>
      <c r="X180" s="146" t="s">
        <v>22</v>
      </c>
      <c r="Y180" s="146" t="s">
        <v>22</v>
      </c>
      <c r="Z180" s="146" t="s">
        <v>25</v>
      </c>
      <c r="AA180" s="146" t="s">
        <v>22</v>
      </c>
      <c r="AB180" s="168">
        <v>43954.0</v>
      </c>
      <c r="AC180" s="146" t="s">
        <v>25</v>
      </c>
      <c r="AD180" s="151" t="s">
        <v>499</v>
      </c>
      <c r="AE180" s="151" t="s">
        <v>22</v>
      </c>
      <c r="AF180" s="151" t="s">
        <v>25</v>
      </c>
      <c r="AG180" s="151" t="s">
        <v>25</v>
      </c>
      <c r="AH180" s="151" t="s">
        <v>25</v>
      </c>
      <c r="AI180" s="151">
        <v>0.0</v>
      </c>
      <c r="AJ180" s="146">
        <v>817.0</v>
      </c>
      <c r="AK180" s="155" t="s">
        <v>500</v>
      </c>
      <c r="AL180" s="151" t="s">
        <v>22</v>
      </c>
      <c r="AM180" s="151" t="s">
        <v>22</v>
      </c>
      <c r="AN180" s="151" t="s">
        <v>155</v>
      </c>
      <c r="AO180" s="151" t="s">
        <v>80</v>
      </c>
      <c r="AP180" s="151" t="s">
        <v>80</v>
      </c>
      <c r="AQ180" s="157"/>
      <c r="AR180" s="151" t="s">
        <v>158</v>
      </c>
      <c r="AS180" s="159">
        <v>46255.0</v>
      </c>
      <c r="AT180" s="160">
        <f>Calculo!AQ180</f>
        <v>51</v>
      </c>
      <c r="AU180" s="161" t="str">
        <f>Calculo!AV180</f>
        <v>SEM-RISCO</v>
      </c>
      <c r="AV180" s="162" t="str">
        <f>Calculo!AW180</f>
        <v>LIBERADO</v>
      </c>
      <c r="AW180" s="161" t="str">
        <f>Calculo!AX180</f>
        <v>N/A</v>
      </c>
      <c r="AX180" s="161" t="str">
        <f>Calculo!K180</f>
        <v>N/A</v>
      </c>
      <c r="AY180" s="161" t="str">
        <f>Calculo!AY180</f>
        <v>N/A</v>
      </c>
      <c r="AZ180" s="161" t="str">
        <f>Calculo!AZ180</f>
        <v>N/A</v>
      </c>
      <c r="BA180" s="163"/>
    </row>
    <row r="181" ht="12.0" customHeight="1">
      <c r="A181" s="88" t="str">
        <f>'Parâmetros'!$A$19</f>
        <v>Rel. Básico PJ</v>
      </c>
      <c r="B181" s="146">
        <v>344.0</v>
      </c>
      <c r="C181" s="146">
        <v>26328.0</v>
      </c>
      <c r="D181" s="146" t="s">
        <v>142</v>
      </c>
      <c r="E181" s="149" t="s">
        <v>581</v>
      </c>
      <c r="F181" s="151">
        <v>6900.0</v>
      </c>
      <c r="G181" s="151" t="s">
        <v>147</v>
      </c>
      <c r="H181" s="146" t="s">
        <v>22</v>
      </c>
      <c r="I181" s="146" t="s">
        <v>25</v>
      </c>
      <c r="J181" s="146" t="s">
        <v>25</v>
      </c>
      <c r="K181" s="146" t="s">
        <v>25</v>
      </c>
      <c r="L181" s="146" t="s">
        <v>22</v>
      </c>
      <c r="M181" s="146" t="s">
        <v>22</v>
      </c>
      <c r="N181" s="146" t="s">
        <v>178</v>
      </c>
      <c r="O181" s="146" t="s">
        <v>140</v>
      </c>
      <c r="P181" s="146" t="s">
        <v>22</v>
      </c>
      <c r="Q181" s="146">
        <v>100.0</v>
      </c>
      <c r="R181" s="146" t="s">
        <v>25</v>
      </c>
      <c r="S181" s="146" t="s">
        <v>25</v>
      </c>
      <c r="T181" s="146" t="s">
        <v>25</v>
      </c>
      <c r="U181" s="146" t="s">
        <v>22</v>
      </c>
      <c r="V181" s="146" t="s">
        <v>22</v>
      </c>
      <c r="W181" s="146" t="s">
        <v>25</v>
      </c>
      <c r="X181" s="146" t="s">
        <v>22</v>
      </c>
      <c r="Y181" s="146" t="s">
        <v>22</v>
      </c>
      <c r="Z181" s="146" t="s">
        <v>25</v>
      </c>
      <c r="AA181" s="146" t="s">
        <v>22</v>
      </c>
      <c r="AB181" s="153">
        <v>32343.0</v>
      </c>
      <c r="AC181" s="146" t="s">
        <v>22</v>
      </c>
      <c r="AD181" s="151" t="s">
        <v>582</v>
      </c>
      <c r="AE181" s="151" t="s">
        <v>22</v>
      </c>
      <c r="AF181" s="151" t="s">
        <v>22</v>
      </c>
      <c r="AG181" s="151" t="s">
        <v>25</v>
      </c>
      <c r="AH181" s="151" t="s">
        <v>22</v>
      </c>
      <c r="AI181" s="151">
        <v>7658.07</v>
      </c>
      <c r="AJ181" s="146">
        <v>494.0</v>
      </c>
      <c r="AK181" s="155" t="s">
        <v>583</v>
      </c>
      <c r="AL181" s="151" t="s">
        <v>22</v>
      </c>
      <c r="AM181" s="151" t="s">
        <v>22</v>
      </c>
      <c r="AN181" s="151" t="s">
        <v>155</v>
      </c>
      <c r="AO181" s="151" t="s">
        <v>80</v>
      </c>
      <c r="AP181" s="151" t="s">
        <v>80</v>
      </c>
      <c r="AQ181" s="157"/>
      <c r="AR181" s="151" t="s">
        <v>158</v>
      </c>
      <c r="AS181" s="159">
        <v>46255.0</v>
      </c>
      <c r="AT181" s="160">
        <f>Calculo!AQ181</f>
        <v>19</v>
      </c>
      <c r="AU181" s="161" t="str">
        <f>Calculo!AV181</f>
        <v>SEM-RISCO</v>
      </c>
      <c r="AV181" s="162" t="str">
        <f>Calculo!AW181</f>
        <v>LIBERADO</v>
      </c>
      <c r="AW181" s="161" t="str">
        <f>Calculo!AX181</f>
        <v>SOLICITAR PED COMPRA</v>
      </c>
      <c r="AX181" s="161" t="str">
        <f>Calculo!K181</f>
        <v>SOLIC CONTRATO DE ENTREGA</v>
      </c>
      <c r="AY181" s="161" t="str">
        <f>Calculo!AY181</f>
        <v>N/A</v>
      </c>
      <c r="AZ181" s="161" t="str">
        <f>Calculo!AZ181</f>
        <v>N/A</v>
      </c>
      <c r="BA181" s="163"/>
    </row>
    <row r="182" ht="12.0" customHeight="1">
      <c r="A182" s="88" t="str">
        <f>'Parâmetros'!$A$19</f>
        <v>Rel. Básico PJ</v>
      </c>
      <c r="B182" s="146">
        <v>347.0</v>
      </c>
      <c r="C182" s="146">
        <v>26271.0</v>
      </c>
      <c r="D182" s="146" t="s">
        <v>142</v>
      </c>
      <c r="E182" s="149" t="s">
        <v>394</v>
      </c>
      <c r="F182" s="151">
        <v>4453.0</v>
      </c>
      <c r="G182" s="151" t="s">
        <v>147</v>
      </c>
      <c r="H182" s="146" t="s">
        <v>22</v>
      </c>
      <c r="I182" s="146" t="s">
        <v>25</v>
      </c>
      <c r="J182" s="146" t="s">
        <v>25</v>
      </c>
      <c r="K182" s="146" t="s">
        <v>25</v>
      </c>
      <c r="L182" s="146" t="s">
        <v>22</v>
      </c>
      <c r="M182" s="146" t="s">
        <v>22</v>
      </c>
      <c r="N182" s="146" t="s">
        <v>229</v>
      </c>
      <c r="O182" s="146">
        <v>5.0</v>
      </c>
      <c r="P182" s="146" t="s">
        <v>25</v>
      </c>
      <c r="Q182" s="146">
        <v>100.0</v>
      </c>
      <c r="R182" s="146" t="s">
        <v>25</v>
      </c>
      <c r="S182" s="146" t="s">
        <v>22</v>
      </c>
      <c r="T182" s="146" t="s">
        <v>22</v>
      </c>
      <c r="U182" s="146" t="s">
        <v>22</v>
      </c>
      <c r="V182" s="146" t="s">
        <v>22</v>
      </c>
      <c r="W182" s="146" t="s">
        <v>25</v>
      </c>
      <c r="X182" s="146" t="s">
        <v>22</v>
      </c>
      <c r="Y182" s="146" t="s">
        <v>22</v>
      </c>
      <c r="Z182" s="146" t="s">
        <v>25</v>
      </c>
      <c r="AA182" s="146" t="s">
        <v>22</v>
      </c>
      <c r="AB182" s="153">
        <v>44455.0</v>
      </c>
      <c r="AC182" s="146" t="s">
        <v>25</v>
      </c>
      <c r="AD182" s="151" t="s">
        <v>395</v>
      </c>
      <c r="AE182" s="151" t="s">
        <v>22</v>
      </c>
      <c r="AF182" s="151" t="s">
        <v>25</v>
      </c>
      <c r="AG182" s="151" t="s">
        <v>25</v>
      </c>
      <c r="AH182" s="151" t="s">
        <v>22</v>
      </c>
      <c r="AI182" s="151">
        <v>41845.77</v>
      </c>
      <c r="AJ182" s="146">
        <v>431.0</v>
      </c>
      <c r="AK182" s="155" t="s">
        <v>396</v>
      </c>
      <c r="AL182" s="151" t="s">
        <v>22</v>
      </c>
      <c r="AM182" s="151" t="s">
        <v>22</v>
      </c>
      <c r="AN182" s="151" t="s">
        <v>155</v>
      </c>
      <c r="AO182" s="151" t="s">
        <v>80</v>
      </c>
      <c r="AP182" s="151" t="s">
        <v>80</v>
      </c>
      <c r="AQ182" s="157"/>
      <c r="AR182" s="151" t="s">
        <v>158</v>
      </c>
      <c r="AS182" s="159">
        <v>46258.0</v>
      </c>
      <c r="AT182" s="160">
        <f>Calculo!AQ182</f>
        <v>34</v>
      </c>
      <c r="AU182" s="161" t="str">
        <f>Calculo!AV182</f>
        <v>SEM-RISCO</v>
      </c>
      <c r="AV182" s="162" t="str">
        <f>Calculo!AW182</f>
        <v>LIBERADO</v>
      </c>
      <c r="AW182" s="161" t="str">
        <f>Calculo!AX182</f>
        <v>N/A</v>
      </c>
      <c r="AX182" s="161" t="str">
        <f>Calculo!K182</f>
        <v>SOLIC CONTRATO DE ENTREGA</v>
      </c>
      <c r="AY182" s="161" t="str">
        <f>Calculo!AY182</f>
        <v>N/A</v>
      </c>
      <c r="AZ182" s="161" t="str">
        <f>Calculo!AZ182</f>
        <v>N/A</v>
      </c>
      <c r="BA182" s="163"/>
    </row>
    <row r="183" ht="12.0" customHeight="1">
      <c r="A183" s="88" t="str">
        <f>'Parâmetros'!$A$19</f>
        <v>Rel. Básico PJ</v>
      </c>
      <c r="B183" s="146">
        <v>753.0</v>
      </c>
      <c r="C183" s="146">
        <v>26325.0</v>
      </c>
      <c r="D183" s="146" t="s">
        <v>142</v>
      </c>
      <c r="E183" s="149" t="s">
        <v>490</v>
      </c>
      <c r="F183" s="151">
        <v>2118.0</v>
      </c>
      <c r="G183" s="151" t="s">
        <v>147</v>
      </c>
      <c r="H183" s="146" t="s">
        <v>22</v>
      </c>
      <c r="I183" s="146" t="s">
        <v>25</v>
      </c>
      <c r="J183" s="146" t="s">
        <v>25</v>
      </c>
      <c r="K183" s="146" t="s">
        <v>25</v>
      </c>
      <c r="L183" s="146" t="s">
        <v>22</v>
      </c>
      <c r="M183" s="146" t="s">
        <v>22</v>
      </c>
      <c r="N183" s="146" t="s">
        <v>233</v>
      </c>
      <c r="O183" s="146" t="s">
        <v>140</v>
      </c>
      <c r="P183" s="146" t="s">
        <v>22</v>
      </c>
      <c r="Q183" s="146">
        <v>100.0</v>
      </c>
      <c r="R183" s="146" t="s">
        <v>25</v>
      </c>
      <c r="S183" s="146" t="s">
        <v>22</v>
      </c>
      <c r="T183" s="146" t="s">
        <v>22</v>
      </c>
      <c r="U183" s="146" t="s">
        <v>22</v>
      </c>
      <c r="V183" s="146" t="s">
        <v>22</v>
      </c>
      <c r="W183" s="146" t="s">
        <v>22</v>
      </c>
      <c r="X183" s="146" t="s">
        <v>22</v>
      </c>
      <c r="Y183" s="146" t="s">
        <v>22</v>
      </c>
      <c r="Z183" s="146" t="s">
        <v>25</v>
      </c>
      <c r="AA183" s="146" t="s">
        <v>22</v>
      </c>
      <c r="AB183" s="153">
        <v>42576.0</v>
      </c>
      <c r="AC183" s="146" t="s">
        <v>22</v>
      </c>
      <c r="AD183" s="151" t="s">
        <v>491</v>
      </c>
      <c r="AE183" s="151" t="s">
        <v>22</v>
      </c>
      <c r="AF183" s="151" t="s">
        <v>22</v>
      </c>
      <c r="AG183" s="151" t="s">
        <v>25</v>
      </c>
      <c r="AH183" s="151" t="s">
        <v>22</v>
      </c>
      <c r="AI183" s="151">
        <v>176808.71</v>
      </c>
      <c r="AJ183" s="146">
        <v>624.0</v>
      </c>
      <c r="AK183" s="155" t="s">
        <v>492</v>
      </c>
      <c r="AL183" s="151" t="s">
        <v>22</v>
      </c>
      <c r="AM183" s="151" t="s">
        <v>22</v>
      </c>
      <c r="AN183" s="151" t="s">
        <v>155</v>
      </c>
      <c r="AO183" s="151" t="s">
        <v>80</v>
      </c>
      <c r="AP183" s="151" t="s">
        <v>80</v>
      </c>
      <c r="AQ183" s="157"/>
      <c r="AR183" s="151" t="s">
        <v>158</v>
      </c>
      <c r="AS183" s="159">
        <v>46258.0</v>
      </c>
      <c r="AT183" s="160">
        <f>Calculo!AQ183</f>
        <v>38</v>
      </c>
      <c r="AU183" s="161" t="str">
        <f>Calculo!AV183</f>
        <v>SEM-RISCO</v>
      </c>
      <c r="AV183" s="162" t="str">
        <f>Calculo!AW183</f>
        <v>LIBERADO</v>
      </c>
      <c r="AW183" s="161" t="str">
        <f>Calculo!AX183</f>
        <v>N/A</v>
      </c>
      <c r="AX183" s="161" t="str">
        <f>Calculo!K183</f>
        <v>SOLIC CONTRATO DE ENTREGA</v>
      </c>
      <c r="AY183" s="161" t="str">
        <f>Calculo!AY183</f>
        <v>N/A</v>
      </c>
      <c r="AZ183" s="161" t="str">
        <f>Calculo!AZ183</f>
        <v>N/A</v>
      </c>
      <c r="BA183" s="163"/>
    </row>
    <row r="184" ht="12.0" customHeight="1">
      <c r="A184" s="88" t="str">
        <f>'Parâmetros'!$A$19</f>
        <v>Rel. Básico PJ</v>
      </c>
      <c r="B184" s="146"/>
      <c r="C184" s="146"/>
      <c r="D184" s="146"/>
      <c r="E184" s="149"/>
      <c r="F184" s="151"/>
      <c r="G184" s="151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53"/>
      <c r="AC184" s="146"/>
      <c r="AD184" s="151"/>
      <c r="AE184" s="151"/>
      <c r="AF184" s="151"/>
      <c r="AG184" s="151"/>
      <c r="AH184" s="151"/>
      <c r="AI184" s="151"/>
      <c r="AJ184" s="146"/>
      <c r="AK184" s="155"/>
      <c r="AL184" s="151"/>
      <c r="AM184" s="151"/>
      <c r="AN184" s="151"/>
      <c r="AO184" s="151"/>
      <c r="AP184" s="151"/>
      <c r="AQ184" s="157"/>
      <c r="AR184" s="151"/>
      <c r="AS184" s="159"/>
      <c r="AT184" s="160" t="str">
        <f>Calculo!AQ184</f>
        <v>N/A</v>
      </c>
      <c r="AU184" s="161" t="str">
        <f>Calculo!AV184</f>
        <v>N/A</v>
      </c>
      <c r="AV184" s="162" t="str">
        <f>Calculo!AW184</f>
        <v>N/A</v>
      </c>
      <c r="AW184" s="161" t="b">
        <f>Calculo!AX184</f>
        <v>0</v>
      </c>
      <c r="AX184" s="161" t="str">
        <f>Calculo!K184</f>
        <v>N/A</v>
      </c>
      <c r="AY184" s="161" t="str">
        <f>Calculo!AY184</f>
        <v>N/A</v>
      </c>
      <c r="AZ184" s="161" t="str">
        <f>Calculo!AZ184</f>
        <v>N/A</v>
      </c>
      <c r="BA184" s="163"/>
    </row>
    <row r="185" ht="12.0" customHeight="1">
      <c r="A185" s="88" t="str">
        <f>'Parâmetros'!$A$19</f>
        <v>Rel. Básico PJ</v>
      </c>
      <c r="B185" s="146"/>
      <c r="C185" s="146"/>
      <c r="D185" s="146"/>
      <c r="E185" s="149"/>
      <c r="F185" s="151"/>
      <c r="G185" s="151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53"/>
      <c r="AC185" s="146"/>
      <c r="AD185" s="151"/>
      <c r="AE185" s="151"/>
      <c r="AF185" s="151"/>
      <c r="AG185" s="151"/>
      <c r="AH185" s="151"/>
      <c r="AI185" s="151"/>
      <c r="AJ185" s="146"/>
      <c r="AK185" s="155"/>
      <c r="AL185" s="151"/>
      <c r="AM185" s="151"/>
      <c r="AN185" s="151"/>
      <c r="AO185" s="151"/>
      <c r="AP185" s="151"/>
      <c r="AQ185" s="157"/>
      <c r="AR185" s="151"/>
      <c r="AS185" s="159"/>
      <c r="AT185" s="160" t="str">
        <f>Calculo!AQ185</f>
        <v>N/A</v>
      </c>
      <c r="AU185" s="161" t="str">
        <f>Calculo!AV185</f>
        <v>N/A</v>
      </c>
      <c r="AV185" s="162" t="str">
        <f>Calculo!AW185</f>
        <v>N/A</v>
      </c>
      <c r="AW185" s="161" t="b">
        <f>Calculo!AX185</f>
        <v>0</v>
      </c>
      <c r="AX185" s="161" t="str">
        <f>Calculo!K185</f>
        <v>N/A</v>
      </c>
      <c r="AY185" s="161" t="str">
        <f>Calculo!AY185</f>
        <v>N/A</v>
      </c>
      <c r="AZ185" s="161" t="str">
        <f>Calculo!AZ185</f>
        <v>N/A</v>
      </c>
      <c r="BA185" s="163"/>
    </row>
    <row r="186" ht="12.0" customHeight="1">
      <c r="A186" s="88" t="str">
        <f>'Parâmetros'!$A$19</f>
        <v>Rel. Básico PJ</v>
      </c>
      <c r="B186" s="146"/>
      <c r="C186" s="146"/>
      <c r="D186" s="146"/>
      <c r="E186" s="149"/>
      <c r="F186" s="151"/>
      <c r="G186" s="151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53"/>
      <c r="AC186" s="146"/>
      <c r="AD186" s="151"/>
      <c r="AE186" s="151"/>
      <c r="AF186" s="151"/>
      <c r="AG186" s="151"/>
      <c r="AH186" s="151"/>
      <c r="AI186" s="151"/>
      <c r="AJ186" s="146"/>
      <c r="AK186" s="155"/>
      <c r="AL186" s="151"/>
      <c r="AM186" s="151"/>
      <c r="AN186" s="151"/>
      <c r="AO186" s="151"/>
      <c r="AP186" s="151"/>
      <c r="AQ186" s="157"/>
      <c r="AR186" s="151"/>
      <c r="AS186" s="159"/>
      <c r="AT186" s="160" t="str">
        <f>Calculo!AQ186</f>
        <v>N/A</v>
      </c>
      <c r="AU186" s="161" t="str">
        <f>Calculo!AV186</f>
        <v>N/A</v>
      </c>
      <c r="AV186" s="162" t="str">
        <f>Calculo!AW186</f>
        <v>N/A</v>
      </c>
      <c r="AW186" s="161" t="b">
        <f>Calculo!AX186</f>
        <v>0</v>
      </c>
      <c r="AX186" s="161" t="str">
        <f>Calculo!K186</f>
        <v>N/A</v>
      </c>
      <c r="AY186" s="161" t="str">
        <f>Calculo!AY186</f>
        <v>N/A</v>
      </c>
      <c r="AZ186" s="161" t="str">
        <f>Calculo!AZ186</f>
        <v>N/A</v>
      </c>
      <c r="BA186" s="163"/>
    </row>
    <row r="187" ht="12.0" customHeight="1">
      <c r="A187" s="88" t="str">
        <f>'Parâmetros'!$A$19</f>
        <v>Rel. Básico PJ</v>
      </c>
      <c r="B187" s="146"/>
      <c r="C187" s="146"/>
      <c r="D187" s="146"/>
      <c r="E187" s="149"/>
      <c r="F187" s="151"/>
      <c r="G187" s="151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53"/>
      <c r="AC187" s="146"/>
      <c r="AD187" s="151"/>
      <c r="AE187" s="151"/>
      <c r="AF187" s="151"/>
      <c r="AG187" s="151"/>
      <c r="AH187" s="151"/>
      <c r="AI187" s="151"/>
      <c r="AJ187" s="146"/>
      <c r="AK187" s="155"/>
      <c r="AL187" s="151"/>
      <c r="AM187" s="151"/>
      <c r="AN187" s="151"/>
      <c r="AO187" s="151"/>
      <c r="AP187" s="151"/>
      <c r="AQ187" s="157"/>
      <c r="AR187" s="151"/>
      <c r="AS187" s="159"/>
      <c r="AT187" s="160" t="str">
        <f>Calculo!AQ187</f>
        <v>N/A</v>
      </c>
      <c r="AU187" s="161" t="str">
        <f>Calculo!AV187</f>
        <v>N/A</v>
      </c>
      <c r="AV187" s="162" t="str">
        <f>Calculo!AW187</f>
        <v>N/A</v>
      </c>
      <c r="AW187" s="161" t="b">
        <f>Calculo!AX187</f>
        <v>0</v>
      </c>
      <c r="AX187" s="161" t="str">
        <f>Calculo!K187</f>
        <v>N/A</v>
      </c>
      <c r="AY187" s="161" t="str">
        <f>Calculo!AY187</f>
        <v>N/A</v>
      </c>
      <c r="AZ187" s="161" t="str">
        <f>Calculo!AZ187</f>
        <v>N/A</v>
      </c>
      <c r="BA187" s="163"/>
    </row>
    <row r="188" ht="12.0" customHeight="1">
      <c r="A188" s="88" t="str">
        <f>'Parâmetros'!$A$19</f>
        <v>Rel. Básico PJ</v>
      </c>
      <c r="B188" s="146"/>
      <c r="C188" s="146"/>
      <c r="D188" s="146"/>
      <c r="E188" s="149"/>
      <c r="F188" s="151"/>
      <c r="G188" s="151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53"/>
      <c r="AC188" s="146"/>
      <c r="AD188" s="151"/>
      <c r="AE188" s="151"/>
      <c r="AF188" s="151"/>
      <c r="AG188" s="151"/>
      <c r="AH188" s="151"/>
      <c r="AI188" s="151"/>
      <c r="AJ188" s="146"/>
      <c r="AK188" s="155"/>
      <c r="AL188" s="151"/>
      <c r="AM188" s="151"/>
      <c r="AN188" s="151"/>
      <c r="AO188" s="151"/>
      <c r="AP188" s="151"/>
      <c r="AQ188" s="157"/>
      <c r="AR188" s="151"/>
      <c r="AS188" s="159"/>
      <c r="AT188" s="160" t="str">
        <f>Calculo!AQ188</f>
        <v>N/A</v>
      </c>
      <c r="AU188" s="161" t="str">
        <f>Calculo!AV188</f>
        <v>N/A</v>
      </c>
      <c r="AV188" s="162" t="str">
        <f>Calculo!AW188</f>
        <v>N/A</v>
      </c>
      <c r="AW188" s="161" t="b">
        <f>Calculo!AX188</f>
        <v>0</v>
      </c>
      <c r="AX188" s="161" t="str">
        <f>Calculo!K188</f>
        <v>N/A</v>
      </c>
      <c r="AY188" s="161" t="str">
        <f>Calculo!AY188</f>
        <v>N/A</v>
      </c>
      <c r="AZ188" s="161" t="str">
        <f>Calculo!AZ188</f>
        <v>N/A</v>
      </c>
      <c r="BA188" s="163"/>
    </row>
    <row r="189" ht="12.0" customHeight="1">
      <c r="A189" s="88" t="str">
        <f>'Parâmetros'!$A$19</f>
        <v>Rel. Básico PJ</v>
      </c>
      <c r="B189" s="146"/>
      <c r="C189" s="146"/>
      <c r="D189" s="146"/>
      <c r="E189" s="149"/>
      <c r="F189" s="151"/>
      <c r="G189" s="151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53"/>
      <c r="AC189" s="146"/>
      <c r="AD189" s="151"/>
      <c r="AE189" s="151"/>
      <c r="AF189" s="151"/>
      <c r="AG189" s="151"/>
      <c r="AH189" s="151"/>
      <c r="AI189" s="151"/>
      <c r="AJ189" s="146"/>
      <c r="AK189" s="155"/>
      <c r="AL189" s="151"/>
      <c r="AM189" s="151"/>
      <c r="AN189" s="151"/>
      <c r="AO189" s="151"/>
      <c r="AP189" s="151"/>
      <c r="AQ189" s="157"/>
      <c r="AR189" s="151"/>
      <c r="AS189" s="159"/>
      <c r="AT189" s="160" t="str">
        <f>Calculo!AQ189</f>
        <v>N/A</v>
      </c>
      <c r="AU189" s="161" t="str">
        <f>Calculo!AV189</f>
        <v>N/A</v>
      </c>
      <c r="AV189" s="162" t="str">
        <f>Calculo!AW189</f>
        <v>N/A</v>
      </c>
      <c r="AW189" s="161" t="b">
        <f>Calculo!AX189</f>
        <v>0</v>
      </c>
      <c r="AX189" s="161" t="str">
        <f>Calculo!K189</f>
        <v>N/A</v>
      </c>
      <c r="AY189" s="161" t="str">
        <f>Calculo!AY189</f>
        <v>N/A</v>
      </c>
      <c r="AZ189" s="161" t="str">
        <f>Calculo!AZ189</f>
        <v>N/A</v>
      </c>
      <c r="BA189" s="163"/>
    </row>
    <row r="190" ht="12.0" customHeight="1">
      <c r="A190" s="88" t="str">
        <f>'Parâmetros'!$A$19</f>
        <v>Rel. Básico PJ</v>
      </c>
      <c r="B190" s="146"/>
      <c r="C190" s="146"/>
      <c r="D190" s="146"/>
      <c r="E190" s="149"/>
      <c r="F190" s="151"/>
      <c r="G190" s="151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53"/>
      <c r="AC190" s="146"/>
      <c r="AD190" s="151"/>
      <c r="AE190" s="151"/>
      <c r="AF190" s="151"/>
      <c r="AG190" s="151"/>
      <c r="AH190" s="151"/>
      <c r="AI190" s="151"/>
      <c r="AJ190" s="146"/>
      <c r="AK190" s="155"/>
      <c r="AL190" s="151"/>
      <c r="AM190" s="151"/>
      <c r="AN190" s="151"/>
      <c r="AO190" s="151"/>
      <c r="AP190" s="151"/>
      <c r="AQ190" s="157"/>
      <c r="AR190" s="151"/>
      <c r="AS190" s="159"/>
      <c r="AT190" s="160" t="str">
        <f>Calculo!AQ190</f>
        <v>N/A</v>
      </c>
      <c r="AU190" s="161" t="str">
        <f>Calculo!AV190</f>
        <v>N/A</v>
      </c>
      <c r="AV190" s="162" t="str">
        <f>Calculo!AW190</f>
        <v>N/A</v>
      </c>
      <c r="AW190" s="161" t="b">
        <f>Calculo!AX190</f>
        <v>0</v>
      </c>
      <c r="AX190" s="161" t="str">
        <f>Calculo!K190</f>
        <v>N/A</v>
      </c>
      <c r="AY190" s="161" t="str">
        <f>Calculo!AY190</f>
        <v>N/A</v>
      </c>
      <c r="AZ190" s="161" t="str">
        <f>Calculo!AZ190</f>
        <v>N/A</v>
      </c>
      <c r="BA190" s="163"/>
    </row>
    <row r="191" ht="12.0" customHeight="1">
      <c r="A191" s="88" t="str">
        <f>'Parâmetros'!$A$19</f>
        <v>Rel. Básico PJ</v>
      </c>
      <c r="B191" s="146"/>
      <c r="C191" s="146"/>
      <c r="D191" s="146"/>
      <c r="E191" s="149"/>
      <c r="F191" s="151"/>
      <c r="G191" s="151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53"/>
      <c r="AC191" s="146"/>
      <c r="AD191" s="151"/>
      <c r="AE191" s="151"/>
      <c r="AF191" s="151"/>
      <c r="AG191" s="151"/>
      <c r="AH191" s="151"/>
      <c r="AI191" s="151"/>
      <c r="AJ191" s="146"/>
      <c r="AK191" s="155"/>
      <c r="AL191" s="151"/>
      <c r="AM191" s="151"/>
      <c r="AN191" s="151"/>
      <c r="AO191" s="151"/>
      <c r="AP191" s="151"/>
      <c r="AQ191" s="157"/>
      <c r="AR191" s="151"/>
      <c r="AS191" s="159"/>
      <c r="AT191" s="160" t="str">
        <f>Calculo!AQ191</f>
        <v>N/A</v>
      </c>
      <c r="AU191" s="161" t="str">
        <f>Calculo!AV191</f>
        <v>N/A</v>
      </c>
      <c r="AV191" s="162" t="str">
        <f>Calculo!AW191</f>
        <v>N/A</v>
      </c>
      <c r="AW191" s="161" t="b">
        <f>Calculo!AX191</f>
        <v>0</v>
      </c>
      <c r="AX191" s="161" t="str">
        <f>Calculo!K191</f>
        <v>N/A</v>
      </c>
      <c r="AY191" s="161" t="str">
        <f>Calculo!AY191</f>
        <v>N/A</v>
      </c>
      <c r="AZ191" s="161" t="str">
        <f>Calculo!AZ191</f>
        <v>N/A</v>
      </c>
      <c r="BA191" s="163"/>
    </row>
    <row r="192" ht="12.0" customHeight="1">
      <c r="A192" s="88" t="str">
        <f>'Parâmetros'!$A$19</f>
        <v>Rel. Básico PJ</v>
      </c>
      <c r="B192" s="146"/>
      <c r="C192" s="146"/>
      <c r="D192" s="146"/>
      <c r="E192" s="149"/>
      <c r="F192" s="151"/>
      <c r="G192" s="151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53"/>
      <c r="AC192" s="146"/>
      <c r="AD192" s="151"/>
      <c r="AE192" s="151"/>
      <c r="AF192" s="151"/>
      <c r="AG192" s="151"/>
      <c r="AH192" s="151"/>
      <c r="AI192" s="151"/>
      <c r="AJ192" s="146"/>
      <c r="AK192" s="155"/>
      <c r="AL192" s="151"/>
      <c r="AM192" s="151"/>
      <c r="AN192" s="151"/>
      <c r="AO192" s="151"/>
      <c r="AP192" s="151"/>
      <c r="AQ192" s="157"/>
      <c r="AR192" s="151"/>
      <c r="AS192" s="159"/>
      <c r="AT192" s="160" t="str">
        <f>Calculo!AQ192</f>
        <v>N/A</v>
      </c>
      <c r="AU192" s="161" t="str">
        <f>Calculo!AV192</f>
        <v>N/A</v>
      </c>
      <c r="AV192" s="162" t="str">
        <f>Calculo!AW192</f>
        <v>N/A</v>
      </c>
      <c r="AW192" s="161" t="b">
        <f>Calculo!AX192</f>
        <v>0</v>
      </c>
      <c r="AX192" s="161" t="str">
        <f>Calculo!K192</f>
        <v>N/A</v>
      </c>
      <c r="AY192" s="161" t="str">
        <f>Calculo!AY192</f>
        <v>N/A</v>
      </c>
      <c r="AZ192" s="161" t="str">
        <f>Calculo!AZ192</f>
        <v>N/A</v>
      </c>
      <c r="BA192" s="163"/>
    </row>
    <row r="193" ht="12.0" customHeight="1">
      <c r="A193" s="88" t="str">
        <f>'Parâmetros'!$A$19</f>
        <v>Rel. Básico PJ</v>
      </c>
      <c r="B193" s="146"/>
      <c r="C193" s="146"/>
      <c r="D193" s="146"/>
      <c r="E193" s="149"/>
      <c r="F193" s="151"/>
      <c r="G193" s="151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53"/>
      <c r="AC193" s="146"/>
      <c r="AD193" s="151"/>
      <c r="AE193" s="151"/>
      <c r="AF193" s="151"/>
      <c r="AG193" s="151"/>
      <c r="AH193" s="151"/>
      <c r="AI193" s="151"/>
      <c r="AJ193" s="146"/>
      <c r="AK193" s="155"/>
      <c r="AL193" s="151"/>
      <c r="AM193" s="151"/>
      <c r="AN193" s="151"/>
      <c r="AO193" s="151"/>
      <c r="AP193" s="151"/>
      <c r="AQ193" s="157"/>
      <c r="AR193" s="151"/>
      <c r="AS193" s="159"/>
      <c r="AT193" s="160" t="str">
        <f>Calculo!AQ193</f>
        <v>N/A</v>
      </c>
      <c r="AU193" s="161" t="str">
        <f>Calculo!AV193</f>
        <v>N/A</v>
      </c>
      <c r="AV193" s="162" t="str">
        <f>Calculo!AW193</f>
        <v>N/A</v>
      </c>
      <c r="AW193" s="161" t="b">
        <f>Calculo!AX193</f>
        <v>0</v>
      </c>
      <c r="AX193" s="161" t="str">
        <f>Calculo!K193</f>
        <v>N/A</v>
      </c>
      <c r="AY193" s="161" t="str">
        <f>Calculo!AY193</f>
        <v>N/A</v>
      </c>
      <c r="AZ193" s="161" t="str">
        <f>Calculo!AZ193</f>
        <v>N/A</v>
      </c>
      <c r="BA193" s="163"/>
    </row>
    <row r="194" ht="12.0" customHeight="1">
      <c r="A194" s="88" t="str">
        <f>'Parâmetros'!$A$19</f>
        <v>Rel. Básico PJ</v>
      </c>
      <c r="B194" s="146"/>
      <c r="C194" s="146"/>
      <c r="D194" s="146"/>
      <c r="E194" s="149"/>
      <c r="F194" s="151"/>
      <c r="G194" s="151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53"/>
      <c r="AC194" s="146"/>
      <c r="AD194" s="151"/>
      <c r="AE194" s="151"/>
      <c r="AF194" s="151"/>
      <c r="AG194" s="151"/>
      <c r="AH194" s="151"/>
      <c r="AI194" s="151"/>
      <c r="AJ194" s="146"/>
      <c r="AK194" s="155"/>
      <c r="AL194" s="151"/>
      <c r="AM194" s="151"/>
      <c r="AN194" s="151"/>
      <c r="AO194" s="151"/>
      <c r="AP194" s="151"/>
      <c r="AQ194" s="157"/>
      <c r="AR194" s="151"/>
      <c r="AS194" s="159"/>
      <c r="AT194" s="160" t="str">
        <f>Calculo!AQ194</f>
        <v>N/A</v>
      </c>
      <c r="AU194" s="161" t="str">
        <f>Calculo!AV194</f>
        <v>N/A</v>
      </c>
      <c r="AV194" s="162" t="str">
        <f>Calculo!AW194</f>
        <v>N/A</v>
      </c>
      <c r="AW194" s="161" t="b">
        <f>Calculo!AX194</f>
        <v>0</v>
      </c>
      <c r="AX194" s="161" t="str">
        <f>Calculo!K194</f>
        <v>N/A</v>
      </c>
      <c r="AY194" s="161" t="str">
        <f>Calculo!AY194</f>
        <v>N/A</v>
      </c>
      <c r="AZ194" s="161" t="str">
        <f>Calculo!AZ194</f>
        <v>N/A</v>
      </c>
      <c r="BA194" s="163"/>
    </row>
    <row r="195" ht="12.0" customHeight="1">
      <c r="A195" s="88" t="str">
        <f>'Parâmetros'!$A$19</f>
        <v>Rel. Básico PJ</v>
      </c>
      <c r="B195" s="146"/>
      <c r="C195" s="146"/>
      <c r="D195" s="146"/>
      <c r="E195" s="149"/>
      <c r="F195" s="151"/>
      <c r="G195" s="151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53"/>
      <c r="AC195" s="146"/>
      <c r="AD195" s="151"/>
      <c r="AE195" s="151"/>
      <c r="AF195" s="151"/>
      <c r="AG195" s="151"/>
      <c r="AH195" s="151"/>
      <c r="AI195" s="151"/>
      <c r="AJ195" s="146"/>
      <c r="AK195" s="155"/>
      <c r="AL195" s="151"/>
      <c r="AM195" s="151"/>
      <c r="AN195" s="151"/>
      <c r="AO195" s="151"/>
      <c r="AP195" s="151"/>
      <c r="AQ195" s="157"/>
      <c r="AR195" s="151"/>
      <c r="AS195" s="159"/>
      <c r="AT195" s="160" t="str">
        <f>Calculo!AQ195</f>
        <v>N/A</v>
      </c>
      <c r="AU195" s="161" t="str">
        <f>Calculo!AV195</f>
        <v>N/A</v>
      </c>
      <c r="AV195" s="162" t="str">
        <f>Calculo!AW195</f>
        <v>N/A</v>
      </c>
      <c r="AW195" s="161" t="b">
        <f>Calculo!AX195</f>
        <v>0</v>
      </c>
      <c r="AX195" s="161" t="str">
        <f>Calculo!K195</f>
        <v>N/A</v>
      </c>
      <c r="AY195" s="161" t="str">
        <f>Calculo!AY195</f>
        <v>N/A</v>
      </c>
      <c r="AZ195" s="161" t="str">
        <f>Calculo!AZ195</f>
        <v>N/A</v>
      </c>
      <c r="BA195" s="163"/>
    </row>
    <row r="196" ht="12.0" customHeight="1">
      <c r="A196" s="88" t="str">
        <f>'Parâmetros'!$A$19</f>
        <v>Rel. Básico PJ</v>
      </c>
      <c r="B196" s="146"/>
      <c r="C196" s="146"/>
      <c r="D196" s="146"/>
      <c r="E196" s="149"/>
      <c r="F196" s="151"/>
      <c r="G196" s="151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53"/>
      <c r="AC196" s="146"/>
      <c r="AD196" s="151"/>
      <c r="AE196" s="151"/>
      <c r="AF196" s="151"/>
      <c r="AG196" s="151"/>
      <c r="AH196" s="151"/>
      <c r="AI196" s="151"/>
      <c r="AJ196" s="146"/>
      <c r="AK196" s="155"/>
      <c r="AL196" s="151"/>
      <c r="AM196" s="151"/>
      <c r="AN196" s="151"/>
      <c r="AO196" s="151"/>
      <c r="AP196" s="151"/>
      <c r="AQ196" s="157"/>
      <c r="AR196" s="151"/>
      <c r="AS196" s="159"/>
      <c r="AT196" s="160" t="str">
        <f>Calculo!AQ196</f>
        <v>N/A</v>
      </c>
      <c r="AU196" s="161" t="str">
        <f>Calculo!AV196</f>
        <v>N/A</v>
      </c>
      <c r="AV196" s="162" t="str">
        <f>Calculo!AW196</f>
        <v>N/A</v>
      </c>
      <c r="AW196" s="161" t="b">
        <f>Calculo!AX196</f>
        <v>0</v>
      </c>
      <c r="AX196" s="161" t="str">
        <f>Calculo!K196</f>
        <v>N/A</v>
      </c>
      <c r="AY196" s="161" t="str">
        <f>Calculo!AY196</f>
        <v>N/A</v>
      </c>
      <c r="AZ196" s="161" t="str">
        <f>Calculo!AZ196</f>
        <v>N/A</v>
      </c>
      <c r="BA196" s="163"/>
    </row>
    <row r="197" ht="12.0" customHeight="1">
      <c r="A197" s="88" t="str">
        <f>'Parâmetros'!$A$19</f>
        <v>Rel. Básico PJ</v>
      </c>
      <c r="B197" s="146"/>
      <c r="C197" s="146"/>
      <c r="D197" s="146"/>
      <c r="E197" s="149"/>
      <c r="F197" s="151"/>
      <c r="G197" s="151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53"/>
      <c r="AC197" s="146"/>
      <c r="AD197" s="151"/>
      <c r="AE197" s="151"/>
      <c r="AF197" s="151"/>
      <c r="AG197" s="151"/>
      <c r="AH197" s="151"/>
      <c r="AI197" s="151"/>
      <c r="AJ197" s="146"/>
      <c r="AK197" s="155"/>
      <c r="AL197" s="151"/>
      <c r="AM197" s="151"/>
      <c r="AN197" s="151"/>
      <c r="AO197" s="151"/>
      <c r="AP197" s="151"/>
      <c r="AQ197" s="157"/>
      <c r="AR197" s="151"/>
      <c r="AS197" s="159"/>
      <c r="AT197" s="160" t="str">
        <f>Calculo!AQ197</f>
        <v>N/A</v>
      </c>
      <c r="AU197" s="161" t="str">
        <f>Calculo!AV197</f>
        <v>N/A</v>
      </c>
      <c r="AV197" s="162" t="str">
        <f>Calculo!AW197</f>
        <v>N/A</v>
      </c>
      <c r="AW197" s="161" t="b">
        <f>Calculo!AX197</f>
        <v>0</v>
      </c>
      <c r="AX197" s="161" t="str">
        <f>Calculo!K197</f>
        <v>N/A</v>
      </c>
      <c r="AY197" s="161" t="str">
        <f>Calculo!AY197</f>
        <v>N/A</v>
      </c>
      <c r="AZ197" s="161" t="str">
        <f>Calculo!AZ197</f>
        <v>N/A</v>
      </c>
      <c r="BA197" s="163"/>
    </row>
    <row r="198" ht="12.0" customHeight="1">
      <c r="A198" s="88" t="str">
        <f>'Parâmetros'!$A$19</f>
        <v>Rel. Básico PJ</v>
      </c>
      <c r="B198" s="146"/>
      <c r="C198" s="146"/>
      <c r="D198" s="146"/>
      <c r="E198" s="149"/>
      <c r="F198" s="151"/>
      <c r="G198" s="151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53"/>
      <c r="AC198" s="146"/>
      <c r="AD198" s="151"/>
      <c r="AE198" s="151"/>
      <c r="AF198" s="151"/>
      <c r="AG198" s="151"/>
      <c r="AH198" s="151"/>
      <c r="AI198" s="151"/>
      <c r="AJ198" s="146"/>
      <c r="AK198" s="155"/>
      <c r="AL198" s="151"/>
      <c r="AM198" s="151"/>
      <c r="AN198" s="151"/>
      <c r="AO198" s="151"/>
      <c r="AP198" s="151"/>
      <c r="AQ198" s="157"/>
      <c r="AR198" s="151"/>
      <c r="AS198" s="159"/>
      <c r="AT198" s="160" t="str">
        <f>Calculo!AQ198</f>
        <v>N/A</v>
      </c>
      <c r="AU198" s="161" t="str">
        <f>Calculo!AV198</f>
        <v>N/A</v>
      </c>
      <c r="AV198" s="162" t="str">
        <f>Calculo!AW198</f>
        <v>N/A</v>
      </c>
      <c r="AW198" s="161" t="b">
        <f>Calculo!AX198</f>
        <v>0</v>
      </c>
      <c r="AX198" s="161" t="str">
        <f>Calculo!K198</f>
        <v>N/A</v>
      </c>
      <c r="AY198" s="161" t="str">
        <f>Calculo!AY198</f>
        <v>N/A</v>
      </c>
      <c r="AZ198" s="161" t="str">
        <f>Calculo!AZ198</f>
        <v>N/A</v>
      </c>
      <c r="BA198" s="163"/>
    </row>
    <row r="199" ht="12.0" customHeight="1">
      <c r="A199" s="88" t="str">
        <f>'Parâmetros'!$A$19</f>
        <v>Rel. Básico PJ</v>
      </c>
      <c r="B199" s="146"/>
      <c r="C199" s="146"/>
      <c r="D199" s="146"/>
      <c r="E199" s="149"/>
      <c r="F199" s="151"/>
      <c r="G199" s="151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53"/>
      <c r="AC199" s="146"/>
      <c r="AD199" s="151"/>
      <c r="AE199" s="151"/>
      <c r="AF199" s="151"/>
      <c r="AG199" s="151"/>
      <c r="AH199" s="151"/>
      <c r="AI199" s="151"/>
      <c r="AJ199" s="146"/>
      <c r="AK199" s="155"/>
      <c r="AL199" s="151"/>
      <c r="AM199" s="151"/>
      <c r="AN199" s="151"/>
      <c r="AO199" s="151"/>
      <c r="AP199" s="151"/>
      <c r="AQ199" s="157"/>
      <c r="AR199" s="151"/>
      <c r="AS199" s="159"/>
      <c r="AT199" s="160" t="str">
        <f>Calculo!AQ199</f>
        <v>N/A</v>
      </c>
      <c r="AU199" s="161" t="str">
        <f>Calculo!AV199</f>
        <v>N/A</v>
      </c>
      <c r="AV199" s="162" t="str">
        <f>Calculo!AW199</f>
        <v>N/A</v>
      </c>
      <c r="AW199" s="161" t="b">
        <f>Calculo!AX199</f>
        <v>0</v>
      </c>
      <c r="AX199" s="161" t="str">
        <f>Calculo!K199</f>
        <v>N/A</v>
      </c>
      <c r="AY199" s="161" t="str">
        <f>Calculo!AY199</f>
        <v>N/A</v>
      </c>
      <c r="AZ199" s="161" t="str">
        <f>Calculo!AZ199</f>
        <v>N/A</v>
      </c>
      <c r="BA199" s="163"/>
    </row>
    <row r="200" ht="12.0" customHeight="1">
      <c r="A200" s="88" t="str">
        <f>'Parâmetros'!$A$19</f>
        <v>Rel. Básico PJ</v>
      </c>
      <c r="B200" s="146"/>
      <c r="C200" s="146"/>
      <c r="D200" s="146"/>
      <c r="E200" s="149"/>
      <c r="F200" s="151"/>
      <c r="G200" s="151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53"/>
      <c r="AC200" s="146"/>
      <c r="AD200" s="151"/>
      <c r="AE200" s="151"/>
      <c r="AF200" s="151"/>
      <c r="AG200" s="151"/>
      <c r="AH200" s="151"/>
      <c r="AI200" s="151"/>
      <c r="AJ200" s="146"/>
      <c r="AK200" s="155"/>
      <c r="AL200" s="151"/>
      <c r="AM200" s="151"/>
      <c r="AN200" s="151"/>
      <c r="AO200" s="151"/>
      <c r="AP200" s="151"/>
      <c r="AQ200" s="157"/>
      <c r="AR200" s="151"/>
      <c r="AS200" s="159"/>
      <c r="AT200" s="160" t="str">
        <f>Calculo!AQ200</f>
        <v>N/A</v>
      </c>
      <c r="AU200" s="161" t="str">
        <f>Calculo!AV200</f>
        <v>N/A</v>
      </c>
      <c r="AV200" s="162" t="str">
        <f>Calculo!AW200</f>
        <v>N/A</v>
      </c>
      <c r="AW200" s="161" t="b">
        <f>Calculo!AX200</f>
        <v>0</v>
      </c>
      <c r="AX200" s="161" t="str">
        <f>Calculo!K200</f>
        <v>N/A</v>
      </c>
      <c r="AY200" s="161" t="str">
        <f>Calculo!AY200</f>
        <v>N/A</v>
      </c>
      <c r="AZ200" s="161" t="str">
        <f>Calculo!AZ200</f>
        <v>N/A</v>
      </c>
      <c r="BA200" s="163"/>
    </row>
    <row r="201" ht="12.0" customHeight="1">
      <c r="A201" s="88" t="str">
        <f>'Parâmetros'!$A$19</f>
        <v>Rel. Básico PJ</v>
      </c>
      <c r="B201" s="146"/>
      <c r="C201" s="146"/>
      <c r="D201" s="146"/>
      <c r="E201" s="149"/>
      <c r="F201" s="151"/>
      <c r="G201" s="151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53"/>
      <c r="AC201" s="146"/>
      <c r="AD201" s="151"/>
      <c r="AE201" s="151"/>
      <c r="AF201" s="151"/>
      <c r="AG201" s="151"/>
      <c r="AH201" s="151"/>
      <c r="AI201" s="151"/>
      <c r="AJ201" s="146"/>
      <c r="AK201" s="155"/>
      <c r="AL201" s="151"/>
      <c r="AM201" s="151"/>
      <c r="AN201" s="151"/>
      <c r="AO201" s="151"/>
      <c r="AP201" s="151"/>
      <c r="AQ201" s="157"/>
      <c r="AR201" s="151"/>
      <c r="AS201" s="159"/>
      <c r="AT201" s="160" t="str">
        <f>Calculo!AQ201</f>
        <v>N/A</v>
      </c>
      <c r="AU201" s="161" t="str">
        <f>Calculo!AV201</f>
        <v>N/A</v>
      </c>
      <c r="AV201" s="162" t="str">
        <f>Calculo!AW201</f>
        <v>N/A</v>
      </c>
      <c r="AW201" s="161" t="b">
        <f>Calculo!AX201</f>
        <v>0</v>
      </c>
      <c r="AX201" s="161" t="str">
        <f>Calculo!K201</f>
        <v>N/A</v>
      </c>
      <c r="AY201" s="161" t="str">
        <f>Calculo!AY201</f>
        <v>N/A</v>
      </c>
      <c r="AZ201" s="161" t="str">
        <f>Calculo!AZ201</f>
        <v>N/A</v>
      </c>
      <c r="BA201" s="163"/>
    </row>
    <row r="202" ht="12.0" customHeight="1">
      <c r="A202" s="88" t="str">
        <f>'Parâmetros'!$A$19</f>
        <v>Rel. Básico PJ</v>
      </c>
      <c r="B202" s="146"/>
      <c r="C202" s="146"/>
      <c r="D202" s="146"/>
      <c r="E202" s="149"/>
      <c r="F202" s="151"/>
      <c r="G202" s="151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53"/>
      <c r="AC202" s="146"/>
      <c r="AD202" s="151"/>
      <c r="AE202" s="151"/>
      <c r="AF202" s="151"/>
      <c r="AG202" s="151"/>
      <c r="AH202" s="151"/>
      <c r="AI202" s="151"/>
      <c r="AJ202" s="146"/>
      <c r="AK202" s="155"/>
      <c r="AL202" s="151"/>
      <c r="AM202" s="151"/>
      <c r="AN202" s="151"/>
      <c r="AO202" s="151"/>
      <c r="AP202" s="151"/>
      <c r="AQ202" s="157"/>
      <c r="AR202" s="151"/>
      <c r="AS202" s="159"/>
      <c r="AT202" s="160" t="str">
        <f>Calculo!AQ202</f>
        <v>N/A</v>
      </c>
      <c r="AU202" s="161" t="str">
        <f>Calculo!AV202</f>
        <v>N/A</v>
      </c>
      <c r="AV202" s="162" t="str">
        <f>Calculo!AW202</f>
        <v>N/A</v>
      </c>
      <c r="AW202" s="161" t="b">
        <f>Calculo!AX202</f>
        <v>0</v>
      </c>
      <c r="AX202" s="161" t="str">
        <f>Calculo!K202</f>
        <v>N/A</v>
      </c>
      <c r="AY202" s="161" t="str">
        <f>Calculo!AY202</f>
        <v>N/A</v>
      </c>
      <c r="AZ202" s="161" t="str">
        <f>Calculo!AZ202</f>
        <v>N/A</v>
      </c>
      <c r="BA202" s="163"/>
    </row>
    <row r="203" ht="12.0" customHeight="1">
      <c r="A203" s="88" t="str">
        <f>'Parâmetros'!$A$19</f>
        <v>Rel. Básico PJ</v>
      </c>
      <c r="B203" s="146"/>
      <c r="C203" s="146"/>
      <c r="D203" s="146"/>
      <c r="E203" s="149"/>
      <c r="F203" s="151"/>
      <c r="G203" s="151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53"/>
      <c r="AC203" s="146"/>
      <c r="AD203" s="151"/>
      <c r="AE203" s="151"/>
      <c r="AF203" s="151"/>
      <c r="AG203" s="151"/>
      <c r="AH203" s="151"/>
      <c r="AI203" s="151"/>
      <c r="AJ203" s="146"/>
      <c r="AK203" s="155"/>
      <c r="AL203" s="151"/>
      <c r="AM203" s="151"/>
      <c r="AN203" s="151"/>
      <c r="AO203" s="151"/>
      <c r="AP203" s="151"/>
      <c r="AQ203" s="157"/>
      <c r="AR203" s="151"/>
      <c r="AS203" s="159"/>
      <c r="AT203" s="160" t="str">
        <f>Calculo!AQ203</f>
        <v>N/A</v>
      </c>
      <c r="AU203" s="161" t="str">
        <f>Calculo!AV203</f>
        <v>N/A</v>
      </c>
      <c r="AV203" s="162" t="str">
        <f>Calculo!AW203</f>
        <v>N/A</v>
      </c>
      <c r="AW203" s="161" t="b">
        <f>Calculo!AX203</f>
        <v>0</v>
      </c>
      <c r="AX203" s="161" t="str">
        <f>Calculo!K203</f>
        <v>N/A</v>
      </c>
      <c r="AY203" s="161" t="str">
        <f>Calculo!AY203</f>
        <v>N/A</v>
      </c>
      <c r="AZ203" s="161" t="str">
        <f>Calculo!AZ203</f>
        <v>N/A</v>
      </c>
      <c r="BA203" s="163"/>
    </row>
    <row r="204" ht="12.0" customHeight="1">
      <c r="A204" s="88" t="str">
        <f>'Parâmetros'!$A$19</f>
        <v>Rel. Básico PJ</v>
      </c>
      <c r="B204" s="146"/>
      <c r="C204" s="146"/>
      <c r="D204" s="146"/>
      <c r="E204" s="149"/>
      <c r="F204" s="151"/>
      <c r="G204" s="151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53"/>
      <c r="AC204" s="146"/>
      <c r="AD204" s="151"/>
      <c r="AE204" s="151"/>
      <c r="AF204" s="151"/>
      <c r="AG204" s="151"/>
      <c r="AH204" s="151"/>
      <c r="AI204" s="151"/>
      <c r="AJ204" s="146"/>
      <c r="AK204" s="155"/>
      <c r="AL204" s="151"/>
      <c r="AM204" s="151"/>
      <c r="AN204" s="151"/>
      <c r="AO204" s="151"/>
      <c r="AP204" s="151"/>
      <c r="AQ204" s="157"/>
      <c r="AR204" s="151"/>
      <c r="AS204" s="159"/>
      <c r="AT204" s="160" t="str">
        <f>Calculo!AQ204</f>
        <v>N/A</v>
      </c>
      <c r="AU204" s="161" t="str">
        <f>Calculo!AV204</f>
        <v>N/A</v>
      </c>
      <c r="AV204" s="162" t="str">
        <f>Calculo!AW204</f>
        <v>N/A</v>
      </c>
      <c r="AW204" s="161" t="b">
        <f>Calculo!AX204</f>
        <v>0</v>
      </c>
      <c r="AX204" s="161" t="str">
        <f>Calculo!K204</f>
        <v>N/A</v>
      </c>
      <c r="AY204" s="161" t="str">
        <f>Calculo!AY204</f>
        <v>N/A</v>
      </c>
      <c r="AZ204" s="161" t="str">
        <f>Calculo!AZ204</f>
        <v>N/A</v>
      </c>
      <c r="BA204" s="163"/>
    </row>
    <row r="205" ht="12.0" customHeight="1">
      <c r="A205" s="88" t="str">
        <f>'Parâmetros'!$A$19</f>
        <v>Rel. Básico PJ</v>
      </c>
      <c r="B205" s="146"/>
      <c r="C205" s="146"/>
      <c r="D205" s="146"/>
      <c r="E205" s="149"/>
      <c r="F205" s="151"/>
      <c r="G205" s="151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53"/>
      <c r="AC205" s="146"/>
      <c r="AD205" s="151"/>
      <c r="AE205" s="151"/>
      <c r="AF205" s="151"/>
      <c r="AG205" s="151"/>
      <c r="AH205" s="151"/>
      <c r="AI205" s="151"/>
      <c r="AJ205" s="146"/>
      <c r="AK205" s="155"/>
      <c r="AL205" s="151"/>
      <c r="AM205" s="151"/>
      <c r="AN205" s="151"/>
      <c r="AO205" s="151"/>
      <c r="AP205" s="151"/>
      <c r="AQ205" s="157"/>
      <c r="AR205" s="151"/>
      <c r="AS205" s="159"/>
      <c r="AT205" s="160" t="str">
        <f>Calculo!AQ205</f>
        <v>N/A</v>
      </c>
      <c r="AU205" s="161" t="str">
        <f>Calculo!AV205</f>
        <v>N/A</v>
      </c>
      <c r="AV205" s="162" t="str">
        <f>Calculo!AW205</f>
        <v>N/A</v>
      </c>
      <c r="AW205" s="161" t="b">
        <f>Calculo!AX205</f>
        <v>0</v>
      </c>
      <c r="AX205" s="161" t="str">
        <f>Calculo!K205</f>
        <v>N/A</v>
      </c>
      <c r="AY205" s="161" t="str">
        <f>Calculo!AY205</f>
        <v>N/A</v>
      </c>
      <c r="AZ205" s="161" t="str">
        <f>Calculo!AZ205</f>
        <v>N/A</v>
      </c>
      <c r="BA205" s="163"/>
    </row>
    <row r="206" ht="12.0" customHeight="1">
      <c r="A206" s="88" t="str">
        <f>'Parâmetros'!$A$19</f>
        <v>Rel. Básico PJ</v>
      </c>
      <c r="B206" s="146"/>
      <c r="C206" s="146"/>
      <c r="D206" s="146"/>
      <c r="E206" s="149"/>
      <c r="F206" s="151"/>
      <c r="G206" s="151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53"/>
      <c r="AC206" s="146"/>
      <c r="AD206" s="151"/>
      <c r="AE206" s="151"/>
      <c r="AF206" s="151"/>
      <c r="AG206" s="151"/>
      <c r="AH206" s="151"/>
      <c r="AI206" s="151"/>
      <c r="AJ206" s="146"/>
      <c r="AK206" s="155"/>
      <c r="AL206" s="151"/>
      <c r="AM206" s="151"/>
      <c r="AN206" s="151"/>
      <c r="AO206" s="151"/>
      <c r="AP206" s="151"/>
      <c r="AQ206" s="157"/>
      <c r="AR206" s="151"/>
      <c r="AS206" s="159"/>
      <c r="AT206" s="160" t="str">
        <f>Calculo!AQ206</f>
        <v>N/A</v>
      </c>
      <c r="AU206" s="161" t="str">
        <f>Calculo!AV206</f>
        <v>N/A</v>
      </c>
      <c r="AV206" s="162" t="str">
        <f>Calculo!AW206</f>
        <v>N/A</v>
      </c>
      <c r="AW206" s="161" t="b">
        <f>Calculo!AX206</f>
        <v>0</v>
      </c>
      <c r="AX206" s="161" t="str">
        <f>Calculo!K206</f>
        <v>N/A</v>
      </c>
      <c r="AY206" s="161" t="str">
        <f>Calculo!AY206</f>
        <v>N/A</v>
      </c>
      <c r="AZ206" s="161" t="str">
        <f>Calculo!AZ206</f>
        <v>N/A</v>
      </c>
      <c r="BA206" s="163"/>
    </row>
    <row r="207" ht="12.0" customHeight="1">
      <c r="A207" s="88" t="str">
        <f>'Parâmetros'!$A$19</f>
        <v>Rel. Básico PJ</v>
      </c>
      <c r="B207" s="146"/>
      <c r="C207" s="146"/>
      <c r="D207" s="146"/>
      <c r="E207" s="149"/>
      <c r="F207" s="151"/>
      <c r="G207" s="151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53"/>
      <c r="AC207" s="146"/>
      <c r="AD207" s="151"/>
      <c r="AE207" s="151"/>
      <c r="AF207" s="151"/>
      <c r="AG207" s="151"/>
      <c r="AH207" s="151"/>
      <c r="AI207" s="151"/>
      <c r="AJ207" s="146"/>
      <c r="AK207" s="155"/>
      <c r="AL207" s="151"/>
      <c r="AM207" s="151"/>
      <c r="AN207" s="151"/>
      <c r="AO207" s="151"/>
      <c r="AP207" s="151"/>
      <c r="AQ207" s="157"/>
      <c r="AR207" s="151"/>
      <c r="AS207" s="159"/>
      <c r="AT207" s="160" t="str">
        <f>Calculo!AQ207</f>
        <v>N/A</v>
      </c>
      <c r="AU207" s="161" t="str">
        <f>Calculo!AV207</f>
        <v>N/A</v>
      </c>
      <c r="AV207" s="162" t="str">
        <f>Calculo!AW207</f>
        <v>N/A</v>
      </c>
      <c r="AW207" s="161" t="b">
        <f>Calculo!AX207</f>
        <v>0</v>
      </c>
      <c r="AX207" s="161" t="str">
        <f>Calculo!K207</f>
        <v>N/A</v>
      </c>
      <c r="AY207" s="161" t="str">
        <f>Calculo!AY207</f>
        <v>N/A</v>
      </c>
      <c r="AZ207" s="161" t="str">
        <f>Calculo!AZ207</f>
        <v>N/A</v>
      </c>
      <c r="BA207" s="163"/>
    </row>
    <row r="208" ht="12.0" customHeight="1">
      <c r="A208" s="88" t="str">
        <f>'Parâmetros'!$A$19</f>
        <v>Rel. Básico PJ</v>
      </c>
      <c r="B208" s="146"/>
      <c r="C208" s="146"/>
      <c r="D208" s="146"/>
      <c r="E208" s="149"/>
      <c r="F208" s="151"/>
      <c r="G208" s="151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53"/>
      <c r="AC208" s="146"/>
      <c r="AD208" s="151"/>
      <c r="AE208" s="151"/>
      <c r="AF208" s="151"/>
      <c r="AG208" s="151"/>
      <c r="AH208" s="151"/>
      <c r="AI208" s="151"/>
      <c r="AJ208" s="146"/>
      <c r="AK208" s="155"/>
      <c r="AL208" s="151"/>
      <c r="AM208" s="151"/>
      <c r="AN208" s="151"/>
      <c r="AO208" s="151"/>
      <c r="AP208" s="151"/>
      <c r="AQ208" s="157"/>
      <c r="AR208" s="151"/>
      <c r="AS208" s="159"/>
      <c r="AT208" s="160" t="str">
        <f>Calculo!AQ208</f>
        <v>N/A</v>
      </c>
      <c r="AU208" s="161" t="str">
        <f>Calculo!AV208</f>
        <v>N/A</v>
      </c>
      <c r="AV208" s="162" t="str">
        <f>Calculo!AW208</f>
        <v>N/A</v>
      </c>
      <c r="AW208" s="161" t="b">
        <f>Calculo!AX208</f>
        <v>0</v>
      </c>
      <c r="AX208" s="161" t="str">
        <f>Calculo!K208</f>
        <v>N/A</v>
      </c>
      <c r="AY208" s="161" t="str">
        <f>Calculo!AY208</f>
        <v>N/A</v>
      </c>
      <c r="AZ208" s="161" t="str">
        <f>Calculo!AZ208</f>
        <v>N/A</v>
      </c>
      <c r="BA208" s="163"/>
    </row>
    <row r="209" ht="12.0" customHeight="1">
      <c r="A209" s="88" t="str">
        <f>'Parâmetros'!$A$19</f>
        <v>Rel. Básico PJ</v>
      </c>
      <c r="B209" s="146"/>
      <c r="C209" s="146"/>
      <c r="D209" s="146"/>
      <c r="E209" s="149"/>
      <c r="F209" s="151"/>
      <c r="G209" s="151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53"/>
      <c r="AC209" s="146"/>
      <c r="AD209" s="151"/>
      <c r="AE209" s="151"/>
      <c r="AF209" s="151"/>
      <c r="AG209" s="151"/>
      <c r="AH209" s="151"/>
      <c r="AI209" s="151"/>
      <c r="AJ209" s="146"/>
      <c r="AK209" s="155"/>
      <c r="AL209" s="151"/>
      <c r="AM209" s="151"/>
      <c r="AN209" s="151"/>
      <c r="AO209" s="151"/>
      <c r="AP209" s="151"/>
      <c r="AQ209" s="157"/>
      <c r="AR209" s="151"/>
      <c r="AS209" s="159"/>
      <c r="AT209" s="160" t="str">
        <f>Calculo!AQ209</f>
        <v>N/A</v>
      </c>
      <c r="AU209" s="161" t="str">
        <f>Calculo!AV209</f>
        <v>N/A</v>
      </c>
      <c r="AV209" s="162" t="str">
        <f>Calculo!AW209</f>
        <v>N/A</v>
      </c>
      <c r="AW209" s="161" t="b">
        <f>Calculo!AX209</f>
        <v>0</v>
      </c>
      <c r="AX209" s="161" t="str">
        <f>Calculo!K209</f>
        <v>N/A</v>
      </c>
      <c r="AY209" s="161" t="str">
        <f>Calculo!AY209</f>
        <v>N/A</v>
      </c>
      <c r="AZ209" s="161" t="str">
        <f>Calculo!AZ209</f>
        <v>N/A</v>
      </c>
      <c r="BA209" s="163"/>
    </row>
    <row r="210" ht="12.0" customHeight="1">
      <c r="A210" s="88" t="str">
        <f>'Parâmetros'!$A$19</f>
        <v>Rel. Básico PJ</v>
      </c>
      <c r="B210" s="146"/>
      <c r="C210" s="146"/>
      <c r="D210" s="146"/>
      <c r="E210" s="149"/>
      <c r="F210" s="151"/>
      <c r="G210" s="151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53"/>
      <c r="AC210" s="146"/>
      <c r="AD210" s="151"/>
      <c r="AE210" s="151"/>
      <c r="AF210" s="151"/>
      <c r="AG210" s="151"/>
      <c r="AH210" s="151"/>
      <c r="AI210" s="151"/>
      <c r="AJ210" s="146"/>
      <c r="AK210" s="155"/>
      <c r="AL210" s="151"/>
      <c r="AM210" s="151"/>
      <c r="AN210" s="151"/>
      <c r="AO210" s="151"/>
      <c r="AP210" s="151"/>
      <c r="AQ210" s="157"/>
      <c r="AR210" s="151"/>
      <c r="AS210" s="159"/>
      <c r="AT210" s="160" t="str">
        <f>Calculo!AQ210</f>
        <v>N/A</v>
      </c>
      <c r="AU210" s="161" t="str">
        <f>Calculo!AV210</f>
        <v>N/A</v>
      </c>
      <c r="AV210" s="162" t="str">
        <f>Calculo!AW210</f>
        <v>N/A</v>
      </c>
      <c r="AW210" s="161" t="b">
        <f>Calculo!AX210</f>
        <v>0</v>
      </c>
      <c r="AX210" s="161" t="str">
        <f>Calculo!K210</f>
        <v>N/A</v>
      </c>
      <c r="AY210" s="161" t="str">
        <f>Calculo!AY210</f>
        <v>N/A</v>
      </c>
      <c r="AZ210" s="161" t="str">
        <f>Calculo!AZ210</f>
        <v>N/A</v>
      </c>
      <c r="BA210" s="163"/>
    </row>
    <row r="211" ht="12.0" customHeight="1">
      <c r="A211" s="88" t="str">
        <f>'Parâmetros'!$A$19</f>
        <v>Rel. Básico PJ</v>
      </c>
      <c r="B211" s="146"/>
      <c r="C211" s="146"/>
      <c r="D211" s="146"/>
      <c r="E211" s="149"/>
      <c r="F211" s="151"/>
      <c r="G211" s="151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53"/>
      <c r="AC211" s="146"/>
      <c r="AD211" s="151"/>
      <c r="AE211" s="151"/>
      <c r="AF211" s="151"/>
      <c r="AG211" s="151"/>
      <c r="AH211" s="151"/>
      <c r="AI211" s="151"/>
      <c r="AJ211" s="146"/>
      <c r="AK211" s="155"/>
      <c r="AL211" s="151"/>
      <c r="AM211" s="151"/>
      <c r="AN211" s="151"/>
      <c r="AO211" s="151"/>
      <c r="AP211" s="151"/>
      <c r="AQ211" s="157"/>
      <c r="AR211" s="151"/>
      <c r="AS211" s="159"/>
      <c r="AT211" s="160" t="str">
        <f>Calculo!AQ211</f>
        <v>N/A</v>
      </c>
      <c r="AU211" s="161" t="str">
        <f>Calculo!AV211</f>
        <v>N/A</v>
      </c>
      <c r="AV211" s="162" t="str">
        <f>Calculo!AW211</f>
        <v>N/A</v>
      </c>
      <c r="AW211" s="161" t="b">
        <f>Calculo!AX211</f>
        <v>0</v>
      </c>
      <c r="AX211" s="161" t="str">
        <f>Calculo!K211</f>
        <v>N/A</v>
      </c>
      <c r="AY211" s="161" t="str">
        <f>Calculo!AY211</f>
        <v>N/A</v>
      </c>
      <c r="AZ211" s="161" t="str">
        <f>Calculo!AZ211</f>
        <v>N/A</v>
      </c>
      <c r="BA211" s="163"/>
    </row>
    <row r="212" ht="12.0" customHeight="1">
      <c r="A212" s="88" t="str">
        <f>'Parâmetros'!$A$19</f>
        <v>Rel. Básico PJ</v>
      </c>
      <c r="B212" s="146"/>
      <c r="C212" s="146"/>
      <c r="D212" s="146"/>
      <c r="E212" s="149"/>
      <c r="F212" s="151"/>
      <c r="G212" s="151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53"/>
      <c r="AC212" s="146"/>
      <c r="AD212" s="151"/>
      <c r="AE212" s="151"/>
      <c r="AF212" s="151"/>
      <c r="AG212" s="151"/>
      <c r="AH212" s="151"/>
      <c r="AI212" s="151"/>
      <c r="AJ212" s="146"/>
      <c r="AK212" s="155"/>
      <c r="AL212" s="151"/>
      <c r="AM212" s="151"/>
      <c r="AN212" s="151"/>
      <c r="AO212" s="151"/>
      <c r="AP212" s="151"/>
      <c r="AQ212" s="157"/>
      <c r="AR212" s="151"/>
      <c r="AS212" s="159"/>
      <c r="AT212" s="160" t="str">
        <f>Calculo!AQ212</f>
        <v>N/A</v>
      </c>
      <c r="AU212" s="161" t="str">
        <f>Calculo!AV212</f>
        <v>N/A</v>
      </c>
      <c r="AV212" s="162" t="str">
        <f>Calculo!AW212</f>
        <v>N/A</v>
      </c>
      <c r="AW212" s="161" t="b">
        <f>Calculo!AX212</f>
        <v>0</v>
      </c>
      <c r="AX212" s="161" t="str">
        <f>Calculo!K212</f>
        <v>N/A</v>
      </c>
      <c r="AY212" s="161" t="str">
        <f>Calculo!AY212</f>
        <v>N/A</v>
      </c>
      <c r="AZ212" s="161" t="str">
        <f>Calculo!AZ212</f>
        <v>N/A</v>
      </c>
      <c r="BA212" s="163"/>
    </row>
    <row r="213" ht="12.0" customHeight="1">
      <c r="A213" s="88" t="str">
        <f>'Parâmetros'!$A$19</f>
        <v>Rel. Básico PJ</v>
      </c>
      <c r="B213" s="146"/>
      <c r="C213" s="146"/>
      <c r="D213" s="146"/>
      <c r="E213" s="149"/>
      <c r="F213" s="151"/>
      <c r="G213" s="151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53"/>
      <c r="AC213" s="146"/>
      <c r="AD213" s="151"/>
      <c r="AE213" s="151"/>
      <c r="AF213" s="151"/>
      <c r="AG213" s="151"/>
      <c r="AH213" s="151"/>
      <c r="AI213" s="151"/>
      <c r="AJ213" s="146"/>
      <c r="AK213" s="155"/>
      <c r="AL213" s="151"/>
      <c r="AM213" s="151"/>
      <c r="AN213" s="151"/>
      <c r="AO213" s="151"/>
      <c r="AP213" s="151"/>
      <c r="AQ213" s="157"/>
      <c r="AR213" s="151"/>
      <c r="AS213" s="159"/>
      <c r="AT213" s="160" t="str">
        <f>Calculo!AQ213</f>
        <v>N/A</v>
      </c>
      <c r="AU213" s="161" t="str">
        <f>Calculo!AV213</f>
        <v>N/A</v>
      </c>
      <c r="AV213" s="162" t="str">
        <f>Calculo!AW213</f>
        <v>N/A</v>
      </c>
      <c r="AW213" s="161" t="b">
        <f>Calculo!AX213</f>
        <v>0</v>
      </c>
      <c r="AX213" s="161" t="str">
        <f>Calculo!K213</f>
        <v>N/A</v>
      </c>
      <c r="AY213" s="161" t="str">
        <f>Calculo!AY213</f>
        <v>N/A</v>
      </c>
      <c r="AZ213" s="161" t="str">
        <f>Calculo!AZ213</f>
        <v>N/A</v>
      </c>
      <c r="BA213" s="163"/>
    </row>
    <row r="214" ht="12.0" customHeight="1">
      <c r="A214" s="88" t="str">
        <f>'Parâmetros'!$A$19</f>
        <v>Rel. Básico PJ</v>
      </c>
      <c r="B214" s="146"/>
      <c r="C214" s="146"/>
      <c r="D214" s="146"/>
      <c r="E214" s="149"/>
      <c r="F214" s="151"/>
      <c r="G214" s="151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53"/>
      <c r="AC214" s="146"/>
      <c r="AD214" s="151"/>
      <c r="AE214" s="151"/>
      <c r="AF214" s="151"/>
      <c r="AG214" s="151"/>
      <c r="AH214" s="151"/>
      <c r="AI214" s="151"/>
      <c r="AJ214" s="146"/>
      <c r="AK214" s="155"/>
      <c r="AL214" s="151"/>
      <c r="AM214" s="151"/>
      <c r="AN214" s="151"/>
      <c r="AO214" s="151"/>
      <c r="AP214" s="151"/>
      <c r="AQ214" s="157"/>
      <c r="AR214" s="151"/>
      <c r="AS214" s="159"/>
      <c r="AT214" s="160" t="str">
        <f>Calculo!AQ214</f>
        <v>N/A</v>
      </c>
      <c r="AU214" s="161" t="str">
        <f>Calculo!AV214</f>
        <v>N/A</v>
      </c>
      <c r="AV214" s="162" t="str">
        <f>Calculo!AW214</f>
        <v>N/A</v>
      </c>
      <c r="AW214" s="161" t="b">
        <f>Calculo!AX214</f>
        <v>0</v>
      </c>
      <c r="AX214" s="161" t="str">
        <f>Calculo!K214</f>
        <v>N/A</v>
      </c>
      <c r="AY214" s="161" t="str">
        <f>Calculo!AY214</f>
        <v>N/A</v>
      </c>
      <c r="AZ214" s="161" t="str">
        <f>Calculo!AZ214</f>
        <v>N/A</v>
      </c>
      <c r="BA214" s="163"/>
    </row>
    <row r="215" ht="12.0" customHeight="1">
      <c r="A215" s="88" t="str">
        <f>'Parâmetros'!$A$19</f>
        <v>Rel. Básico PJ</v>
      </c>
      <c r="B215" s="146"/>
      <c r="C215" s="146"/>
      <c r="D215" s="146"/>
      <c r="E215" s="149"/>
      <c r="F215" s="151"/>
      <c r="G215" s="151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53"/>
      <c r="AC215" s="146"/>
      <c r="AD215" s="151"/>
      <c r="AE215" s="151"/>
      <c r="AF215" s="151"/>
      <c r="AG215" s="151"/>
      <c r="AH215" s="151"/>
      <c r="AI215" s="151"/>
      <c r="AJ215" s="146"/>
      <c r="AK215" s="155"/>
      <c r="AL215" s="151"/>
      <c r="AM215" s="151"/>
      <c r="AN215" s="151"/>
      <c r="AO215" s="151"/>
      <c r="AP215" s="151"/>
      <c r="AQ215" s="157"/>
      <c r="AR215" s="151"/>
      <c r="AS215" s="159"/>
      <c r="AT215" s="160" t="str">
        <f>Calculo!AQ215</f>
        <v>N/A</v>
      </c>
      <c r="AU215" s="161" t="str">
        <f>Calculo!AV215</f>
        <v>N/A</v>
      </c>
      <c r="AV215" s="162" t="str">
        <f>Calculo!AW215</f>
        <v>N/A</v>
      </c>
      <c r="AW215" s="161" t="b">
        <f>Calculo!AX215</f>
        <v>0</v>
      </c>
      <c r="AX215" s="161" t="str">
        <f>Calculo!K215</f>
        <v>N/A</v>
      </c>
      <c r="AY215" s="161" t="str">
        <f>Calculo!AY215</f>
        <v>N/A</v>
      </c>
      <c r="AZ215" s="161" t="str">
        <f>Calculo!AZ215</f>
        <v>N/A</v>
      </c>
      <c r="BA215" s="163"/>
    </row>
    <row r="216" ht="12.0" customHeight="1">
      <c r="A216" s="88" t="str">
        <f>'Parâmetros'!$A$19</f>
        <v>Rel. Básico PJ</v>
      </c>
      <c r="B216" s="146"/>
      <c r="C216" s="146"/>
      <c r="D216" s="146"/>
      <c r="E216" s="149"/>
      <c r="F216" s="151"/>
      <c r="G216" s="151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53"/>
      <c r="AC216" s="146"/>
      <c r="AD216" s="151"/>
      <c r="AE216" s="151"/>
      <c r="AF216" s="151"/>
      <c r="AG216" s="151"/>
      <c r="AH216" s="151"/>
      <c r="AI216" s="151"/>
      <c r="AJ216" s="146"/>
      <c r="AK216" s="155"/>
      <c r="AL216" s="151"/>
      <c r="AM216" s="151"/>
      <c r="AN216" s="151"/>
      <c r="AO216" s="151"/>
      <c r="AP216" s="151"/>
      <c r="AQ216" s="157"/>
      <c r="AR216" s="151"/>
      <c r="AS216" s="159"/>
      <c r="AT216" s="160" t="str">
        <f>Calculo!AQ216</f>
        <v>N/A</v>
      </c>
      <c r="AU216" s="161" t="str">
        <f>Calculo!AV216</f>
        <v>N/A</v>
      </c>
      <c r="AV216" s="162" t="str">
        <f>Calculo!AW216</f>
        <v>N/A</v>
      </c>
      <c r="AW216" s="161" t="b">
        <f>Calculo!AX216</f>
        <v>0</v>
      </c>
      <c r="AX216" s="161" t="str">
        <f>Calculo!K216</f>
        <v>N/A</v>
      </c>
      <c r="AY216" s="161" t="str">
        <f>Calculo!AY216</f>
        <v>N/A</v>
      </c>
      <c r="AZ216" s="161" t="str">
        <f>Calculo!AZ216</f>
        <v>N/A</v>
      </c>
      <c r="BA216" s="163"/>
    </row>
    <row r="217" ht="12.0" customHeight="1">
      <c r="A217" s="88" t="str">
        <f>'Parâmetros'!$A$19</f>
        <v>Rel. Básico PJ</v>
      </c>
      <c r="B217" s="146"/>
      <c r="C217" s="146"/>
      <c r="D217" s="146"/>
      <c r="E217" s="149"/>
      <c r="F217" s="151"/>
      <c r="G217" s="151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53"/>
      <c r="AC217" s="146"/>
      <c r="AD217" s="151"/>
      <c r="AE217" s="151"/>
      <c r="AF217" s="151"/>
      <c r="AG217" s="151"/>
      <c r="AH217" s="151"/>
      <c r="AI217" s="151"/>
      <c r="AJ217" s="146"/>
      <c r="AK217" s="155"/>
      <c r="AL217" s="151"/>
      <c r="AM217" s="151"/>
      <c r="AN217" s="151"/>
      <c r="AO217" s="151"/>
      <c r="AP217" s="151"/>
      <c r="AQ217" s="157"/>
      <c r="AR217" s="151"/>
      <c r="AS217" s="159"/>
      <c r="AT217" s="160" t="str">
        <f>Calculo!AQ217</f>
        <v>N/A</v>
      </c>
      <c r="AU217" s="161" t="str">
        <f>Calculo!AV217</f>
        <v>N/A</v>
      </c>
      <c r="AV217" s="162" t="str">
        <f>Calculo!AW217</f>
        <v>N/A</v>
      </c>
      <c r="AW217" s="161" t="b">
        <f>Calculo!AX217</f>
        <v>0</v>
      </c>
      <c r="AX217" s="161" t="str">
        <f>Calculo!K217</f>
        <v>N/A</v>
      </c>
      <c r="AY217" s="161" t="str">
        <f>Calculo!AY217</f>
        <v>N/A</v>
      </c>
      <c r="AZ217" s="161" t="str">
        <f>Calculo!AZ217</f>
        <v>N/A</v>
      </c>
      <c r="BA217" s="163"/>
    </row>
    <row r="218" ht="12.0" customHeight="1">
      <c r="A218" s="88" t="str">
        <f>'Parâmetros'!$A$19</f>
        <v>Rel. Básico PJ</v>
      </c>
      <c r="B218" s="146"/>
      <c r="C218" s="146"/>
      <c r="D218" s="146"/>
      <c r="E218" s="149"/>
      <c r="F218" s="151"/>
      <c r="G218" s="151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53"/>
      <c r="AC218" s="146"/>
      <c r="AD218" s="151"/>
      <c r="AE218" s="151"/>
      <c r="AF218" s="151"/>
      <c r="AG218" s="151"/>
      <c r="AH218" s="151"/>
      <c r="AI218" s="151"/>
      <c r="AJ218" s="146"/>
      <c r="AK218" s="155"/>
      <c r="AL218" s="151"/>
      <c r="AM218" s="151"/>
      <c r="AN218" s="151"/>
      <c r="AO218" s="151"/>
      <c r="AP218" s="151"/>
      <c r="AQ218" s="157"/>
      <c r="AR218" s="151"/>
      <c r="AS218" s="159"/>
      <c r="AT218" s="160" t="str">
        <f>Calculo!AQ218</f>
        <v>N/A</v>
      </c>
      <c r="AU218" s="161" t="str">
        <f>Calculo!AV218</f>
        <v>N/A</v>
      </c>
      <c r="AV218" s="162" t="str">
        <f>Calculo!AW218</f>
        <v>N/A</v>
      </c>
      <c r="AW218" s="161" t="b">
        <f>Calculo!AX218</f>
        <v>0</v>
      </c>
      <c r="AX218" s="161" t="str">
        <f>Calculo!K218</f>
        <v>N/A</v>
      </c>
      <c r="AY218" s="161" t="str">
        <f>Calculo!AY218</f>
        <v>N/A</v>
      </c>
      <c r="AZ218" s="161" t="str">
        <f>Calculo!AZ218</f>
        <v>N/A</v>
      </c>
      <c r="BA218" s="163"/>
    </row>
    <row r="219" ht="12.0" customHeight="1">
      <c r="A219" s="88" t="str">
        <f>'Parâmetros'!$A$19</f>
        <v>Rel. Básico PJ</v>
      </c>
      <c r="B219" s="146"/>
      <c r="C219" s="146"/>
      <c r="D219" s="146"/>
      <c r="E219" s="149"/>
      <c r="F219" s="151"/>
      <c r="G219" s="151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53"/>
      <c r="AC219" s="146"/>
      <c r="AD219" s="151"/>
      <c r="AE219" s="151"/>
      <c r="AF219" s="151"/>
      <c r="AG219" s="151"/>
      <c r="AH219" s="151"/>
      <c r="AI219" s="151"/>
      <c r="AJ219" s="146"/>
      <c r="AK219" s="155"/>
      <c r="AL219" s="151"/>
      <c r="AM219" s="151"/>
      <c r="AN219" s="151"/>
      <c r="AO219" s="151"/>
      <c r="AP219" s="151"/>
      <c r="AQ219" s="157"/>
      <c r="AR219" s="151"/>
      <c r="AS219" s="159"/>
      <c r="AT219" s="160" t="str">
        <f>Calculo!AQ219</f>
        <v>N/A</v>
      </c>
      <c r="AU219" s="161" t="str">
        <f>Calculo!AV219</f>
        <v>N/A</v>
      </c>
      <c r="AV219" s="162" t="str">
        <f>Calculo!AW219</f>
        <v>N/A</v>
      </c>
      <c r="AW219" s="161" t="b">
        <f>Calculo!AX219</f>
        <v>0</v>
      </c>
      <c r="AX219" s="161" t="str">
        <f>Calculo!K219</f>
        <v>N/A</v>
      </c>
      <c r="AY219" s="161" t="str">
        <f>Calculo!AY219</f>
        <v>N/A</v>
      </c>
      <c r="AZ219" s="161" t="str">
        <f>Calculo!AZ219</f>
        <v>N/A</v>
      </c>
      <c r="BA219" s="163"/>
    </row>
    <row r="220" ht="12.0" customHeight="1">
      <c r="A220" s="88" t="str">
        <f>'Parâmetros'!$A$19</f>
        <v>Rel. Básico PJ</v>
      </c>
      <c r="B220" s="146"/>
      <c r="C220" s="146"/>
      <c r="D220" s="146"/>
      <c r="E220" s="149"/>
      <c r="F220" s="151"/>
      <c r="G220" s="151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53"/>
      <c r="AC220" s="146"/>
      <c r="AD220" s="151"/>
      <c r="AE220" s="151"/>
      <c r="AF220" s="151"/>
      <c r="AG220" s="151"/>
      <c r="AH220" s="151"/>
      <c r="AI220" s="151"/>
      <c r="AJ220" s="146"/>
      <c r="AK220" s="155"/>
      <c r="AL220" s="151"/>
      <c r="AM220" s="151"/>
      <c r="AN220" s="151"/>
      <c r="AO220" s="151"/>
      <c r="AP220" s="151"/>
      <c r="AQ220" s="157"/>
      <c r="AR220" s="151"/>
      <c r="AS220" s="159"/>
      <c r="AT220" s="160" t="str">
        <f>Calculo!AQ220</f>
        <v>N/A</v>
      </c>
      <c r="AU220" s="161" t="str">
        <f>Calculo!AV220</f>
        <v>N/A</v>
      </c>
      <c r="AV220" s="162" t="str">
        <f>Calculo!AW220</f>
        <v>N/A</v>
      </c>
      <c r="AW220" s="161" t="b">
        <f>Calculo!AX220</f>
        <v>0</v>
      </c>
      <c r="AX220" s="161" t="str">
        <f>Calculo!K220</f>
        <v>N/A</v>
      </c>
      <c r="AY220" s="161" t="str">
        <f>Calculo!AY220</f>
        <v>N/A</v>
      </c>
      <c r="AZ220" s="161" t="str">
        <f>Calculo!AZ220</f>
        <v>N/A</v>
      </c>
      <c r="BA220" s="163"/>
    </row>
    <row r="221" ht="12.0" customHeight="1">
      <c r="A221" s="88" t="str">
        <f>'Parâmetros'!$A$19</f>
        <v>Rel. Básico PJ</v>
      </c>
      <c r="B221" s="146"/>
      <c r="C221" s="146"/>
      <c r="D221" s="146"/>
      <c r="E221" s="149"/>
      <c r="F221" s="151"/>
      <c r="G221" s="151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53"/>
      <c r="AC221" s="146"/>
      <c r="AD221" s="151"/>
      <c r="AE221" s="151"/>
      <c r="AF221" s="151"/>
      <c r="AG221" s="151"/>
      <c r="AH221" s="151"/>
      <c r="AI221" s="151"/>
      <c r="AJ221" s="146"/>
      <c r="AK221" s="155"/>
      <c r="AL221" s="151"/>
      <c r="AM221" s="151"/>
      <c r="AN221" s="151"/>
      <c r="AO221" s="151"/>
      <c r="AP221" s="151"/>
      <c r="AQ221" s="157"/>
      <c r="AR221" s="151"/>
      <c r="AS221" s="159"/>
      <c r="AT221" s="160" t="str">
        <f>Calculo!AQ221</f>
        <v>N/A</v>
      </c>
      <c r="AU221" s="161" t="str">
        <f>Calculo!AV221</f>
        <v>N/A</v>
      </c>
      <c r="AV221" s="162" t="str">
        <f>Calculo!AW221</f>
        <v>N/A</v>
      </c>
      <c r="AW221" s="161" t="b">
        <f>Calculo!AX221</f>
        <v>0</v>
      </c>
      <c r="AX221" s="161" t="str">
        <f>Calculo!K221</f>
        <v>N/A</v>
      </c>
      <c r="AY221" s="161" t="str">
        <f>Calculo!AY221</f>
        <v>N/A</v>
      </c>
      <c r="AZ221" s="161" t="str">
        <f>Calculo!AZ221</f>
        <v>N/A</v>
      </c>
      <c r="BA221" s="163"/>
    </row>
    <row r="222" ht="12.0" customHeight="1">
      <c r="A222" s="88" t="str">
        <f>'Parâmetros'!$A$19</f>
        <v>Rel. Básico PJ</v>
      </c>
      <c r="B222" s="146"/>
      <c r="C222" s="146"/>
      <c r="D222" s="146"/>
      <c r="E222" s="149"/>
      <c r="F222" s="151"/>
      <c r="G222" s="151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53"/>
      <c r="AC222" s="146"/>
      <c r="AD222" s="151"/>
      <c r="AE222" s="151"/>
      <c r="AF222" s="151"/>
      <c r="AG222" s="151"/>
      <c r="AH222" s="151"/>
      <c r="AI222" s="151"/>
      <c r="AJ222" s="146"/>
      <c r="AK222" s="155"/>
      <c r="AL222" s="151"/>
      <c r="AM222" s="151"/>
      <c r="AN222" s="151"/>
      <c r="AO222" s="151"/>
      <c r="AP222" s="151"/>
      <c r="AQ222" s="157"/>
      <c r="AR222" s="151"/>
      <c r="AS222" s="159"/>
      <c r="AT222" s="160" t="str">
        <f>Calculo!AQ222</f>
        <v>N/A</v>
      </c>
      <c r="AU222" s="161" t="str">
        <f>Calculo!AV222</f>
        <v>N/A</v>
      </c>
      <c r="AV222" s="162" t="str">
        <f>Calculo!AW222</f>
        <v>N/A</v>
      </c>
      <c r="AW222" s="161" t="b">
        <f>Calculo!AX222</f>
        <v>0</v>
      </c>
      <c r="AX222" s="161" t="str">
        <f>Calculo!K222</f>
        <v>N/A</v>
      </c>
      <c r="AY222" s="161" t="str">
        <f>Calculo!AY222</f>
        <v>N/A</v>
      </c>
      <c r="AZ222" s="161" t="str">
        <f>Calculo!AZ222</f>
        <v>N/A</v>
      </c>
      <c r="BA222" s="163"/>
    </row>
    <row r="223" ht="12.0" customHeight="1">
      <c r="A223" s="88" t="str">
        <f>'Parâmetros'!$A$19</f>
        <v>Rel. Básico PJ</v>
      </c>
      <c r="B223" s="146"/>
      <c r="C223" s="146"/>
      <c r="D223" s="146"/>
      <c r="E223" s="149"/>
      <c r="F223" s="151"/>
      <c r="G223" s="151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53"/>
      <c r="AC223" s="146"/>
      <c r="AD223" s="151"/>
      <c r="AE223" s="151"/>
      <c r="AF223" s="151"/>
      <c r="AG223" s="151"/>
      <c r="AH223" s="151"/>
      <c r="AI223" s="151"/>
      <c r="AJ223" s="146"/>
      <c r="AK223" s="155"/>
      <c r="AL223" s="151"/>
      <c r="AM223" s="151"/>
      <c r="AN223" s="151"/>
      <c r="AO223" s="151"/>
      <c r="AP223" s="151"/>
      <c r="AQ223" s="157"/>
      <c r="AR223" s="151"/>
      <c r="AS223" s="159"/>
      <c r="AT223" s="160" t="str">
        <f>Calculo!AQ223</f>
        <v>N/A</v>
      </c>
      <c r="AU223" s="161" t="str">
        <f>Calculo!AV223</f>
        <v>N/A</v>
      </c>
      <c r="AV223" s="162" t="str">
        <f>Calculo!AW223</f>
        <v>N/A</v>
      </c>
      <c r="AW223" s="161" t="b">
        <f>Calculo!AX223</f>
        <v>0</v>
      </c>
      <c r="AX223" s="161" t="str">
        <f>Calculo!K223</f>
        <v>N/A</v>
      </c>
      <c r="AY223" s="161" t="str">
        <f>Calculo!AY223</f>
        <v>N/A</v>
      </c>
      <c r="AZ223" s="161" t="str">
        <f>Calculo!AZ223</f>
        <v>N/A</v>
      </c>
      <c r="BA223" s="163"/>
    </row>
    <row r="224" ht="12.0" customHeight="1">
      <c r="A224" s="88" t="str">
        <f>'Parâmetros'!$A$19</f>
        <v>Rel. Básico PJ</v>
      </c>
      <c r="B224" s="146"/>
      <c r="C224" s="146"/>
      <c r="D224" s="146"/>
      <c r="E224" s="149"/>
      <c r="F224" s="151"/>
      <c r="G224" s="151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53"/>
      <c r="AC224" s="146"/>
      <c r="AD224" s="151"/>
      <c r="AE224" s="151"/>
      <c r="AF224" s="151"/>
      <c r="AG224" s="151"/>
      <c r="AH224" s="151"/>
      <c r="AI224" s="151"/>
      <c r="AJ224" s="146"/>
      <c r="AK224" s="155"/>
      <c r="AL224" s="151"/>
      <c r="AM224" s="151"/>
      <c r="AN224" s="151"/>
      <c r="AO224" s="151"/>
      <c r="AP224" s="151"/>
      <c r="AQ224" s="157"/>
      <c r="AR224" s="151"/>
      <c r="AS224" s="159"/>
      <c r="AT224" s="160" t="str">
        <f>Calculo!AQ224</f>
        <v>N/A</v>
      </c>
      <c r="AU224" s="161" t="str">
        <f>Calculo!AV224</f>
        <v>N/A</v>
      </c>
      <c r="AV224" s="162" t="str">
        <f>Calculo!AW224</f>
        <v>N/A</v>
      </c>
      <c r="AW224" s="161" t="b">
        <f>Calculo!AX224</f>
        <v>0</v>
      </c>
      <c r="AX224" s="161" t="str">
        <f>Calculo!K224</f>
        <v>N/A</v>
      </c>
      <c r="AY224" s="161" t="str">
        <f>Calculo!AY224</f>
        <v>N/A</v>
      </c>
      <c r="AZ224" s="161" t="str">
        <f>Calculo!AZ224</f>
        <v>N/A</v>
      </c>
      <c r="BA224" s="163"/>
    </row>
    <row r="225" ht="12.0" customHeight="1">
      <c r="A225" s="88" t="str">
        <f>'Parâmetros'!$A$19</f>
        <v>Rel. Básico PJ</v>
      </c>
      <c r="B225" s="146"/>
      <c r="C225" s="146"/>
      <c r="D225" s="146"/>
      <c r="E225" s="149"/>
      <c r="F225" s="151"/>
      <c r="G225" s="151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53"/>
      <c r="AC225" s="146"/>
      <c r="AD225" s="151"/>
      <c r="AE225" s="151"/>
      <c r="AF225" s="151"/>
      <c r="AG225" s="151"/>
      <c r="AH225" s="151"/>
      <c r="AI225" s="151"/>
      <c r="AJ225" s="146"/>
      <c r="AK225" s="155"/>
      <c r="AL225" s="151"/>
      <c r="AM225" s="151"/>
      <c r="AN225" s="151"/>
      <c r="AO225" s="151"/>
      <c r="AP225" s="151"/>
      <c r="AQ225" s="157"/>
      <c r="AR225" s="151"/>
      <c r="AS225" s="159"/>
      <c r="AT225" s="160" t="str">
        <f>Calculo!AQ225</f>
        <v>N/A</v>
      </c>
      <c r="AU225" s="161" t="str">
        <f>Calculo!AV225</f>
        <v>N/A</v>
      </c>
      <c r="AV225" s="162" t="str">
        <f>Calculo!AW225</f>
        <v>N/A</v>
      </c>
      <c r="AW225" s="161" t="b">
        <f>Calculo!AX225</f>
        <v>0</v>
      </c>
      <c r="AX225" s="161" t="str">
        <f>Calculo!K225</f>
        <v>N/A</v>
      </c>
      <c r="AY225" s="161" t="str">
        <f>Calculo!AY225</f>
        <v>N/A</v>
      </c>
      <c r="AZ225" s="161" t="str">
        <f>Calculo!AZ225</f>
        <v>N/A</v>
      </c>
      <c r="BA225" s="163"/>
    </row>
    <row r="226" ht="12.0" customHeight="1">
      <c r="A226" s="88" t="str">
        <f>'Parâmetros'!$A$19</f>
        <v>Rel. Básico PJ</v>
      </c>
      <c r="B226" s="146"/>
      <c r="C226" s="146"/>
      <c r="D226" s="146"/>
      <c r="E226" s="149"/>
      <c r="F226" s="151"/>
      <c r="G226" s="151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53"/>
      <c r="AC226" s="146"/>
      <c r="AD226" s="151"/>
      <c r="AE226" s="151"/>
      <c r="AF226" s="151"/>
      <c r="AG226" s="151"/>
      <c r="AH226" s="151"/>
      <c r="AI226" s="151"/>
      <c r="AJ226" s="146"/>
      <c r="AK226" s="155"/>
      <c r="AL226" s="151"/>
      <c r="AM226" s="151"/>
      <c r="AN226" s="151"/>
      <c r="AO226" s="151"/>
      <c r="AP226" s="151"/>
      <c r="AQ226" s="157"/>
      <c r="AR226" s="151"/>
      <c r="AS226" s="159"/>
      <c r="AT226" s="160" t="str">
        <f>Calculo!AQ226</f>
        <v>N/A</v>
      </c>
      <c r="AU226" s="161" t="str">
        <f>Calculo!AV226</f>
        <v>N/A</v>
      </c>
      <c r="AV226" s="162" t="str">
        <f>Calculo!AW226</f>
        <v>N/A</v>
      </c>
      <c r="AW226" s="161" t="b">
        <f>Calculo!AX226</f>
        <v>0</v>
      </c>
      <c r="AX226" s="161" t="str">
        <f>Calculo!K226</f>
        <v>N/A</v>
      </c>
      <c r="AY226" s="161" t="str">
        <f>Calculo!AY226</f>
        <v>N/A</v>
      </c>
      <c r="AZ226" s="161" t="str">
        <f>Calculo!AZ226</f>
        <v>N/A</v>
      </c>
      <c r="BA226" s="163"/>
    </row>
    <row r="227" ht="12.0" customHeight="1">
      <c r="A227" s="88" t="str">
        <f>'Parâmetros'!$A$19</f>
        <v>Rel. Básico PJ</v>
      </c>
      <c r="B227" s="146"/>
      <c r="C227" s="146"/>
      <c r="D227" s="146"/>
      <c r="E227" s="149"/>
      <c r="F227" s="151"/>
      <c r="G227" s="151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53"/>
      <c r="AC227" s="146"/>
      <c r="AD227" s="151"/>
      <c r="AE227" s="151"/>
      <c r="AF227" s="151"/>
      <c r="AG227" s="151"/>
      <c r="AH227" s="151"/>
      <c r="AI227" s="151"/>
      <c r="AJ227" s="146"/>
      <c r="AK227" s="155"/>
      <c r="AL227" s="151"/>
      <c r="AM227" s="151"/>
      <c r="AN227" s="151"/>
      <c r="AO227" s="151"/>
      <c r="AP227" s="151"/>
      <c r="AQ227" s="157"/>
      <c r="AR227" s="151"/>
      <c r="AS227" s="159"/>
      <c r="AT227" s="160" t="str">
        <f>Calculo!AQ227</f>
        <v>N/A</v>
      </c>
      <c r="AU227" s="161" t="str">
        <f>Calculo!AV227</f>
        <v>N/A</v>
      </c>
      <c r="AV227" s="162" t="str">
        <f>Calculo!AW227</f>
        <v>N/A</v>
      </c>
      <c r="AW227" s="161" t="b">
        <f>Calculo!AX227</f>
        <v>0</v>
      </c>
      <c r="AX227" s="161" t="str">
        <f>Calculo!K227</f>
        <v>N/A</v>
      </c>
      <c r="AY227" s="161" t="str">
        <f>Calculo!AY227</f>
        <v>N/A</v>
      </c>
      <c r="AZ227" s="161" t="str">
        <f>Calculo!AZ227</f>
        <v>N/A</v>
      </c>
      <c r="BA227" s="163"/>
    </row>
    <row r="228" ht="12.0" customHeight="1">
      <c r="A228" s="88" t="str">
        <f>'Parâmetros'!$A$19</f>
        <v>Rel. Básico PJ</v>
      </c>
      <c r="B228" s="146"/>
      <c r="C228" s="146"/>
      <c r="D228" s="146"/>
      <c r="E228" s="149"/>
      <c r="F228" s="151"/>
      <c r="G228" s="151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53"/>
      <c r="AC228" s="146"/>
      <c r="AD228" s="151"/>
      <c r="AE228" s="151"/>
      <c r="AF228" s="151"/>
      <c r="AG228" s="151"/>
      <c r="AH228" s="151"/>
      <c r="AI228" s="151"/>
      <c r="AJ228" s="146"/>
      <c r="AK228" s="155"/>
      <c r="AL228" s="151"/>
      <c r="AM228" s="151"/>
      <c r="AN228" s="151"/>
      <c r="AO228" s="151"/>
      <c r="AP228" s="151"/>
      <c r="AQ228" s="157"/>
      <c r="AR228" s="151"/>
      <c r="AS228" s="159"/>
      <c r="AT228" s="160" t="str">
        <f>Calculo!AQ228</f>
        <v>N/A</v>
      </c>
      <c r="AU228" s="161" t="str">
        <f>Calculo!AV228</f>
        <v>N/A</v>
      </c>
      <c r="AV228" s="162" t="str">
        <f>Calculo!AW228</f>
        <v>N/A</v>
      </c>
      <c r="AW228" s="161" t="b">
        <f>Calculo!AX228</f>
        <v>0</v>
      </c>
      <c r="AX228" s="161" t="str">
        <f>Calculo!K228</f>
        <v>N/A</v>
      </c>
      <c r="AY228" s="161" t="str">
        <f>Calculo!AY228</f>
        <v>N/A</v>
      </c>
      <c r="AZ228" s="161" t="str">
        <f>Calculo!AZ228</f>
        <v>N/A</v>
      </c>
      <c r="BA228" s="163"/>
    </row>
    <row r="229" ht="12.0" customHeight="1">
      <c r="A229" s="88" t="str">
        <f>'Parâmetros'!$A$19</f>
        <v>Rel. Básico PJ</v>
      </c>
      <c r="B229" s="146"/>
      <c r="C229" s="146"/>
      <c r="D229" s="146"/>
      <c r="E229" s="149"/>
      <c r="F229" s="151"/>
      <c r="G229" s="151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53"/>
      <c r="AC229" s="146"/>
      <c r="AD229" s="151"/>
      <c r="AE229" s="151"/>
      <c r="AF229" s="151"/>
      <c r="AG229" s="151"/>
      <c r="AH229" s="151"/>
      <c r="AI229" s="151"/>
      <c r="AJ229" s="146"/>
      <c r="AK229" s="155"/>
      <c r="AL229" s="151"/>
      <c r="AM229" s="151"/>
      <c r="AN229" s="151"/>
      <c r="AO229" s="151"/>
      <c r="AP229" s="151"/>
      <c r="AQ229" s="157"/>
      <c r="AR229" s="151"/>
      <c r="AS229" s="159"/>
      <c r="AT229" s="160" t="str">
        <f>Calculo!AQ229</f>
        <v>N/A</v>
      </c>
      <c r="AU229" s="161" t="str">
        <f>Calculo!AV229</f>
        <v>N/A</v>
      </c>
      <c r="AV229" s="162" t="str">
        <f>Calculo!AW229</f>
        <v>N/A</v>
      </c>
      <c r="AW229" s="161" t="b">
        <f>Calculo!AX229</f>
        <v>0</v>
      </c>
      <c r="AX229" s="161" t="str">
        <f>Calculo!K229</f>
        <v>N/A</v>
      </c>
      <c r="AY229" s="161" t="str">
        <f>Calculo!AY229</f>
        <v>N/A</v>
      </c>
      <c r="AZ229" s="161" t="str">
        <f>Calculo!AZ229</f>
        <v>N/A</v>
      </c>
      <c r="BA229" s="163"/>
    </row>
    <row r="230" ht="12.0" customHeight="1">
      <c r="A230" s="88" t="str">
        <f>'Parâmetros'!$A$19</f>
        <v>Rel. Básico PJ</v>
      </c>
      <c r="B230" s="146"/>
      <c r="C230" s="146"/>
      <c r="D230" s="146"/>
      <c r="E230" s="149"/>
      <c r="F230" s="151"/>
      <c r="G230" s="151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53"/>
      <c r="AC230" s="146"/>
      <c r="AD230" s="151"/>
      <c r="AE230" s="151"/>
      <c r="AF230" s="151"/>
      <c r="AG230" s="151"/>
      <c r="AH230" s="151"/>
      <c r="AI230" s="151"/>
      <c r="AJ230" s="146"/>
      <c r="AK230" s="155"/>
      <c r="AL230" s="151"/>
      <c r="AM230" s="151"/>
      <c r="AN230" s="151"/>
      <c r="AO230" s="151"/>
      <c r="AP230" s="151"/>
      <c r="AQ230" s="157"/>
      <c r="AR230" s="151"/>
      <c r="AS230" s="159"/>
      <c r="AT230" s="160" t="str">
        <f>Calculo!AQ230</f>
        <v>N/A</v>
      </c>
      <c r="AU230" s="161" t="str">
        <f>Calculo!AV230</f>
        <v>N/A</v>
      </c>
      <c r="AV230" s="162" t="str">
        <f>Calculo!AW230</f>
        <v>N/A</v>
      </c>
      <c r="AW230" s="161" t="b">
        <f>Calculo!AX230</f>
        <v>0</v>
      </c>
      <c r="AX230" s="161" t="str">
        <f>Calculo!K230</f>
        <v>N/A</v>
      </c>
      <c r="AY230" s="161" t="str">
        <f>Calculo!AY230</f>
        <v>N/A</v>
      </c>
      <c r="AZ230" s="161" t="str">
        <f>Calculo!AZ230</f>
        <v>N/A</v>
      </c>
      <c r="BA230" s="163"/>
    </row>
    <row r="231" ht="12.0" customHeight="1">
      <c r="A231" s="88" t="str">
        <f>'Parâmetros'!$A$19</f>
        <v>Rel. Básico PJ</v>
      </c>
      <c r="B231" s="146"/>
      <c r="C231" s="146"/>
      <c r="D231" s="146"/>
      <c r="E231" s="149"/>
      <c r="F231" s="151"/>
      <c r="G231" s="151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53"/>
      <c r="AC231" s="146"/>
      <c r="AD231" s="151"/>
      <c r="AE231" s="151"/>
      <c r="AF231" s="151"/>
      <c r="AG231" s="151"/>
      <c r="AH231" s="151"/>
      <c r="AI231" s="151"/>
      <c r="AJ231" s="146"/>
      <c r="AK231" s="155"/>
      <c r="AL231" s="151"/>
      <c r="AM231" s="151"/>
      <c r="AN231" s="151"/>
      <c r="AO231" s="151"/>
      <c r="AP231" s="151"/>
      <c r="AQ231" s="157"/>
      <c r="AR231" s="151"/>
      <c r="AS231" s="159"/>
      <c r="AT231" s="160" t="str">
        <f>Calculo!AQ231</f>
        <v>N/A</v>
      </c>
      <c r="AU231" s="161" t="str">
        <f>Calculo!AV231</f>
        <v>N/A</v>
      </c>
      <c r="AV231" s="162" t="str">
        <f>Calculo!AW231</f>
        <v>N/A</v>
      </c>
      <c r="AW231" s="161" t="b">
        <f>Calculo!AX231</f>
        <v>0</v>
      </c>
      <c r="AX231" s="161" t="str">
        <f>Calculo!K231</f>
        <v>N/A</v>
      </c>
      <c r="AY231" s="161" t="str">
        <f>Calculo!AY231</f>
        <v>N/A</v>
      </c>
      <c r="AZ231" s="161" t="str">
        <f>Calculo!AZ231</f>
        <v>N/A</v>
      </c>
      <c r="BA231" s="163"/>
    </row>
    <row r="232" ht="12.0" customHeight="1">
      <c r="A232" s="88" t="str">
        <f>'Parâmetros'!$A$19</f>
        <v>Rel. Básico PJ</v>
      </c>
      <c r="B232" s="146"/>
      <c r="C232" s="146"/>
      <c r="D232" s="146"/>
      <c r="E232" s="149"/>
      <c r="F232" s="151"/>
      <c r="G232" s="151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53"/>
      <c r="AC232" s="146"/>
      <c r="AD232" s="151"/>
      <c r="AE232" s="151"/>
      <c r="AF232" s="151"/>
      <c r="AG232" s="151"/>
      <c r="AH232" s="151"/>
      <c r="AI232" s="151"/>
      <c r="AJ232" s="146"/>
      <c r="AK232" s="155"/>
      <c r="AL232" s="151"/>
      <c r="AM232" s="151"/>
      <c r="AN232" s="151"/>
      <c r="AO232" s="151"/>
      <c r="AP232" s="151"/>
      <c r="AQ232" s="157"/>
      <c r="AR232" s="151"/>
      <c r="AS232" s="159"/>
      <c r="AT232" s="160" t="str">
        <f>Calculo!AQ232</f>
        <v>N/A</v>
      </c>
      <c r="AU232" s="161" t="str">
        <f>Calculo!AV232</f>
        <v>N/A</v>
      </c>
      <c r="AV232" s="162" t="str">
        <f>Calculo!AW232</f>
        <v>N/A</v>
      </c>
      <c r="AW232" s="161" t="b">
        <f>Calculo!AX232</f>
        <v>0</v>
      </c>
      <c r="AX232" s="161" t="str">
        <f>Calculo!K232</f>
        <v>N/A</v>
      </c>
      <c r="AY232" s="161" t="str">
        <f>Calculo!AY232</f>
        <v>N/A</v>
      </c>
      <c r="AZ232" s="161" t="str">
        <f>Calculo!AZ232</f>
        <v>N/A</v>
      </c>
      <c r="BA232" s="163"/>
    </row>
    <row r="233" ht="12.0" customHeight="1">
      <c r="A233" s="88" t="str">
        <f>'Parâmetros'!$A$19</f>
        <v>Rel. Básico PJ</v>
      </c>
      <c r="B233" s="146"/>
      <c r="C233" s="146"/>
      <c r="D233" s="146"/>
      <c r="E233" s="149"/>
      <c r="F233" s="151"/>
      <c r="G233" s="151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53"/>
      <c r="AC233" s="146"/>
      <c r="AD233" s="151"/>
      <c r="AE233" s="151"/>
      <c r="AF233" s="151"/>
      <c r="AG233" s="151"/>
      <c r="AH233" s="151"/>
      <c r="AI233" s="151"/>
      <c r="AJ233" s="146"/>
      <c r="AK233" s="155"/>
      <c r="AL233" s="151"/>
      <c r="AM233" s="151"/>
      <c r="AN233" s="151"/>
      <c r="AO233" s="151"/>
      <c r="AP233" s="151"/>
      <c r="AQ233" s="157"/>
      <c r="AR233" s="151"/>
      <c r="AS233" s="159"/>
      <c r="AT233" s="160" t="str">
        <f>Calculo!AQ233</f>
        <v>N/A</v>
      </c>
      <c r="AU233" s="161" t="str">
        <f>Calculo!AV233</f>
        <v>N/A</v>
      </c>
      <c r="AV233" s="162" t="str">
        <f>Calculo!AW233</f>
        <v>N/A</v>
      </c>
      <c r="AW233" s="161" t="b">
        <f>Calculo!AX233</f>
        <v>0</v>
      </c>
      <c r="AX233" s="161" t="str">
        <f>Calculo!K233</f>
        <v>N/A</v>
      </c>
      <c r="AY233" s="161" t="str">
        <f>Calculo!AY233</f>
        <v>N/A</v>
      </c>
      <c r="AZ233" s="161" t="str">
        <f>Calculo!AZ233</f>
        <v>N/A</v>
      </c>
      <c r="BA233" s="163"/>
    </row>
    <row r="234" ht="12.0" customHeight="1">
      <c r="A234" s="88" t="str">
        <f>'Parâmetros'!$A$19</f>
        <v>Rel. Básico PJ</v>
      </c>
      <c r="B234" s="146"/>
      <c r="C234" s="146"/>
      <c r="D234" s="146"/>
      <c r="E234" s="149"/>
      <c r="F234" s="151"/>
      <c r="G234" s="151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53"/>
      <c r="AC234" s="146"/>
      <c r="AD234" s="151"/>
      <c r="AE234" s="151"/>
      <c r="AF234" s="151"/>
      <c r="AG234" s="151"/>
      <c r="AH234" s="151"/>
      <c r="AI234" s="151"/>
      <c r="AJ234" s="146"/>
      <c r="AK234" s="155"/>
      <c r="AL234" s="151"/>
      <c r="AM234" s="151"/>
      <c r="AN234" s="151"/>
      <c r="AO234" s="151"/>
      <c r="AP234" s="151"/>
      <c r="AQ234" s="157"/>
      <c r="AR234" s="151"/>
      <c r="AS234" s="159"/>
      <c r="AT234" s="160" t="str">
        <f>Calculo!AQ234</f>
        <v>N/A</v>
      </c>
      <c r="AU234" s="161" t="str">
        <f>Calculo!AV234</f>
        <v>N/A</v>
      </c>
      <c r="AV234" s="162" t="str">
        <f>Calculo!AW234</f>
        <v>N/A</v>
      </c>
      <c r="AW234" s="161" t="b">
        <f>Calculo!AX234</f>
        <v>0</v>
      </c>
      <c r="AX234" s="161" t="str">
        <f>Calculo!K234</f>
        <v>N/A</v>
      </c>
      <c r="AY234" s="161" t="str">
        <f>Calculo!AY234</f>
        <v>N/A</v>
      </c>
      <c r="AZ234" s="161" t="str">
        <f>Calculo!AZ234</f>
        <v>N/A</v>
      </c>
      <c r="BA234" s="163"/>
    </row>
    <row r="235" ht="12.0" customHeight="1">
      <c r="A235" s="88" t="str">
        <f>'Parâmetros'!$A$19</f>
        <v>Rel. Básico PJ</v>
      </c>
      <c r="B235" s="146"/>
      <c r="C235" s="146"/>
      <c r="D235" s="146"/>
      <c r="E235" s="149"/>
      <c r="F235" s="151"/>
      <c r="G235" s="151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53"/>
      <c r="AC235" s="146"/>
      <c r="AD235" s="151"/>
      <c r="AE235" s="151"/>
      <c r="AF235" s="151"/>
      <c r="AG235" s="151"/>
      <c r="AH235" s="151"/>
      <c r="AI235" s="151"/>
      <c r="AJ235" s="146"/>
      <c r="AK235" s="155"/>
      <c r="AL235" s="151"/>
      <c r="AM235" s="151"/>
      <c r="AN235" s="151"/>
      <c r="AO235" s="151"/>
      <c r="AP235" s="151"/>
      <c r="AQ235" s="157"/>
      <c r="AR235" s="151"/>
      <c r="AS235" s="159"/>
      <c r="AT235" s="160" t="str">
        <f>Calculo!AQ235</f>
        <v>N/A</v>
      </c>
      <c r="AU235" s="161" t="str">
        <f>Calculo!AV235</f>
        <v>N/A</v>
      </c>
      <c r="AV235" s="162" t="str">
        <f>Calculo!AW235</f>
        <v>N/A</v>
      </c>
      <c r="AW235" s="161" t="b">
        <f>Calculo!AX235</f>
        <v>0</v>
      </c>
      <c r="AX235" s="161" t="str">
        <f>Calculo!K235</f>
        <v>N/A</v>
      </c>
      <c r="AY235" s="161" t="str">
        <f>Calculo!AY235</f>
        <v>N/A</v>
      </c>
      <c r="AZ235" s="161" t="str">
        <f>Calculo!AZ235</f>
        <v>N/A</v>
      </c>
      <c r="BA235" s="163"/>
    </row>
    <row r="236" ht="12.0" customHeight="1">
      <c r="A236" s="88" t="str">
        <f>'Parâmetros'!$A$19</f>
        <v>Rel. Básico PJ</v>
      </c>
      <c r="B236" s="146"/>
      <c r="C236" s="146"/>
      <c r="D236" s="146"/>
      <c r="E236" s="149"/>
      <c r="F236" s="151"/>
      <c r="G236" s="151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53"/>
      <c r="AC236" s="146"/>
      <c r="AD236" s="151"/>
      <c r="AE236" s="151"/>
      <c r="AF236" s="151"/>
      <c r="AG236" s="151"/>
      <c r="AH236" s="151"/>
      <c r="AI236" s="151"/>
      <c r="AJ236" s="146"/>
      <c r="AK236" s="155"/>
      <c r="AL236" s="151"/>
      <c r="AM236" s="151"/>
      <c r="AN236" s="151"/>
      <c r="AO236" s="151"/>
      <c r="AP236" s="151"/>
      <c r="AQ236" s="157"/>
      <c r="AR236" s="151"/>
      <c r="AS236" s="159"/>
      <c r="AT236" s="160" t="str">
        <f>Calculo!AQ236</f>
        <v>N/A</v>
      </c>
      <c r="AU236" s="161" t="str">
        <f>Calculo!AV236</f>
        <v>N/A</v>
      </c>
      <c r="AV236" s="162" t="str">
        <f>Calculo!AW236</f>
        <v>N/A</v>
      </c>
      <c r="AW236" s="161" t="b">
        <f>Calculo!AX236</f>
        <v>0</v>
      </c>
      <c r="AX236" s="161" t="str">
        <f>Calculo!K236</f>
        <v>N/A</v>
      </c>
      <c r="AY236" s="161" t="str">
        <f>Calculo!AY236</f>
        <v>N/A</v>
      </c>
      <c r="AZ236" s="161" t="str">
        <f>Calculo!AZ236</f>
        <v>N/A</v>
      </c>
      <c r="BA236" s="163"/>
    </row>
    <row r="237" ht="12.0" customHeight="1">
      <c r="A237" s="88" t="str">
        <f>'Parâmetros'!$A$19</f>
        <v>Rel. Básico PJ</v>
      </c>
      <c r="B237" s="146"/>
      <c r="C237" s="146"/>
      <c r="D237" s="146"/>
      <c r="E237" s="149"/>
      <c r="F237" s="151"/>
      <c r="G237" s="151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53"/>
      <c r="AC237" s="146"/>
      <c r="AD237" s="151"/>
      <c r="AE237" s="151"/>
      <c r="AF237" s="151"/>
      <c r="AG237" s="151"/>
      <c r="AH237" s="151"/>
      <c r="AI237" s="151"/>
      <c r="AJ237" s="146"/>
      <c r="AK237" s="155"/>
      <c r="AL237" s="151"/>
      <c r="AM237" s="151"/>
      <c r="AN237" s="151"/>
      <c r="AO237" s="151"/>
      <c r="AP237" s="151"/>
      <c r="AQ237" s="157"/>
      <c r="AR237" s="151"/>
      <c r="AS237" s="159"/>
      <c r="AT237" s="160" t="str">
        <f>Calculo!AQ237</f>
        <v>N/A</v>
      </c>
      <c r="AU237" s="161" t="str">
        <f>Calculo!AV237</f>
        <v>N/A</v>
      </c>
      <c r="AV237" s="162" t="str">
        <f>Calculo!AW237</f>
        <v>N/A</v>
      </c>
      <c r="AW237" s="161" t="b">
        <f>Calculo!AX237</f>
        <v>0</v>
      </c>
      <c r="AX237" s="161" t="str">
        <f>Calculo!K237</f>
        <v>N/A</v>
      </c>
      <c r="AY237" s="161" t="str">
        <f>Calculo!AY237</f>
        <v>N/A</v>
      </c>
      <c r="AZ237" s="161" t="str">
        <f>Calculo!AZ237</f>
        <v>N/A</v>
      </c>
      <c r="BA237" s="163"/>
    </row>
    <row r="238" ht="12.0" customHeight="1">
      <c r="A238" s="88" t="str">
        <f>'Parâmetros'!$A$19</f>
        <v>Rel. Básico PJ</v>
      </c>
      <c r="B238" s="146"/>
      <c r="C238" s="146"/>
      <c r="D238" s="146"/>
      <c r="E238" s="149"/>
      <c r="F238" s="151"/>
      <c r="G238" s="151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53"/>
      <c r="AC238" s="146"/>
      <c r="AD238" s="151"/>
      <c r="AE238" s="151"/>
      <c r="AF238" s="151"/>
      <c r="AG238" s="151"/>
      <c r="AH238" s="151"/>
      <c r="AI238" s="151"/>
      <c r="AJ238" s="146"/>
      <c r="AK238" s="155"/>
      <c r="AL238" s="151"/>
      <c r="AM238" s="151"/>
      <c r="AN238" s="151"/>
      <c r="AO238" s="151"/>
      <c r="AP238" s="151"/>
      <c r="AQ238" s="157"/>
      <c r="AR238" s="151"/>
      <c r="AS238" s="159"/>
      <c r="AT238" s="160" t="str">
        <f>Calculo!AQ238</f>
        <v>N/A</v>
      </c>
      <c r="AU238" s="161" t="str">
        <f>Calculo!AV238</f>
        <v>N/A</v>
      </c>
      <c r="AV238" s="162" t="str">
        <f>Calculo!AW238</f>
        <v>N/A</v>
      </c>
      <c r="AW238" s="161" t="b">
        <f>Calculo!AX238</f>
        <v>0</v>
      </c>
      <c r="AX238" s="161" t="str">
        <f>Calculo!K238</f>
        <v>N/A</v>
      </c>
      <c r="AY238" s="161" t="str">
        <f>Calculo!AY238</f>
        <v>N/A</v>
      </c>
      <c r="AZ238" s="161" t="str">
        <f>Calculo!AZ238</f>
        <v>N/A</v>
      </c>
      <c r="BA238" s="163"/>
    </row>
    <row r="239" ht="12.0" customHeight="1">
      <c r="A239" s="88" t="str">
        <f>'Parâmetros'!$A$19</f>
        <v>Rel. Básico PJ</v>
      </c>
      <c r="B239" s="146"/>
      <c r="C239" s="146"/>
      <c r="D239" s="146"/>
      <c r="E239" s="149"/>
      <c r="F239" s="151"/>
      <c r="G239" s="151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53"/>
      <c r="AC239" s="146"/>
      <c r="AD239" s="151"/>
      <c r="AE239" s="151"/>
      <c r="AF239" s="151"/>
      <c r="AG239" s="151"/>
      <c r="AH239" s="151"/>
      <c r="AI239" s="151"/>
      <c r="AJ239" s="146"/>
      <c r="AK239" s="155"/>
      <c r="AL239" s="151"/>
      <c r="AM239" s="151"/>
      <c r="AN239" s="151"/>
      <c r="AO239" s="151"/>
      <c r="AP239" s="151"/>
      <c r="AQ239" s="157"/>
      <c r="AR239" s="151"/>
      <c r="AS239" s="159"/>
      <c r="AT239" s="160" t="str">
        <f>Calculo!AQ239</f>
        <v>N/A</v>
      </c>
      <c r="AU239" s="161" t="str">
        <f>Calculo!AV239</f>
        <v>N/A</v>
      </c>
      <c r="AV239" s="162" t="str">
        <f>Calculo!AW239</f>
        <v>N/A</v>
      </c>
      <c r="AW239" s="161" t="b">
        <f>Calculo!AX239</f>
        <v>0</v>
      </c>
      <c r="AX239" s="161" t="str">
        <f>Calculo!K239</f>
        <v>N/A</v>
      </c>
      <c r="AY239" s="161" t="str">
        <f>Calculo!AY239</f>
        <v>N/A</v>
      </c>
      <c r="AZ239" s="161" t="str">
        <f>Calculo!AZ239</f>
        <v>N/A</v>
      </c>
      <c r="BA239" s="163"/>
    </row>
    <row r="240" ht="12.0" customHeight="1">
      <c r="A240" s="88" t="str">
        <f>'Parâmetros'!$A$19</f>
        <v>Rel. Básico PJ</v>
      </c>
      <c r="B240" s="146"/>
      <c r="C240" s="146"/>
      <c r="D240" s="146"/>
      <c r="E240" s="149"/>
      <c r="F240" s="151"/>
      <c r="G240" s="151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53"/>
      <c r="AC240" s="146"/>
      <c r="AD240" s="151"/>
      <c r="AE240" s="151"/>
      <c r="AF240" s="151"/>
      <c r="AG240" s="151"/>
      <c r="AH240" s="151"/>
      <c r="AI240" s="151"/>
      <c r="AJ240" s="146"/>
      <c r="AK240" s="155"/>
      <c r="AL240" s="151"/>
      <c r="AM240" s="151"/>
      <c r="AN240" s="151"/>
      <c r="AO240" s="151"/>
      <c r="AP240" s="151"/>
      <c r="AQ240" s="157"/>
      <c r="AR240" s="151"/>
      <c r="AS240" s="159"/>
      <c r="AT240" s="160" t="str">
        <f>Calculo!AQ240</f>
        <v>N/A</v>
      </c>
      <c r="AU240" s="161" t="str">
        <f>Calculo!AV240</f>
        <v>N/A</v>
      </c>
      <c r="AV240" s="162" t="str">
        <f>Calculo!AW240</f>
        <v>N/A</v>
      </c>
      <c r="AW240" s="161" t="b">
        <f>Calculo!AX240</f>
        <v>0</v>
      </c>
      <c r="AX240" s="161" t="str">
        <f>Calculo!K240</f>
        <v>N/A</v>
      </c>
      <c r="AY240" s="161" t="str">
        <f>Calculo!AY240</f>
        <v>N/A</v>
      </c>
      <c r="AZ240" s="161" t="str">
        <f>Calculo!AZ240</f>
        <v>N/A</v>
      </c>
      <c r="BA240" s="163"/>
    </row>
    <row r="241" ht="12.0" customHeight="1">
      <c r="A241" s="88" t="str">
        <f>'Parâmetros'!$A$19</f>
        <v>Rel. Básico PJ</v>
      </c>
      <c r="B241" s="146"/>
      <c r="C241" s="146"/>
      <c r="D241" s="146"/>
      <c r="E241" s="149"/>
      <c r="F241" s="151"/>
      <c r="G241" s="151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53"/>
      <c r="AC241" s="146"/>
      <c r="AD241" s="151"/>
      <c r="AE241" s="151"/>
      <c r="AF241" s="151"/>
      <c r="AG241" s="151"/>
      <c r="AH241" s="151"/>
      <c r="AI241" s="151"/>
      <c r="AJ241" s="146"/>
      <c r="AK241" s="155"/>
      <c r="AL241" s="151"/>
      <c r="AM241" s="151"/>
      <c r="AN241" s="151"/>
      <c r="AO241" s="151"/>
      <c r="AP241" s="151"/>
      <c r="AQ241" s="157"/>
      <c r="AR241" s="151"/>
      <c r="AS241" s="159"/>
      <c r="AT241" s="160" t="str">
        <f>Calculo!AQ241</f>
        <v>N/A</v>
      </c>
      <c r="AU241" s="161" t="str">
        <f>Calculo!AV241</f>
        <v>N/A</v>
      </c>
      <c r="AV241" s="162" t="str">
        <f>Calculo!AW241</f>
        <v>N/A</v>
      </c>
      <c r="AW241" s="161" t="b">
        <f>Calculo!AX241</f>
        <v>0</v>
      </c>
      <c r="AX241" s="161" t="str">
        <f>Calculo!K241</f>
        <v>N/A</v>
      </c>
      <c r="AY241" s="161" t="str">
        <f>Calculo!AY241</f>
        <v>N/A</v>
      </c>
      <c r="AZ241" s="161" t="str">
        <f>Calculo!AZ241</f>
        <v>N/A</v>
      </c>
      <c r="BA241" s="163"/>
    </row>
    <row r="242" ht="12.0" customHeight="1">
      <c r="A242" s="88" t="str">
        <f>'Parâmetros'!$A$19</f>
        <v>Rel. Básico PJ</v>
      </c>
      <c r="B242" s="146"/>
      <c r="C242" s="146"/>
      <c r="D242" s="146"/>
      <c r="E242" s="149"/>
      <c r="F242" s="151"/>
      <c r="G242" s="151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53"/>
      <c r="AC242" s="146"/>
      <c r="AD242" s="151"/>
      <c r="AE242" s="151"/>
      <c r="AF242" s="151"/>
      <c r="AG242" s="151"/>
      <c r="AH242" s="151"/>
      <c r="AI242" s="151"/>
      <c r="AJ242" s="146"/>
      <c r="AK242" s="155"/>
      <c r="AL242" s="151"/>
      <c r="AM242" s="151"/>
      <c r="AN242" s="151"/>
      <c r="AO242" s="151"/>
      <c r="AP242" s="151"/>
      <c r="AQ242" s="157"/>
      <c r="AR242" s="151"/>
      <c r="AS242" s="159"/>
      <c r="AT242" s="160" t="str">
        <f>Calculo!AQ242</f>
        <v>N/A</v>
      </c>
      <c r="AU242" s="161" t="str">
        <f>Calculo!AV242</f>
        <v>N/A</v>
      </c>
      <c r="AV242" s="162" t="str">
        <f>Calculo!AW242</f>
        <v>N/A</v>
      </c>
      <c r="AW242" s="161" t="b">
        <f>Calculo!AX242</f>
        <v>0</v>
      </c>
      <c r="AX242" s="161" t="str">
        <f>Calculo!K242</f>
        <v>N/A</v>
      </c>
      <c r="AY242" s="161" t="str">
        <f>Calculo!AY242</f>
        <v>N/A</v>
      </c>
      <c r="AZ242" s="161" t="str">
        <f>Calculo!AZ242</f>
        <v>N/A</v>
      </c>
      <c r="BA242" s="163"/>
    </row>
    <row r="243" ht="12.0" customHeight="1">
      <c r="A243" s="88" t="str">
        <f>'Parâmetros'!$A$19</f>
        <v>Rel. Básico PJ</v>
      </c>
      <c r="B243" s="146"/>
      <c r="C243" s="146"/>
      <c r="D243" s="146"/>
      <c r="E243" s="149"/>
      <c r="F243" s="151"/>
      <c r="G243" s="151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53"/>
      <c r="AC243" s="146"/>
      <c r="AD243" s="151"/>
      <c r="AE243" s="151"/>
      <c r="AF243" s="151"/>
      <c r="AG243" s="151"/>
      <c r="AH243" s="151"/>
      <c r="AI243" s="151"/>
      <c r="AJ243" s="146"/>
      <c r="AK243" s="155"/>
      <c r="AL243" s="151"/>
      <c r="AM243" s="151"/>
      <c r="AN243" s="151"/>
      <c r="AO243" s="151"/>
      <c r="AP243" s="151"/>
      <c r="AQ243" s="157"/>
      <c r="AR243" s="151"/>
      <c r="AS243" s="159"/>
      <c r="AT243" s="160" t="str">
        <f>Calculo!AQ243</f>
        <v>N/A</v>
      </c>
      <c r="AU243" s="161" t="str">
        <f>Calculo!AV243</f>
        <v>N/A</v>
      </c>
      <c r="AV243" s="162" t="str">
        <f>Calculo!AW243</f>
        <v>N/A</v>
      </c>
      <c r="AW243" s="161" t="b">
        <f>Calculo!AX243</f>
        <v>0</v>
      </c>
      <c r="AX243" s="161" t="str">
        <f>Calculo!K243</f>
        <v>N/A</v>
      </c>
      <c r="AY243" s="161" t="str">
        <f>Calculo!AY243</f>
        <v>N/A</v>
      </c>
      <c r="AZ243" s="161" t="str">
        <f>Calculo!AZ243</f>
        <v>N/A</v>
      </c>
      <c r="BA243" s="163"/>
    </row>
    <row r="244" ht="12.0" customHeight="1">
      <c r="A244" s="88" t="str">
        <f>'Parâmetros'!$A$19</f>
        <v>Rel. Básico PJ</v>
      </c>
      <c r="B244" s="146"/>
      <c r="C244" s="146"/>
      <c r="D244" s="146"/>
      <c r="E244" s="149"/>
      <c r="F244" s="151"/>
      <c r="G244" s="151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53"/>
      <c r="AC244" s="146"/>
      <c r="AD244" s="151"/>
      <c r="AE244" s="151"/>
      <c r="AF244" s="151"/>
      <c r="AG244" s="151"/>
      <c r="AH244" s="151"/>
      <c r="AI244" s="151"/>
      <c r="AJ244" s="146"/>
      <c r="AK244" s="155"/>
      <c r="AL244" s="151"/>
      <c r="AM244" s="151"/>
      <c r="AN244" s="151"/>
      <c r="AO244" s="151"/>
      <c r="AP244" s="151"/>
      <c r="AQ244" s="157"/>
      <c r="AR244" s="151"/>
      <c r="AS244" s="159"/>
      <c r="AT244" s="160" t="str">
        <f>Calculo!AQ244</f>
        <v>N/A</v>
      </c>
      <c r="AU244" s="161" t="str">
        <f>Calculo!AV244</f>
        <v>N/A</v>
      </c>
      <c r="AV244" s="162" t="str">
        <f>Calculo!AW244</f>
        <v>N/A</v>
      </c>
      <c r="AW244" s="161" t="b">
        <f>Calculo!AX244</f>
        <v>0</v>
      </c>
      <c r="AX244" s="161" t="str">
        <f>Calculo!K244</f>
        <v>N/A</v>
      </c>
      <c r="AY244" s="161" t="str">
        <f>Calculo!AY244</f>
        <v>N/A</v>
      </c>
      <c r="AZ244" s="161" t="str">
        <f>Calculo!AZ244</f>
        <v>N/A</v>
      </c>
      <c r="BA244" s="163"/>
    </row>
    <row r="245" ht="12.0" customHeight="1">
      <c r="A245" s="88" t="str">
        <f>'Parâmetros'!$A$19</f>
        <v>Rel. Básico PJ</v>
      </c>
      <c r="B245" s="146"/>
      <c r="C245" s="146"/>
      <c r="D245" s="146"/>
      <c r="E245" s="149"/>
      <c r="F245" s="151"/>
      <c r="G245" s="151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53"/>
      <c r="AC245" s="146"/>
      <c r="AD245" s="151"/>
      <c r="AE245" s="151"/>
      <c r="AF245" s="151"/>
      <c r="AG245" s="151"/>
      <c r="AH245" s="151"/>
      <c r="AI245" s="151"/>
      <c r="AJ245" s="146"/>
      <c r="AK245" s="155"/>
      <c r="AL245" s="151"/>
      <c r="AM245" s="151"/>
      <c r="AN245" s="151"/>
      <c r="AO245" s="151"/>
      <c r="AP245" s="151"/>
      <c r="AQ245" s="157"/>
      <c r="AR245" s="151"/>
      <c r="AS245" s="159"/>
      <c r="AT245" s="160" t="str">
        <f>Calculo!AQ245</f>
        <v>N/A</v>
      </c>
      <c r="AU245" s="161" t="str">
        <f>Calculo!AV245</f>
        <v>N/A</v>
      </c>
      <c r="AV245" s="162" t="str">
        <f>Calculo!AW245</f>
        <v>N/A</v>
      </c>
      <c r="AW245" s="161" t="b">
        <f>Calculo!AX245</f>
        <v>0</v>
      </c>
      <c r="AX245" s="161" t="str">
        <f>Calculo!K245</f>
        <v>N/A</v>
      </c>
      <c r="AY245" s="161" t="str">
        <f>Calculo!AY245</f>
        <v>N/A</v>
      </c>
      <c r="AZ245" s="161" t="str">
        <f>Calculo!AZ245</f>
        <v>N/A</v>
      </c>
      <c r="BA245" s="163"/>
    </row>
    <row r="246" ht="12.0" customHeight="1">
      <c r="A246" s="88" t="str">
        <f>'Parâmetros'!$A$19</f>
        <v>Rel. Básico PJ</v>
      </c>
      <c r="B246" s="146"/>
      <c r="C246" s="146"/>
      <c r="D246" s="146"/>
      <c r="E246" s="149"/>
      <c r="F246" s="151"/>
      <c r="G246" s="151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53"/>
      <c r="AC246" s="146"/>
      <c r="AD246" s="151"/>
      <c r="AE246" s="151"/>
      <c r="AF246" s="151"/>
      <c r="AG246" s="151"/>
      <c r="AH246" s="151"/>
      <c r="AI246" s="151"/>
      <c r="AJ246" s="146"/>
      <c r="AK246" s="155"/>
      <c r="AL246" s="151"/>
      <c r="AM246" s="151"/>
      <c r="AN246" s="151"/>
      <c r="AO246" s="151"/>
      <c r="AP246" s="151"/>
      <c r="AQ246" s="157"/>
      <c r="AR246" s="151"/>
      <c r="AS246" s="159"/>
      <c r="AT246" s="160" t="str">
        <f>Calculo!AQ246</f>
        <v>N/A</v>
      </c>
      <c r="AU246" s="161" t="str">
        <f>Calculo!AV246</f>
        <v>N/A</v>
      </c>
      <c r="AV246" s="162" t="str">
        <f>Calculo!AW246</f>
        <v>N/A</v>
      </c>
      <c r="AW246" s="161" t="b">
        <f>Calculo!AX246</f>
        <v>0</v>
      </c>
      <c r="AX246" s="161" t="str">
        <f>Calculo!K246</f>
        <v>N/A</v>
      </c>
      <c r="AY246" s="161" t="str">
        <f>Calculo!AY246</f>
        <v>N/A</v>
      </c>
      <c r="AZ246" s="161" t="str">
        <f>Calculo!AZ246</f>
        <v>N/A</v>
      </c>
      <c r="BA246" s="163"/>
    </row>
    <row r="247" ht="12.0" customHeight="1">
      <c r="A247" s="88" t="str">
        <f>'Parâmetros'!$A$19</f>
        <v>Rel. Básico PJ</v>
      </c>
      <c r="B247" s="146"/>
      <c r="C247" s="146"/>
      <c r="D247" s="146"/>
      <c r="E247" s="149"/>
      <c r="F247" s="151"/>
      <c r="G247" s="151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53"/>
      <c r="AC247" s="146"/>
      <c r="AD247" s="151"/>
      <c r="AE247" s="151"/>
      <c r="AF247" s="151"/>
      <c r="AG247" s="151"/>
      <c r="AH247" s="151"/>
      <c r="AI247" s="151"/>
      <c r="AJ247" s="146"/>
      <c r="AK247" s="155"/>
      <c r="AL247" s="151"/>
      <c r="AM247" s="151"/>
      <c r="AN247" s="151"/>
      <c r="AO247" s="151"/>
      <c r="AP247" s="151"/>
      <c r="AQ247" s="157"/>
      <c r="AR247" s="151"/>
      <c r="AS247" s="159"/>
      <c r="AT247" s="160" t="str">
        <f>Calculo!AQ247</f>
        <v>N/A</v>
      </c>
      <c r="AU247" s="161" t="str">
        <f>Calculo!AV247</f>
        <v>N/A</v>
      </c>
      <c r="AV247" s="162" t="str">
        <f>Calculo!AW247</f>
        <v>N/A</v>
      </c>
      <c r="AW247" s="161" t="b">
        <f>Calculo!AX247</f>
        <v>0</v>
      </c>
      <c r="AX247" s="161" t="str">
        <f>Calculo!K247</f>
        <v>N/A</v>
      </c>
      <c r="AY247" s="161" t="str">
        <f>Calculo!AY247</f>
        <v>N/A</v>
      </c>
      <c r="AZ247" s="161" t="str">
        <f>Calculo!AZ247</f>
        <v>N/A</v>
      </c>
      <c r="BA247" s="163"/>
    </row>
    <row r="248" ht="12.0" customHeight="1">
      <c r="A248" s="88" t="str">
        <f>'Parâmetros'!$A$19</f>
        <v>Rel. Básico PJ</v>
      </c>
      <c r="B248" s="146"/>
      <c r="C248" s="146"/>
      <c r="D248" s="146"/>
      <c r="E248" s="149"/>
      <c r="F248" s="151"/>
      <c r="G248" s="151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53"/>
      <c r="AC248" s="146"/>
      <c r="AD248" s="151"/>
      <c r="AE248" s="151"/>
      <c r="AF248" s="151"/>
      <c r="AG248" s="151"/>
      <c r="AH248" s="151"/>
      <c r="AI248" s="151"/>
      <c r="AJ248" s="146"/>
      <c r="AK248" s="155"/>
      <c r="AL248" s="151"/>
      <c r="AM248" s="151"/>
      <c r="AN248" s="151"/>
      <c r="AO248" s="151"/>
      <c r="AP248" s="151"/>
      <c r="AQ248" s="157"/>
      <c r="AR248" s="151"/>
      <c r="AS248" s="159"/>
      <c r="AT248" s="160" t="str">
        <f>Calculo!AQ248</f>
        <v>N/A</v>
      </c>
      <c r="AU248" s="161" t="str">
        <f>Calculo!AV248</f>
        <v>N/A</v>
      </c>
      <c r="AV248" s="162" t="str">
        <f>Calculo!AW248</f>
        <v>N/A</v>
      </c>
      <c r="AW248" s="161" t="b">
        <f>Calculo!AX248</f>
        <v>0</v>
      </c>
      <c r="AX248" s="161" t="str">
        <f>Calculo!K248</f>
        <v>N/A</v>
      </c>
      <c r="AY248" s="161" t="str">
        <f>Calculo!AY248</f>
        <v>N/A</v>
      </c>
      <c r="AZ248" s="161" t="str">
        <f>Calculo!AZ248</f>
        <v>N/A</v>
      </c>
      <c r="BA248" s="163"/>
    </row>
    <row r="249" ht="12.0" customHeight="1">
      <c r="A249" s="88" t="str">
        <f>'Parâmetros'!$A$19</f>
        <v>Rel. Básico PJ</v>
      </c>
      <c r="B249" s="146"/>
      <c r="C249" s="146"/>
      <c r="D249" s="146"/>
      <c r="E249" s="149"/>
      <c r="F249" s="151"/>
      <c r="G249" s="151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53"/>
      <c r="AC249" s="146"/>
      <c r="AD249" s="151"/>
      <c r="AE249" s="151"/>
      <c r="AF249" s="151"/>
      <c r="AG249" s="151"/>
      <c r="AH249" s="151"/>
      <c r="AI249" s="151"/>
      <c r="AJ249" s="146"/>
      <c r="AK249" s="155"/>
      <c r="AL249" s="151"/>
      <c r="AM249" s="151"/>
      <c r="AN249" s="151"/>
      <c r="AO249" s="151"/>
      <c r="AP249" s="151"/>
      <c r="AQ249" s="157"/>
      <c r="AR249" s="151"/>
      <c r="AS249" s="159"/>
      <c r="AT249" s="160" t="str">
        <f>Calculo!AQ249</f>
        <v>N/A</v>
      </c>
      <c r="AU249" s="161" t="str">
        <f>Calculo!AV249</f>
        <v>N/A</v>
      </c>
      <c r="AV249" s="162" t="str">
        <f>Calculo!AW249</f>
        <v>N/A</v>
      </c>
      <c r="AW249" s="161" t="b">
        <f>Calculo!AX249</f>
        <v>0</v>
      </c>
      <c r="AX249" s="161" t="str">
        <f>Calculo!K249</f>
        <v>N/A</v>
      </c>
      <c r="AY249" s="161" t="str">
        <f>Calculo!AY249</f>
        <v>N/A</v>
      </c>
      <c r="AZ249" s="161" t="str">
        <f>Calculo!AZ249</f>
        <v>N/A</v>
      </c>
      <c r="BA249" s="163"/>
    </row>
    <row r="250" ht="12.0" customHeight="1">
      <c r="A250" s="88" t="str">
        <f>'Parâmetros'!$A$19</f>
        <v>Rel. Básico PJ</v>
      </c>
      <c r="B250" s="146"/>
      <c r="C250" s="146"/>
      <c r="D250" s="146"/>
      <c r="E250" s="149"/>
      <c r="F250" s="151"/>
      <c r="G250" s="151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53"/>
      <c r="AC250" s="146"/>
      <c r="AD250" s="151"/>
      <c r="AE250" s="151"/>
      <c r="AF250" s="151"/>
      <c r="AG250" s="151"/>
      <c r="AH250" s="151"/>
      <c r="AI250" s="151"/>
      <c r="AJ250" s="146"/>
      <c r="AK250" s="155"/>
      <c r="AL250" s="151"/>
      <c r="AM250" s="151"/>
      <c r="AN250" s="151"/>
      <c r="AO250" s="151"/>
      <c r="AP250" s="151"/>
      <c r="AQ250" s="157"/>
      <c r="AR250" s="151"/>
      <c r="AS250" s="159"/>
      <c r="AT250" s="160" t="str">
        <f>Calculo!AQ250</f>
        <v>N/A</v>
      </c>
      <c r="AU250" s="161" t="str">
        <f>Calculo!AV250</f>
        <v>N/A</v>
      </c>
      <c r="AV250" s="162" t="str">
        <f>Calculo!AW250</f>
        <v>N/A</v>
      </c>
      <c r="AW250" s="161" t="b">
        <f>Calculo!AX250</f>
        <v>0</v>
      </c>
      <c r="AX250" s="161" t="str">
        <f>Calculo!K250</f>
        <v>N/A</v>
      </c>
      <c r="AY250" s="161" t="str">
        <f>Calculo!AY250</f>
        <v>N/A</v>
      </c>
      <c r="AZ250" s="161" t="str">
        <f>Calculo!AZ250</f>
        <v>N/A</v>
      </c>
      <c r="BA250" s="163"/>
    </row>
    <row r="251" ht="12.0" customHeight="1">
      <c r="A251" s="88" t="str">
        <f>'Parâmetros'!$A$19</f>
        <v>Rel. Básico PJ</v>
      </c>
      <c r="B251" s="146"/>
      <c r="C251" s="146"/>
      <c r="D251" s="146"/>
      <c r="E251" s="149"/>
      <c r="F251" s="151"/>
      <c r="G251" s="151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53"/>
      <c r="AC251" s="146"/>
      <c r="AD251" s="151"/>
      <c r="AE251" s="151"/>
      <c r="AF251" s="151"/>
      <c r="AG251" s="151"/>
      <c r="AH251" s="151"/>
      <c r="AI251" s="151"/>
      <c r="AJ251" s="146"/>
      <c r="AK251" s="155"/>
      <c r="AL251" s="151"/>
      <c r="AM251" s="151"/>
      <c r="AN251" s="151"/>
      <c r="AO251" s="151"/>
      <c r="AP251" s="151"/>
      <c r="AQ251" s="157"/>
      <c r="AR251" s="151"/>
      <c r="AS251" s="159"/>
      <c r="AT251" s="160" t="str">
        <f>Calculo!AQ251</f>
        <v>N/A</v>
      </c>
      <c r="AU251" s="161" t="str">
        <f>Calculo!AV251</f>
        <v>N/A</v>
      </c>
      <c r="AV251" s="162" t="str">
        <f>Calculo!AW251</f>
        <v>N/A</v>
      </c>
      <c r="AW251" s="161" t="b">
        <f>Calculo!AX251</f>
        <v>0</v>
      </c>
      <c r="AX251" s="161" t="str">
        <f>Calculo!K251</f>
        <v>N/A</v>
      </c>
      <c r="AY251" s="161" t="str">
        <f>Calculo!AY251</f>
        <v>N/A</v>
      </c>
      <c r="AZ251" s="161" t="str">
        <f>Calculo!AZ251</f>
        <v>N/A</v>
      </c>
      <c r="BA251" s="163"/>
    </row>
    <row r="252" ht="12.0" customHeight="1">
      <c r="A252" s="88" t="str">
        <f>'Parâmetros'!$A$19</f>
        <v>Rel. Básico PJ</v>
      </c>
      <c r="B252" s="146"/>
      <c r="C252" s="146"/>
      <c r="D252" s="146"/>
      <c r="E252" s="149"/>
      <c r="F252" s="151"/>
      <c r="G252" s="151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53"/>
      <c r="AC252" s="146"/>
      <c r="AD252" s="151"/>
      <c r="AE252" s="151"/>
      <c r="AF252" s="151"/>
      <c r="AG252" s="151"/>
      <c r="AH252" s="151"/>
      <c r="AI252" s="151"/>
      <c r="AJ252" s="146"/>
      <c r="AK252" s="155"/>
      <c r="AL252" s="151"/>
      <c r="AM252" s="151"/>
      <c r="AN252" s="151"/>
      <c r="AO252" s="151"/>
      <c r="AP252" s="151"/>
      <c r="AQ252" s="157"/>
      <c r="AR252" s="151"/>
      <c r="AS252" s="159"/>
      <c r="AT252" s="160" t="str">
        <f>Calculo!AQ252</f>
        <v>N/A</v>
      </c>
      <c r="AU252" s="161" t="str">
        <f>Calculo!AV252</f>
        <v>N/A</v>
      </c>
      <c r="AV252" s="162" t="str">
        <f>Calculo!AW252</f>
        <v>N/A</v>
      </c>
      <c r="AW252" s="161" t="b">
        <f>Calculo!AX252</f>
        <v>0</v>
      </c>
      <c r="AX252" s="161" t="str">
        <f>Calculo!K252</f>
        <v>N/A</v>
      </c>
      <c r="AY252" s="161" t="str">
        <f>Calculo!AY252</f>
        <v>N/A</v>
      </c>
      <c r="AZ252" s="161" t="str">
        <f>Calculo!AZ252</f>
        <v>N/A</v>
      </c>
      <c r="BA252" s="163"/>
    </row>
    <row r="253" ht="12.0" customHeight="1">
      <c r="A253" s="88" t="str">
        <f>'Parâmetros'!$A$19</f>
        <v>Rel. Básico PJ</v>
      </c>
      <c r="B253" s="146"/>
      <c r="C253" s="146"/>
      <c r="D253" s="146"/>
      <c r="E253" s="149"/>
      <c r="F253" s="151"/>
      <c r="G253" s="151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53"/>
      <c r="AC253" s="146"/>
      <c r="AD253" s="151"/>
      <c r="AE253" s="151"/>
      <c r="AF253" s="151"/>
      <c r="AG253" s="151"/>
      <c r="AH253" s="151"/>
      <c r="AI253" s="151"/>
      <c r="AJ253" s="146"/>
      <c r="AK253" s="155"/>
      <c r="AL253" s="151"/>
      <c r="AM253" s="151"/>
      <c r="AN253" s="151"/>
      <c r="AO253" s="151"/>
      <c r="AP253" s="151"/>
      <c r="AQ253" s="157"/>
      <c r="AR253" s="151"/>
      <c r="AS253" s="159"/>
      <c r="AT253" s="160" t="str">
        <f>Calculo!AQ253</f>
        <v>N/A</v>
      </c>
      <c r="AU253" s="161" t="str">
        <f>Calculo!AV253</f>
        <v>N/A</v>
      </c>
      <c r="AV253" s="162" t="str">
        <f>Calculo!AW253</f>
        <v>N/A</v>
      </c>
      <c r="AW253" s="161" t="b">
        <f>Calculo!AX253</f>
        <v>0</v>
      </c>
      <c r="AX253" s="161" t="str">
        <f>Calculo!K253</f>
        <v>N/A</v>
      </c>
      <c r="AY253" s="161" t="str">
        <f>Calculo!AY253</f>
        <v>N/A</v>
      </c>
      <c r="AZ253" s="161" t="str">
        <f>Calculo!AZ253</f>
        <v>N/A</v>
      </c>
      <c r="BA253" s="163"/>
    </row>
    <row r="254" ht="12.0" customHeight="1">
      <c r="A254" s="88" t="str">
        <f>'Parâmetros'!$A$19</f>
        <v>Rel. Básico PJ</v>
      </c>
      <c r="B254" s="146"/>
      <c r="C254" s="146"/>
      <c r="D254" s="146"/>
      <c r="E254" s="149"/>
      <c r="F254" s="151"/>
      <c r="G254" s="151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53"/>
      <c r="AC254" s="146"/>
      <c r="AD254" s="151"/>
      <c r="AE254" s="151"/>
      <c r="AF254" s="151"/>
      <c r="AG254" s="151"/>
      <c r="AH254" s="151"/>
      <c r="AI254" s="151"/>
      <c r="AJ254" s="146"/>
      <c r="AK254" s="155"/>
      <c r="AL254" s="151"/>
      <c r="AM254" s="151"/>
      <c r="AN254" s="151"/>
      <c r="AO254" s="151"/>
      <c r="AP254" s="151"/>
      <c r="AQ254" s="157"/>
      <c r="AR254" s="151"/>
      <c r="AS254" s="159"/>
      <c r="AT254" s="160" t="str">
        <f>Calculo!AQ254</f>
        <v>N/A</v>
      </c>
      <c r="AU254" s="161" t="str">
        <f>Calculo!AV254</f>
        <v>N/A</v>
      </c>
      <c r="AV254" s="162" t="str">
        <f>Calculo!AW254</f>
        <v>N/A</v>
      </c>
      <c r="AW254" s="161" t="b">
        <f>Calculo!AX254</f>
        <v>0</v>
      </c>
      <c r="AX254" s="161" t="str">
        <f>Calculo!K254</f>
        <v>N/A</v>
      </c>
      <c r="AY254" s="161" t="str">
        <f>Calculo!AY254</f>
        <v>N/A</v>
      </c>
      <c r="AZ254" s="161" t="str">
        <f>Calculo!AZ254</f>
        <v>N/A</v>
      </c>
      <c r="BA254" s="163"/>
    </row>
    <row r="255" ht="12.0" customHeight="1">
      <c r="A255" s="88" t="str">
        <f>'Parâmetros'!$A$19</f>
        <v>Rel. Básico PJ</v>
      </c>
      <c r="B255" s="146"/>
      <c r="C255" s="146"/>
      <c r="D255" s="146"/>
      <c r="E255" s="149"/>
      <c r="F255" s="151"/>
      <c r="G255" s="151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53"/>
      <c r="AC255" s="146"/>
      <c r="AD255" s="151"/>
      <c r="AE255" s="151"/>
      <c r="AF255" s="151"/>
      <c r="AG255" s="151"/>
      <c r="AH255" s="151"/>
      <c r="AI255" s="151"/>
      <c r="AJ255" s="146"/>
      <c r="AK255" s="155"/>
      <c r="AL255" s="151"/>
      <c r="AM255" s="151"/>
      <c r="AN255" s="151"/>
      <c r="AO255" s="151"/>
      <c r="AP255" s="151"/>
      <c r="AQ255" s="157"/>
      <c r="AR255" s="151"/>
      <c r="AS255" s="159"/>
      <c r="AT255" s="160" t="str">
        <f>Calculo!AQ255</f>
        <v>N/A</v>
      </c>
      <c r="AU255" s="161" t="str">
        <f>Calculo!AV255</f>
        <v>N/A</v>
      </c>
      <c r="AV255" s="162" t="str">
        <f>Calculo!AW255</f>
        <v>N/A</v>
      </c>
      <c r="AW255" s="161" t="b">
        <f>Calculo!AX255</f>
        <v>0</v>
      </c>
      <c r="AX255" s="161" t="str">
        <f>Calculo!K255</f>
        <v>N/A</v>
      </c>
      <c r="AY255" s="161" t="str">
        <f>Calculo!AY255</f>
        <v>N/A</v>
      </c>
      <c r="AZ255" s="161" t="str">
        <f>Calculo!AZ255</f>
        <v>N/A</v>
      </c>
      <c r="BA255" s="163"/>
    </row>
    <row r="256" ht="12.0" customHeight="1">
      <c r="A256" s="88" t="str">
        <f>'Parâmetros'!$A$19</f>
        <v>Rel. Básico PJ</v>
      </c>
      <c r="B256" s="146"/>
      <c r="C256" s="146"/>
      <c r="D256" s="146"/>
      <c r="E256" s="149"/>
      <c r="F256" s="151"/>
      <c r="G256" s="151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53"/>
      <c r="AC256" s="146"/>
      <c r="AD256" s="151"/>
      <c r="AE256" s="151"/>
      <c r="AF256" s="151"/>
      <c r="AG256" s="151"/>
      <c r="AH256" s="151"/>
      <c r="AI256" s="151"/>
      <c r="AJ256" s="146"/>
      <c r="AK256" s="155"/>
      <c r="AL256" s="151"/>
      <c r="AM256" s="151"/>
      <c r="AN256" s="151"/>
      <c r="AO256" s="151"/>
      <c r="AP256" s="151"/>
      <c r="AQ256" s="157"/>
      <c r="AR256" s="151"/>
      <c r="AS256" s="159"/>
      <c r="AT256" s="160" t="str">
        <f>Calculo!AQ256</f>
        <v>N/A</v>
      </c>
      <c r="AU256" s="161" t="str">
        <f>Calculo!AV256</f>
        <v>N/A</v>
      </c>
      <c r="AV256" s="162" t="str">
        <f>Calculo!AW256</f>
        <v>N/A</v>
      </c>
      <c r="AW256" s="161" t="b">
        <f>Calculo!AX256</f>
        <v>0</v>
      </c>
      <c r="AX256" s="161" t="str">
        <f>Calculo!K256</f>
        <v>N/A</v>
      </c>
      <c r="AY256" s="161" t="str">
        <f>Calculo!AY256</f>
        <v>N/A</v>
      </c>
      <c r="AZ256" s="161" t="str">
        <f>Calculo!AZ256</f>
        <v>N/A</v>
      </c>
      <c r="BA256" s="163"/>
    </row>
    <row r="257" ht="12.0" customHeight="1">
      <c r="A257" s="88" t="str">
        <f>'Parâmetros'!$A$19</f>
        <v>Rel. Básico PJ</v>
      </c>
      <c r="B257" s="146"/>
      <c r="C257" s="146"/>
      <c r="D257" s="146"/>
      <c r="E257" s="149"/>
      <c r="F257" s="151"/>
      <c r="G257" s="151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53"/>
      <c r="AC257" s="146"/>
      <c r="AD257" s="151"/>
      <c r="AE257" s="151"/>
      <c r="AF257" s="151"/>
      <c r="AG257" s="151"/>
      <c r="AH257" s="151"/>
      <c r="AI257" s="151"/>
      <c r="AJ257" s="146"/>
      <c r="AK257" s="155"/>
      <c r="AL257" s="151"/>
      <c r="AM257" s="151"/>
      <c r="AN257" s="151"/>
      <c r="AO257" s="151"/>
      <c r="AP257" s="151"/>
      <c r="AQ257" s="157"/>
      <c r="AR257" s="151"/>
      <c r="AS257" s="159"/>
      <c r="AT257" s="160" t="str">
        <f>Calculo!AQ257</f>
        <v>N/A</v>
      </c>
      <c r="AU257" s="161" t="str">
        <f>Calculo!AV257</f>
        <v>N/A</v>
      </c>
      <c r="AV257" s="162" t="str">
        <f>Calculo!AW257</f>
        <v>N/A</v>
      </c>
      <c r="AW257" s="161" t="b">
        <f>Calculo!AX257</f>
        <v>0</v>
      </c>
      <c r="AX257" s="161" t="str">
        <f>Calculo!K257</f>
        <v>N/A</v>
      </c>
      <c r="AY257" s="161" t="str">
        <f>Calculo!AY257</f>
        <v>N/A</v>
      </c>
      <c r="AZ257" s="161" t="str">
        <f>Calculo!AZ257</f>
        <v>N/A</v>
      </c>
      <c r="BA257" s="163"/>
    </row>
    <row r="258" ht="12.0" customHeight="1">
      <c r="A258" s="88" t="str">
        <f>'Parâmetros'!$A$19</f>
        <v>Rel. Básico PJ</v>
      </c>
      <c r="B258" s="146"/>
      <c r="C258" s="146"/>
      <c r="D258" s="146"/>
      <c r="E258" s="149"/>
      <c r="F258" s="151"/>
      <c r="G258" s="151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53"/>
      <c r="AC258" s="146"/>
      <c r="AD258" s="151"/>
      <c r="AE258" s="151"/>
      <c r="AF258" s="151"/>
      <c r="AG258" s="151"/>
      <c r="AH258" s="151"/>
      <c r="AI258" s="151"/>
      <c r="AJ258" s="146"/>
      <c r="AK258" s="155"/>
      <c r="AL258" s="151"/>
      <c r="AM258" s="151"/>
      <c r="AN258" s="151"/>
      <c r="AO258" s="151"/>
      <c r="AP258" s="151"/>
      <c r="AQ258" s="157"/>
      <c r="AR258" s="151"/>
      <c r="AS258" s="159"/>
      <c r="AT258" s="160" t="str">
        <f>Calculo!AQ258</f>
        <v>N/A</v>
      </c>
      <c r="AU258" s="161" t="str">
        <f>Calculo!AV258</f>
        <v>N/A</v>
      </c>
      <c r="AV258" s="162" t="str">
        <f>Calculo!AW258</f>
        <v>N/A</v>
      </c>
      <c r="AW258" s="161" t="b">
        <f>Calculo!AX258</f>
        <v>0</v>
      </c>
      <c r="AX258" s="161" t="str">
        <f>Calculo!K258</f>
        <v>N/A</v>
      </c>
      <c r="AY258" s="161" t="str">
        <f>Calculo!AY258</f>
        <v>N/A</v>
      </c>
      <c r="AZ258" s="161" t="str">
        <f>Calculo!AZ258</f>
        <v>N/A</v>
      </c>
      <c r="BA258" s="163"/>
    </row>
    <row r="259" ht="12.0" customHeight="1">
      <c r="A259" s="88" t="str">
        <f>'Parâmetros'!$A$19</f>
        <v>Rel. Básico PJ</v>
      </c>
      <c r="B259" s="146"/>
      <c r="C259" s="146"/>
      <c r="D259" s="146"/>
      <c r="E259" s="149"/>
      <c r="F259" s="151"/>
      <c r="G259" s="151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53"/>
      <c r="AC259" s="146"/>
      <c r="AD259" s="151"/>
      <c r="AE259" s="151"/>
      <c r="AF259" s="151"/>
      <c r="AG259" s="151"/>
      <c r="AH259" s="151"/>
      <c r="AI259" s="151"/>
      <c r="AJ259" s="146"/>
      <c r="AK259" s="155"/>
      <c r="AL259" s="151"/>
      <c r="AM259" s="151"/>
      <c r="AN259" s="151"/>
      <c r="AO259" s="151"/>
      <c r="AP259" s="151"/>
      <c r="AQ259" s="157"/>
      <c r="AR259" s="151"/>
      <c r="AS259" s="159"/>
      <c r="AT259" s="160" t="str">
        <f>Calculo!AQ259</f>
        <v>N/A</v>
      </c>
      <c r="AU259" s="161" t="str">
        <f>Calculo!AV259</f>
        <v>N/A</v>
      </c>
      <c r="AV259" s="162" t="str">
        <f>Calculo!AW259</f>
        <v>N/A</v>
      </c>
      <c r="AW259" s="161" t="b">
        <f>Calculo!AX259</f>
        <v>0</v>
      </c>
      <c r="AX259" s="161" t="str">
        <f>Calculo!K259</f>
        <v>N/A</v>
      </c>
      <c r="AY259" s="161" t="str">
        <f>Calculo!AY259</f>
        <v>N/A</v>
      </c>
      <c r="AZ259" s="161" t="str">
        <f>Calculo!AZ259</f>
        <v>N/A</v>
      </c>
      <c r="BA259" s="163"/>
    </row>
    <row r="260" ht="12.0" customHeight="1">
      <c r="A260" s="88" t="str">
        <f>'Parâmetros'!$A$19</f>
        <v>Rel. Básico PJ</v>
      </c>
      <c r="B260" s="146"/>
      <c r="C260" s="146"/>
      <c r="D260" s="146"/>
      <c r="E260" s="149"/>
      <c r="F260" s="151"/>
      <c r="G260" s="151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53"/>
      <c r="AC260" s="146"/>
      <c r="AD260" s="151"/>
      <c r="AE260" s="151"/>
      <c r="AF260" s="151"/>
      <c r="AG260" s="151"/>
      <c r="AH260" s="151"/>
      <c r="AI260" s="151"/>
      <c r="AJ260" s="146"/>
      <c r="AK260" s="155"/>
      <c r="AL260" s="151"/>
      <c r="AM260" s="151"/>
      <c r="AN260" s="151"/>
      <c r="AO260" s="151"/>
      <c r="AP260" s="151"/>
      <c r="AQ260" s="157"/>
      <c r="AR260" s="151"/>
      <c r="AS260" s="159"/>
      <c r="AT260" s="160" t="str">
        <f>Calculo!AQ260</f>
        <v>N/A</v>
      </c>
      <c r="AU260" s="161" t="str">
        <f>Calculo!AV260</f>
        <v>N/A</v>
      </c>
      <c r="AV260" s="162" t="str">
        <f>Calculo!AW260</f>
        <v>N/A</v>
      </c>
      <c r="AW260" s="161" t="b">
        <f>Calculo!AX260</f>
        <v>0</v>
      </c>
      <c r="AX260" s="161" t="str">
        <f>Calculo!K260</f>
        <v>N/A</v>
      </c>
      <c r="AY260" s="161" t="str">
        <f>Calculo!AY260</f>
        <v>N/A</v>
      </c>
      <c r="AZ260" s="161" t="str">
        <f>Calculo!AZ260</f>
        <v>N/A</v>
      </c>
      <c r="BA260" s="163"/>
    </row>
    <row r="261" ht="12.0" customHeight="1">
      <c r="A261" s="88" t="str">
        <f>'Parâmetros'!$A$19</f>
        <v>Rel. Básico PJ</v>
      </c>
      <c r="B261" s="146"/>
      <c r="C261" s="146"/>
      <c r="D261" s="146"/>
      <c r="E261" s="149"/>
      <c r="F261" s="151"/>
      <c r="G261" s="151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53"/>
      <c r="AC261" s="146"/>
      <c r="AD261" s="151"/>
      <c r="AE261" s="151"/>
      <c r="AF261" s="151"/>
      <c r="AG261" s="151"/>
      <c r="AH261" s="151"/>
      <c r="AI261" s="151"/>
      <c r="AJ261" s="146"/>
      <c r="AK261" s="155"/>
      <c r="AL261" s="151"/>
      <c r="AM261" s="151"/>
      <c r="AN261" s="151"/>
      <c r="AO261" s="151"/>
      <c r="AP261" s="151"/>
      <c r="AQ261" s="157"/>
      <c r="AR261" s="151"/>
      <c r="AS261" s="159"/>
      <c r="AT261" s="160" t="str">
        <f>Calculo!AQ261</f>
        <v>N/A</v>
      </c>
      <c r="AU261" s="161" t="str">
        <f>Calculo!AV261</f>
        <v>N/A</v>
      </c>
      <c r="AV261" s="162" t="str">
        <f>Calculo!AW261</f>
        <v>N/A</v>
      </c>
      <c r="AW261" s="161" t="b">
        <f>Calculo!AX261</f>
        <v>0</v>
      </c>
      <c r="AX261" s="161" t="str">
        <f>Calculo!K261</f>
        <v>N/A</v>
      </c>
      <c r="AY261" s="161" t="str">
        <f>Calculo!AY261</f>
        <v>N/A</v>
      </c>
      <c r="AZ261" s="161" t="str">
        <f>Calculo!AZ261</f>
        <v>N/A</v>
      </c>
      <c r="BA261" s="163"/>
    </row>
    <row r="262" ht="12.0" customHeight="1">
      <c r="A262" s="88" t="str">
        <f>'Parâmetros'!$A$19</f>
        <v>Rel. Básico PJ</v>
      </c>
      <c r="B262" s="146"/>
      <c r="C262" s="146"/>
      <c r="D262" s="146"/>
      <c r="E262" s="149"/>
      <c r="F262" s="151"/>
      <c r="G262" s="151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53"/>
      <c r="AC262" s="146"/>
      <c r="AD262" s="151"/>
      <c r="AE262" s="151"/>
      <c r="AF262" s="151"/>
      <c r="AG262" s="151"/>
      <c r="AH262" s="151"/>
      <c r="AI262" s="151"/>
      <c r="AJ262" s="146"/>
      <c r="AK262" s="155"/>
      <c r="AL262" s="151"/>
      <c r="AM262" s="151"/>
      <c r="AN262" s="151"/>
      <c r="AO262" s="151"/>
      <c r="AP262" s="151"/>
      <c r="AQ262" s="157"/>
      <c r="AR262" s="151"/>
      <c r="AS262" s="159"/>
      <c r="AT262" s="160" t="str">
        <f>Calculo!AQ262</f>
        <v>N/A</v>
      </c>
      <c r="AU262" s="161" t="str">
        <f>Calculo!AV262</f>
        <v>N/A</v>
      </c>
      <c r="AV262" s="162" t="str">
        <f>Calculo!AW262</f>
        <v>N/A</v>
      </c>
      <c r="AW262" s="161" t="b">
        <f>Calculo!AX262</f>
        <v>0</v>
      </c>
      <c r="AX262" s="161" t="str">
        <f>Calculo!K262</f>
        <v>N/A</v>
      </c>
      <c r="AY262" s="161" t="str">
        <f>Calculo!AY262</f>
        <v>N/A</v>
      </c>
      <c r="AZ262" s="161" t="str">
        <f>Calculo!AZ262</f>
        <v>N/A</v>
      </c>
      <c r="BA262" s="163"/>
    </row>
    <row r="263" ht="12.0" customHeight="1">
      <c r="A263" s="88" t="str">
        <f>'Parâmetros'!$A$19</f>
        <v>Rel. Básico PJ</v>
      </c>
      <c r="B263" s="146"/>
      <c r="C263" s="146"/>
      <c r="D263" s="146"/>
      <c r="E263" s="149"/>
      <c r="F263" s="151"/>
      <c r="G263" s="151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53"/>
      <c r="AC263" s="146"/>
      <c r="AD263" s="151"/>
      <c r="AE263" s="151"/>
      <c r="AF263" s="151"/>
      <c r="AG263" s="151"/>
      <c r="AH263" s="151"/>
      <c r="AI263" s="151"/>
      <c r="AJ263" s="146"/>
      <c r="AK263" s="155"/>
      <c r="AL263" s="151"/>
      <c r="AM263" s="151"/>
      <c r="AN263" s="151"/>
      <c r="AO263" s="151"/>
      <c r="AP263" s="151"/>
      <c r="AQ263" s="157"/>
      <c r="AR263" s="151"/>
      <c r="AS263" s="159"/>
      <c r="AT263" s="160" t="str">
        <f>Calculo!AQ263</f>
        <v>N/A</v>
      </c>
      <c r="AU263" s="161" t="str">
        <f>Calculo!AV263</f>
        <v>N/A</v>
      </c>
      <c r="AV263" s="162" t="str">
        <f>Calculo!AW263</f>
        <v>N/A</v>
      </c>
      <c r="AW263" s="161" t="b">
        <f>Calculo!AX263</f>
        <v>0</v>
      </c>
      <c r="AX263" s="161" t="str">
        <f>Calculo!K263</f>
        <v>N/A</v>
      </c>
      <c r="AY263" s="161" t="str">
        <f>Calculo!AY263</f>
        <v>N/A</v>
      </c>
      <c r="AZ263" s="161" t="str">
        <f>Calculo!AZ263</f>
        <v>N/A</v>
      </c>
      <c r="BA263" s="163"/>
    </row>
    <row r="264" ht="12.0" customHeight="1">
      <c r="A264" s="88" t="str">
        <f>'Parâmetros'!$A$19</f>
        <v>Rel. Básico PJ</v>
      </c>
      <c r="B264" s="146"/>
      <c r="C264" s="146"/>
      <c r="D264" s="146"/>
      <c r="E264" s="149"/>
      <c r="F264" s="151"/>
      <c r="G264" s="151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53"/>
      <c r="AC264" s="146"/>
      <c r="AD264" s="151"/>
      <c r="AE264" s="151"/>
      <c r="AF264" s="151"/>
      <c r="AG264" s="151"/>
      <c r="AH264" s="151"/>
      <c r="AI264" s="151"/>
      <c r="AJ264" s="146"/>
      <c r="AK264" s="155"/>
      <c r="AL264" s="151"/>
      <c r="AM264" s="151"/>
      <c r="AN264" s="151"/>
      <c r="AO264" s="151"/>
      <c r="AP264" s="151"/>
      <c r="AQ264" s="157"/>
      <c r="AR264" s="151"/>
      <c r="AS264" s="159"/>
      <c r="AT264" s="160" t="str">
        <f>Calculo!AQ264</f>
        <v>N/A</v>
      </c>
      <c r="AU264" s="161" t="str">
        <f>Calculo!AV264</f>
        <v>N/A</v>
      </c>
      <c r="AV264" s="162" t="str">
        <f>Calculo!AW264</f>
        <v>N/A</v>
      </c>
      <c r="AW264" s="161" t="b">
        <f>Calculo!AX264</f>
        <v>0</v>
      </c>
      <c r="AX264" s="161" t="str">
        <f>Calculo!K264</f>
        <v>N/A</v>
      </c>
      <c r="AY264" s="161" t="str">
        <f>Calculo!AY264</f>
        <v>N/A</v>
      </c>
      <c r="AZ264" s="161" t="str">
        <f>Calculo!AZ264</f>
        <v>N/A</v>
      </c>
      <c r="BA264" s="163"/>
    </row>
    <row r="265" ht="12.0" customHeight="1">
      <c r="A265" s="88" t="str">
        <f>'Parâmetros'!$A$19</f>
        <v>Rel. Básico PJ</v>
      </c>
      <c r="B265" s="146"/>
      <c r="C265" s="146"/>
      <c r="D265" s="146"/>
      <c r="E265" s="149"/>
      <c r="F265" s="151"/>
      <c r="G265" s="151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53"/>
      <c r="AC265" s="146"/>
      <c r="AD265" s="151"/>
      <c r="AE265" s="151"/>
      <c r="AF265" s="151"/>
      <c r="AG265" s="151"/>
      <c r="AH265" s="151"/>
      <c r="AI265" s="151"/>
      <c r="AJ265" s="146"/>
      <c r="AK265" s="155"/>
      <c r="AL265" s="151"/>
      <c r="AM265" s="151"/>
      <c r="AN265" s="151"/>
      <c r="AO265" s="151"/>
      <c r="AP265" s="151"/>
      <c r="AQ265" s="157"/>
      <c r="AR265" s="151"/>
      <c r="AS265" s="159"/>
      <c r="AT265" s="160" t="str">
        <f>Calculo!AQ265</f>
        <v>N/A</v>
      </c>
      <c r="AU265" s="161" t="str">
        <f>Calculo!AV265</f>
        <v>N/A</v>
      </c>
      <c r="AV265" s="162" t="str">
        <f>Calculo!AW265</f>
        <v>N/A</v>
      </c>
      <c r="AW265" s="161" t="b">
        <f>Calculo!AX265</f>
        <v>0</v>
      </c>
      <c r="AX265" s="161" t="str">
        <f>Calculo!K265</f>
        <v>N/A</v>
      </c>
      <c r="AY265" s="161" t="str">
        <f>Calculo!AY265</f>
        <v>N/A</v>
      </c>
      <c r="AZ265" s="161" t="str">
        <f>Calculo!AZ265</f>
        <v>N/A</v>
      </c>
      <c r="BA265" s="163"/>
    </row>
    <row r="266" ht="12.0" customHeight="1">
      <c r="A266" s="88" t="str">
        <f>'Parâmetros'!$A$19</f>
        <v>Rel. Básico PJ</v>
      </c>
      <c r="B266" s="146"/>
      <c r="C266" s="146"/>
      <c r="D266" s="146"/>
      <c r="E266" s="149"/>
      <c r="F266" s="151"/>
      <c r="G266" s="151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53"/>
      <c r="AC266" s="146"/>
      <c r="AD266" s="151"/>
      <c r="AE266" s="151"/>
      <c r="AF266" s="151"/>
      <c r="AG266" s="151"/>
      <c r="AH266" s="151"/>
      <c r="AI266" s="151"/>
      <c r="AJ266" s="146"/>
      <c r="AK266" s="155"/>
      <c r="AL266" s="151"/>
      <c r="AM266" s="151"/>
      <c r="AN266" s="151"/>
      <c r="AO266" s="151"/>
      <c r="AP266" s="151"/>
      <c r="AQ266" s="157"/>
      <c r="AR266" s="151"/>
      <c r="AS266" s="159"/>
      <c r="AT266" s="160" t="str">
        <f>Calculo!AQ266</f>
        <v>N/A</v>
      </c>
      <c r="AU266" s="161" t="str">
        <f>Calculo!AV266</f>
        <v>N/A</v>
      </c>
      <c r="AV266" s="162" t="str">
        <f>Calculo!AW266</f>
        <v>N/A</v>
      </c>
      <c r="AW266" s="161" t="b">
        <f>Calculo!AX266</f>
        <v>0</v>
      </c>
      <c r="AX266" s="161" t="str">
        <f>Calculo!K266</f>
        <v>N/A</v>
      </c>
      <c r="AY266" s="161" t="str">
        <f>Calculo!AY266</f>
        <v>N/A</v>
      </c>
      <c r="AZ266" s="161" t="str">
        <f>Calculo!AZ266</f>
        <v>N/A</v>
      </c>
      <c r="BA266" s="163"/>
    </row>
    <row r="267" ht="12.0" customHeight="1">
      <c r="A267" s="88" t="str">
        <f>'Parâmetros'!$A$19</f>
        <v>Rel. Básico PJ</v>
      </c>
      <c r="B267" s="146"/>
      <c r="C267" s="146"/>
      <c r="D267" s="146"/>
      <c r="E267" s="149"/>
      <c r="F267" s="151"/>
      <c r="G267" s="151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53"/>
      <c r="AC267" s="146"/>
      <c r="AD267" s="151"/>
      <c r="AE267" s="151"/>
      <c r="AF267" s="151"/>
      <c r="AG267" s="151"/>
      <c r="AH267" s="151"/>
      <c r="AI267" s="151"/>
      <c r="AJ267" s="146"/>
      <c r="AK267" s="155"/>
      <c r="AL267" s="151"/>
      <c r="AM267" s="151"/>
      <c r="AN267" s="151"/>
      <c r="AO267" s="151"/>
      <c r="AP267" s="151"/>
      <c r="AQ267" s="157"/>
      <c r="AR267" s="151"/>
      <c r="AS267" s="159"/>
      <c r="AT267" s="160" t="str">
        <f>Calculo!AQ267</f>
        <v>N/A</v>
      </c>
      <c r="AU267" s="161" t="str">
        <f>Calculo!AV267</f>
        <v>N/A</v>
      </c>
      <c r="AV267" s="162" t="str">
        <f>Calculo!AW267</f>
        <v>N/A</v>
      </c>
      <c r="AW267" s="161" t="b">
        <f>Calculo!AX267</f>
        <v>0</v>
      </c>
      <c r="AX267" s="161" t="str">
        <f>Calculo!K267</f>
        <v>N/A</v>
      </c>
      <c r="AY267" s="161" t="str">
        <f>Calculo!AY267</f>
        <v>N/A</v>
      </c>
      <c r="AZ267" s="161" t="str">
        <f>Calculo!AZ267</f>
        <v>N/A</v>
      </c>
      <c r="BA267" s="163"/>
    </row>
    <row r="268" ht="12.0" customHeight="1">
      <c r="A268" s="88" t="str">
        <f>'Parâmetros'!$A$19</f>
        <v>Rel. Básico PJ</v>
      </c>
      <c r="B268" s="146"/>
      <c r="C268" s="146"/>
      <c r="D268" s="146"/>
      <c r="E268" s="149"/>
      <c r="F268" s="151"/>
      <c r="G268" s="151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53"/>
      <c r="AC268" s="146"/>
      <c r="AD268" s="151"/>
      <c r="AE268" s="151"/>
      <c r="AF268" s="151"/>
      <c r="AG268" s="151"/>
      <c r="AH268" s="151"/>
      <c r="AI268" s="151"/>
      <c r="AJ268" s="146"/>
      <c r="AK268" s="155"/>
      <c r="AL268" s="151"/>
      <c r="AM268" s="151"/>
      <c r="AN268" s="151"/>
      <c r="AO268" s="151"/>
      <c r="AP268" s="151"/>
      <c r="AQ268" s="157"/>
      <c r="AR268" s="151"/>
      <c r="AS268" s="159"/>
      <c r="AT268" s="160" t="str">
        <f>Calculo!AQ268</f>
        <v>N/A</v>
      </c>
      <c r="AU268" s="161" t="str">
        <f>Calculo!AV268</f>
        <v>N/A</v>
      </c>
      <c r="AV268" s="162" t="str">
        <f>Calculo!AW268</f>
        <v>N/A</v>
      </c>
      <c r="AW268" s="161" t="b">
        <f>Calculo!AX268</f>
        <v>0</v>
      </c>
      <c r="AX268" s="161" t="str">
        <f>Calculo!K268</f>
        <v>N/A</v>
      </c>
      <c r="AY268" s="161" t="str">
        <f>Calculo!AY268</f>
        <v>N/A</v>
      </c>
      <c r="AZ268" s="161" t="str">
        <f>Calculo!AZ268</f>
        <v>N/A</v>
      </c>
      <c r="BA268" s="163"/>
    </row>
    <row r="269" ht="12.0" customHeight="1">
      <c r="A269" s="88" t="str">
        <f>'Parâmetros'!$A$19</f>
        <v>Rel. Básico PJ</v>
      </c>
      <c r="B269" s="146"/>
      <c r="C269" s="146"/>
      <c r="D269" s="146"/>
      <c r="E269" s="149"/>
      <c r="F269" s="151"/>
      <c r="G269" s="151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53"/>
      <c r="AC269" s="146"/>
      <c r="AD269" s="151"/>
      <c r="AE269" s="151"/>
      <c r="AF269" s="151"/>
      <c r="AG269" s="151"/>
      <c r="AH269" s="151"/>
      <c r="AI269" s="151"/>
      <c r="AJ269" s="146"/>
      <c r="AK269" s="155"/>
      <c r="AL269" s="151"/>
      <c r="AM269" s="151"/>
      <c r="AN269" s="151"/>
      <c r="AO269" s="151"/>
      <c r="AP269" s="151"/>
      <c r="AQ269" s="157"/>
      <c r="AR269" s="151"/>
      <c r="AS269" s="159"/>
      <c r="AT269" s="160" t="str">
        <f>Calculo!AQ269</f>
        <v>N/A</v>
      </c>
      <c r="AU269" s="161" t="str">
        <f>Calculo!AV269</f>
        <v>N/A</v>
      </c>
      <c r="AV269" s="162" t="str">
        <f>Calculo!AW269</f>
        <v>N/A</v>
      </c>
      <c r="AW269" s="161" t="b">
        <f>Calculo!AX269</f>
        <v>0</v>
      </c>
      <c r="AX269" s="161" t="str">
        <f>Calculo!K269</f>
        <v>N/A</v>
      </c>
      <c r="AY269" s="161" t="str">
        <f>Calculo!AY269</f>
        <v>N/A</v>
      </c>
      <c r="AZ269" s="161" t="str">
        <f>Calculo!AZ269</f>
        <v>N/A</v>
      </c>
      <c r="BA269" s="163"/>
    </row>
    <row r="270" ht="12.0" customHeight="1">
      <c r="A270" s="88" t="str">
        <f>'Parâmetros'!$A$19</f>
        <v>Rel. Básico PJ</v>
      </c>
      <c r="B270" s="146"/>
      <c r="C270" s="146"/>
      <c r="D270" s="146"/>
      <c r="E270" s="149"/>
      <c r="F270" s="151"/>
      <c r="G270" s="151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53"/>
      <c r="AC270" s="146"/>
      <c r="AD270" s="151"/>
      <c r="AE270" s="151"/>
      <c r="AF270" s="151"/>
      <c r="AG270" s="151"/>
      <c r="AH270" s="151"/>
      <c r="AI270" s="151"/>
      <c r="AJ270" s="146"/>
      <c r="AK270" s="155"/>
      <c r="AL270" s="151"/>
      <c r="AM270" s="151"/>
      <c r="AN270" s="151"/>
      <c r="AO270" s="151"/>
      <c r="AP270" s="151"/>
      <c r="AQ270" s="157"/>
      <c r="AR270" s="151"/>
      <c r="AS270" s="159"/>
      <c r="AT270" s="160" t="str">
        <f>Calculo!AQ270</f>
        <v>N/A</v>
      </c>
      <c r="AU270" s="161" t="str">
        <f>Calculo!AV270</f>
        <v>N/A</v>
      </c>
      <c r="AV270" s="162" t="str">
        <f>Calculo!AW270</f>
        <v>N/A</v>
      </c>
      <c r="AW270" s="161" t="b">
        <f>Calculo!AX270</f>
        <v>0</v>
      </c>
      <c r="AX270" s="161" t="str">
        <f>Calculo!K270</f>
        <v>N/A</v>
      </c>
      <c r="AY270" s="161" t="str">
        <f>Calculo!AY270</f>
        <v>N/A</v>
      </c>
      <c r="AZ270" s="161" t="str">
        <f>Calculo!AZ270</f>
        <v>N/A</v>
      </c>
      <c r="BA270" s="163"/>
    </row>
    <row r="271" ht="12.0" customHeight="1">
      <c r="A271" s="88" t="str">
        <f>'Parâmetros'!$A$19</f>
        <v>Rel. Básico PJ</v>
      </c>
      <c r="B271" s="146"/>
      <c r="C271" s="146"/>
      <c r="D271" s="146"/>
      <c r="E271" s="149"/>
      <c r="F271" s="151"/>
      <c r="G271" s="151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53"/>
      <c r="AC271" s="146"/>
      <c r="AD271" s="151"/>
      <c r="AE271" s="151"/>
      <c r="AF271" s="151"/>
      <c r="AG271" s="151"/>
      <c r="AH271" s="151"/>
      <c r="AI271" s="151"/>
      <c r="AJ271" s="146"/>
      <c r="AK271" s="155"/>
      <c r="AL271" s="151"/>
      <c r="AM271" s="151"/>
      <c r="AN271" s="151"/>
      <c r="AO271" s="151"/>
      <c r="AP271" s="151"/>
      <c r="AQ271" s="157"/>
      <c r="AR271" s="151"/>
      <c r="AS271" s="159"/>
      <c r="AT271" s="160" t="str">
        <f>Calculo!AQ271</f>
        <v>N/A</v>
      </c>
      <c r="AU271" s="161" t="str">
        <f>Calculo!AV271</f>
        <v>N/A</v>
      </c>
      <c r="AV271" s="162" t="str">
        <f>Calculo!AW271</f>
        <v>N/A</v>
      </c>
      <c r="AW271" s="161" t="b">
        <f>Calculo!AX271</f>
        <v>0</v>
      </c>
      <c r="AX271" s="161" t="str">
        <f>Calculo!K271</f>
        <v>N/A</v>
      </c>
      <c r="AY271" s="161" t="str">
        <f>Calculo!AY271</f>
        <v>N/A</v>
      </c>
      <c r="AZ271" s="161" t="str">
        <f>Calculo!AZ271</f>
        <v>N/A</v>
      </c>
      <c r="BA271" s="163"/>
    </row>
    <row r="272" ht="12.0" customHeight="1">
      <c r="A272" s="88" t="str">
        <f>'Parâmetros'!$A$19</f>
        <v>Rel. Básico PJ</v>
      </c>
      <c r="B272" s="146"/>
      <c r="C272" s="146"/>
      <c r="D272" s="146"/>
      <c r="E272" s="149"/>
      <c r="F272" s="151"/>
      <c r="G272" s="151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53"/>
      <c r="AC272" s="146"/>
      <c r="AD272" s="151"/>
      <c r="AE272" s="151"/>
      <c r="AF272" s="151"/>
      <c r="AG272" s="151"/>
      <c r="AH272" s="151"/>
      <c r="AI272" s="151"/>
      <c r="AJ272" s="146"/>
      <c r="AK272" s="155"/>
      <c r="AL272" s="151"/>
      <c r="AM272" s="151"/>
      <c r="AN272" s="151"/>
      <c r="AO272" s="151"/>
      <c r="AP272" s="151"/>
      <c r="AQ272" s="157"/>
      <c r="AR272" s="151"/>
      <c r="AS272" s="159"/>
      <c r="AT272" s="160" t="str">
        <f>Calculo!AQ272</f>
        <v>N/A</v>
      </c>
      <c r="AU272" s="161" t="str">
        <f>Calculo!AV272</f>
        <v>N/A</v>
      </c>
      <c r="AV272" s="162" t="str">
        <f>Calculo!AW272</f>
        <v>N/A</v>
      </c>
      <c r="AW272" s="161" t="b">
        <f>Calculo!AX272</f>
        <v>0</v>
      </c>
      <c r="AX272" s="161" t="str">
        <f>Calculo!K272</f>
        <v>N/A</v>
      </c>
      <c r="AY272" s="161" t="str">
        <f>Calculo!AY272</f>
        <v>N/A</v>
      </c>
      <c r="AZ272" s="161" t="str">
        <f>Calculo!AZ272</f>
        <v>N/A</v>
      </c>
      <c r="BA272" s="163"/>
    </row>
    <row r="273" ht="12.0" customHeight="1">
      <c r="A273" s="88" t="str">
        <f>'Parâmetros'!$A$19</f>
        <v>Rel. Básico PJ</v>
      </c>
      <c r="B273" s="146"/>
      <c r="C273" s="146"/>
      <c r="D273" s="146"/>
      <c r="E273" s="149"/>
      <c r="F273" s="151"/>
      <c r="G273" s="151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53"/>
      <c r="AC273" s="146"/>
      <c r="AD273" s="151"/>
      <c r="AE273" s="151"/>
      <c r="AF273" s="151"/>
      <c r="AG273" s="151"/>
      <c r="AH273" s="151"/>
      <c r="AI273" s="151"/>
      <c r="AJ273" s="146"/>
      <c r="AK273" s="155"/>
      <c r="AL273" s="151"/>
      <c r="AM273" s="151"/>
      <c r="AN273" s="151"/>
      <c r="AO273" s="151"/>
      <c r="AP273" s="151"/>
      <c r="AQ273" s="157"/>
      <c r="AR273" s="151"/>
      <c r="AS273" s="159"/>
      <c r="AT273" s="160" t="str">
        <f>Calculo!AQ273</f>
        <v>N/A</v>
      </c>
      <c r="AU273" s="161" t="str">
        <f>Calculo!AV273</f>
        <v>N/A</v>
      </c>
      <c r="AV273" s="162" t="str">
        <f>Calculo!AW273</f>
        <v>N/A</v>
      </c>
      <c r="AW273" s="161" t="b">
        <f>Calculo!AX273</f>
        <v>0</v>
      </c>
      <c r="AX273" s="161" t="str">
        <f>Calculo!K273</f>
        <v>N/A</v>
      </c>
      <c r="AY273" s="161" t="str">
        <f>Calculo!AY273</f>
        <v>N/A</v>
      </c>
      <c r="AZ273" s="161" t="str">
        <f>Calculo!AZ273</f>
        <v>N/A</v>
      </c>
      <c r="BA273" s="163"/>
    </row>
    <row r="274" ht="12.0" customHeight="1">
      <c r="A274" s="88" t="str">
        <f>'Parâmetros'!$A$19</f>
        <v>Rel. Básico PJ</v>
      </c>
      <c r="B274" s="146"/>
      <c r="C274" s="146"/>
      <c r="D274" s="146"/>
      <c r="E274" s="149"/>
      <c r="F274" s="151"/>
      <c r="G274" s="151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53"/>
      <c r="AC274" s="146"/>
      <c r="AD274" s="151"/>
      <c r="AE274" s="151"/>
      <c r="AF274" s="151"/>
      <c r="AG274" s="151"/>
      <c r="AH274" s="151"/>
      <c r="AI274" s="151"/>
      <c r="AJ274" s="146"/>
      <c r="AK274" s="155"/>
      <c r="AL274" s="151"/>
      <c r="AM274" s="151"/>
      <c r="AN274" s="151"/>
      <c r="AO274" s="151"/>
      <c r="AP274" s="151"/>
      <c r="AQ274" s="157"/>
      <c r="AR274" s="151"/>
      <c r="AS274" s="159"/>
      <c r="AT274" s="160" t="str">
        <f>Calculo!AQ274</f>
        <v>N/A</v>
      </c>
      <c r="AU274" s="161" t="str">
        <f>Calculo!AV274</f>
        <v>N/A</v>
      </c>
      <c r="AV274" s="162" t="str">
        <f>Calculo!AW274</f>
        <v>N/A</v>
      </c>
      <c r="AW274" s="161" t="b">
        <f>Calculo!AX274</f>
        <v>0</v>
      </c>
      <c r="AX274" s="161" t="str">
        <f>Calculo!K274</f>
        <v>N/A</v>
      </c>
      <c r="AY274" s="161" t="str">
        <f>Calculo!AY274</f>
        <v>N/A</v>
      </c>
      <c r="AZ274" s="161" t="str">
        <f>Calculo!AZ274</f>
        <v>N/A</v>
      </c>
      <c r="BA274" s="163"/>
    </row>
    <row r="275" ht="12.0" customHeight="1">
      <c r="A275" s="88" t="str">
        <f>'Parâmetros'!$A$19</f>
        <v>Rel. Básico PJ</v>
      </c>
      <c r="B275" s="146"/>
      <c r="C275" s="146"/>
      <c r="D275" s="146"/>
      <c r="E275" s="149"/>
      <c r="F275" s="151"/>
      <c r="G275" s="151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53"/>
      <c r="AC275" s="146"/>
      <c r="AD275" s="151"/>
      <c r="AE275" s="151"/>
      <c r="AF275" s="151"/>
      <c r="AG275" s="151"/>
      <c r="AH275" s="151"/>
      <c r="AI275" s="151"/>
      <c r="AJ275" s="146"/>
      <c r="AK275" s="155"/>
      <c r="AL275" s="151"/>
      <c r="AM275" s="151"/>
      <c r="AN275" s="151"/>
      <c r="AO275" s="151"/>
      <c r="AP275" s="151"/>
      <c r="AQ275" s="157"/>
      <c r="AR275" s="151"/>
      <c r="AS275" s="159"/>
      <c r="AT275" s="160" t="str">
        <f>Calculo!AQ275</f>
        <v>N/A</v>
      </c>
      <c r="AU275" s="161" t="str">
        <f>Calculo!AV275</f>
        <v>N/A</v>
      </c>
      <c r="AV275" s="162" t="str">
        <f>Calculo!AW275</f>
        <v>N/A</v>
      </c>
      <c r="AW275" s="161" t="b">
        <f>Calculo!AX275</f>
        <v>0</v>
      </c>
      <c r="AX275" s="161" t="str">
        <f>Calculo!K275</f>
        <v>N/A</v>
      </c>
      <c r="AY275" s="161" t="str">
        <f>Calculo!AY275</f>
        <v>N/A</v>
      </c>
      <c r="AZ275" s="161" t="str">
        <f>Calculo!AZ275</f>
        <v>N/A</v>
      </c>
      <c r="BA275" s="163"/>
    </row>
    <row r="276" ht="12.0" customHeight="1">
      <c r="A276" s="88" t="str">
        <f>'Parâmetros'!$A$19</f>
        <v>Rel. Básico PJ</v>
      </c>
      <c r="B276" s="146"/>
      <c r="C276" s="146"/>
      <c r="D276" s="146"/>
      <c r="E276" s="149"/>
      <c r="F276" s="151"/>
      <c r="G276" s="151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53"/>
      <c r="AC276" s="146"/>
      <c r="AD276" s="151"/>
      <c r="AE276" s="151"/>
      <c r="AF276" s="151"/>
      <c r="AG276" s="151"/>
      <c r="AH276" s="151"/>
      <c r="AI276" s="151"/>
      <c r="AJ276" s="146"/>
      <c r="AK276" s="155"/>
      <c r="AL276" s="151"/>
      <c r="AM276" s="151"/>
      <c r="AN276" s="151"/>
      <c r="AO276" s="151"/>
      <c r="AP276" s="151"/>
      <c r="AQ276" s="157"/>
      <c r="AR276" s="151"/>
      <c r="AS276" s="159"/>
      <c r="AT276" s="160" t="str">
        <f>Calculo!AQ276</f>
        <v>N/A</v>
      </c>
      <c r="AU276" s="161" t="str">
        <f>Calculo!AV276</f>
        <v>N/A</v>
      </c>
      <c r="AV276" s="162" t="str">
        <f>Calculo!AW276</f>
        <v>N/A</v>
      </c>
      <c r="AW276" s="161" t="b">
        <f>Calculo!AX276</f>
        <v>0</v>
      </c>
      <c r="AX276" s="161" t="str">
        <f>Calculo!K276</f>
        <v>N/A</v>
      </c>
      <c r="AY276" s="161" t="str">
        <f>Calculo!AY276</f>
        <v>N/A</v>
      </c>
      <c r="AZ276" s="161" t="str">
        <f>Calculo!AZ276</f>
        <v>N/A</v>
      </c>
      <c r="BA276" s="163"/>
    </row>
    <row r="277" ht="12.0" customHeight="1">
      <c r="A277" s="88" t="str">
        <f>'Parâmetros'!$A$19</f>
        <v>Rel. Básico PJ</v>
      </c>
      <c r="B277" s="146"/>
      <c r="C277" s="146"/>
      <c r="D277" s="146"/>
      <c r="E277" s="149"/>
      <c r="F277" s="151"/>
      <c r="G277" s="151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53"/>
      <c r="AC277" s="146"/>
      <c r="AD277" s="151"/>
      <c r="AE277" s="151"/>
      <c r="AF277" s="151"/>
      <c r="AG277" s="151"/>
      <c r="AH277" s="151"/>
      <c r="AI277" s="151"/>
      <c r="AJ277" s="146"/>
      <c r="AK277" s="155"/>
      <c r="AL277" s="151"/>
      <c r="AM277" s="151"/>
      <c r="AN277" s="151"/>
      <c r="AO277" s="151"/>
      <c r="AP277" s="151"/>
      <c r="AQ277" s="157"/>
      <c r="AR277" s="151"/>
      <c r="AS277" s="159"/>
      <c r="AT277" s="160" t="str">
        <f>Calculo!AQ277</f>
        <v>N/A</v>
      </c>
      <c r="AU277" s="161" t="str">
        <f>Calculo!AV277</f>
        <v>N/A</v>
      </c>
      <c r="AV277" s="162" t="str">
        <f>Calculo!AW277</f>
        <v>N/A</v>
      </c>
      <c r="AW277" s="161" t="b">
        <f>Calculo!AX277</f>
        <v>0</v>
      </c>
      <c r="AX277" s="161" t="str">
        <f>Calculo!K277</f>
        <v>N/A</v>
      </c>
      <c r="AY277" s="161" t="str">
        <f>Calculo!AY277</f>
        <v>N/A</v>
      </c>
      <c r="AZ277" s="161" t="str">
        <f>Calculo!AZ277</f>
        <v>N/A</v>
      </c>
      <c r="BA277" s="163"/>
    </row>
    <row r="278" ht="12.0" customHeight="1">
      <c r="A278" s="88" t="str">
        <f>'Parâmetros'!$A$19</f>
        <v>Rel. Básico PJ</v>
      </c>
      <c r="B278" s="146"/>
      <c r="C278" s="146"/>
      <c r="D278" s="146"/>
      <c r="E278" s="149"/>
      <c r="F278" s="151"/>
      <c r="G278" s="151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53"/>
      <c r="AC278" s="146"/>
      <c r="AD278" s="151"/>
      <c r="AE278" s="151"/>
      <c r="AF278" s="151"/>
      <c r="AG278" s="151"/>
      <c r="AH278" s="151"/>
      <c r="AI278" s="151"/>
      <c r="AJ278" s="146"/>
      <c r="AK278" s="155"/>
      <c r="AL278" s="151"/>
      <c r="AM278" s="151"/>
      <c r="AN278" s="151"/>
      <c r="AO278" s="151"/>
      <c r="AP278" s="151"/>
      <c r="AQ278" s="157"/>
      <c r="AR278" s="151"/>
      <c r="AS278" s="159"/>
      <c r="AT278" s="160" t="str">
        <f>Calculo!AQ278</f>
        <v>N/A</v>
      </c>
      <c r="AU278" s="161" t="str">
        <f>Calculo!AV278</f>
        <v>N/A</v>
      </c>
      <c r="AV278" s="162" t="str">
        <f>Calculo!AW278</f>
        <v>N/A</v>
      </c>
      <c r="AW278" s="161" t="b">
        <f>Calculo!AX278</f>
        <v>0</v>
      </c>
      <c r="AX278" s="161" t="str">
        <f>Calculo!K278</f>
        <v>N/A</v>
      </c>
      <c r="AY278" s="161" t="str">
        <f>Calculo!AY278</f>
        <v>N/A</v>
      </c>
      <c r="AZ278" s="161" t="str">
        <f>Calculo!AZ278</f>
        <v>N/A</v>
      </c>
      <c r="BA278" s="163"/>
    </row>
    <row r="279" ht="12.0" customHeight="1">
      <c r="A279" s="88" t="str">
        <f>'Parâmetros'!$A$19</f>
        <v>Rel. Básico PJ</v>
      </c>
      <c r="B279" s="146"/>
      <c r="C279" s="146"/>
      <c r="D279" s="146"/>
      <c r="E279" s="149"/>
      <c r="F279" s="151"/>
      <c r="G279" s="151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53"/>
      <c r="AC279" s="146"/>
      <c r="AD279" s="151"/>
      <c r="AE279" s="151"/>
      <c r="AF279" s="151"/>
      <c r="AG279" s="151"/>
      <c r="AH279" s="151"/>
      <c r="AI279" s="151"/>
      <c r="AJ279" s="146"/>
      <c r="AK279" s="155"/>
      <c r="AL279" s="151"/>
      <c r="AM279" s="151"/>
      <c r="AN279" s="151"/>
      <c r="AO279" s="151"/>
      <c r="AP279" s="151"/>
      <c r="AQ279" s="157"/>
      <c r="AR279" s="151"/>
      <c r="AS279" s="159"/>
      <c r="AT279" s="160" t="str">
        <f>Calculo!AQ279</f>
        <v>N/A</v>
      </c>
      <c r="AU279" s="161" t="str">
        <f>Calculo!AV279</f>
        <v>N/A</v>
      </c>
      <c r="AV279" s="162" t="str">
        <f>Calculo!AW279</f>
        <v>N/A</v>
      </c>
      <c r="AW279" s="161" t="b">
        <f>Calculo!AX279</f>
        <v>0</v>
      </c>
      <c r="AX279" s="161" t="str">
        <f>Calculo!K279</f>
        <v>N/A</v>
      </c>
      <c r="AY279" s="161" t="str">
        <f>Calculo!AY279</f>
        <v>N/A</v>
      </c>
      <c r="AZ279" s="161" t="str">
        <f>Calculo!AZ279</f>
        <v>N/A</v>
      </c>
      <c r="BA279" s="163"/>
    </row>
    <row r="280" ht="12.0" customHeight="1">
      <c r="A280" s="88" t="str">
        <f>'Parâmetros'!$A$19</f>
        <v>Rel. Básico PJ</v>
      </c>
      <c r="B280" s="146"/>
      <c r="C280" s="146"/>
      <c r="D280" s="146"/>
      <c r="E280" s="149"/>
      <c r="F280" s="151"/>
      <c r="G280" s="151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53"/>
      <c r="AC280" s="146"/>
      <c r="AD280" s="151"/>
      <c r="AE280" s="151"/>
      <c r="AF280" s="151"/>
      <c r="AG280" s="151"/>
      <c r="AH280" s="151"/>
      <c r="AI280" s="151"/>
      <c r="AJ280" s="146"/>
      <c r="AK280" s="155"/>
      <c r="AL280" s="151"/>
      <c r="AM280" s="151"/>
      <c r="AN280" s="151"/>
      <c r="AO280" s="151"/>
      <c r="AP280" s="151"/>
      <c r="AQ280" s="157"/>
      <c r="AR280" s="151"/>
      <c r="AS280" s="159"/>
      <c r="AT280" s="160" t="str">
        <f>Calculo!AQ280</f>
        <v>N/A</v>
      </c>
      <c r="AU280" s="161" t="str">
        <f>Calculo!AV280</f>
        <v>N/A</v>
      </c>
      <c r="AV280" s="162" t="str">
        <f>Calculo!AW280</f>
        <v>N/A</v>
      </c>
      <c r="AW280" s="161" t="b">
        <f>Calculo!AX280</f>
        <v>0</v>
      </c>
      <c r="AX280" s="161" t="str">
        <f>Calculo!K280</f>
        <v>N/A</v>
      </c>
      <c r="AY280" s="161" t="str">
        <f>Calculo!AY280</f>
        <v>N/A</v>
      </c>
      <c r="AZ280" s="161" t="str">
        <f>Calculo!AZ280</f>
        <v>N/A</v>
      </c>
      <c r="BA280" s="163"/>
    </row>
    <row r="281" ht="12.0" customHeight="1">
      <c r="A281" s="88" t="str">
        <f>'Parâmetros'!$A$19</f>
        <v>Rel. Básico PJ</v>
      </c>
      <c r="B281" s="146"/>
      <c r="C281" s="146"/>
      <c r="D281" s="146"/>
      <c r="E281" s="149"/>
      <c r="F281" s="151"/>
      <c r="G281" s="151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53"/>
      <c r="AC281" s="146"/>
      <c r="AD281" s="151"/>
      <c r="AE281" s="151"/>
      <c r="AF281" s="151"/>
      <c r="AG281" s="151"/>
      <c r="AH281" s="151"/>
      <c r="AI281" s="151"/>
      <c r="AJ281" s="146"/>
      <c r="AK281" s="155"/>
      <c r="AL281" s="151"/>
      <c r="AM281" s="151"/>
      <c r="AN281" s="151"/>
      <c r="AO281" s="151"/>
      <c r="AP281" s="151"/>
      <c r="AQ281" s="157"/>
      <c r="AR281" s="151"/>
      <c r="AS281" s="159"/>
      <c r="AT281" s="160" t="str">
        <f>Calculo!AQ281</f>
        <v>N/A</v>
      </c>
      <c r="AU281" s="161" t="str">
        <f>Calculo!AV281</f>
        <v>N/A</v>
      </c>
      <c r="AV281" s="162" t="str">
        <f>Calculo!AW281</f>
        <v>N/A</v>
      </c>
      <c r="AW281" s="161" t="b">
        <f>Calculo!AX281</f>
        <v>0</v>
      </c>
      <c r="AX281" s="161" t="str">
        <f>Calculo!K281</f>
        <v>N/A</v>
      </c>
      <c r="AY281" s="161" t="str">
        <f>Calculo!AY281</f>
        <v>N/A</v>
      </c>
      <c r="AZ281" s="161" t="str">
        <f>Calculo!AZ281</f>
        <v>N/A</v>
      </c>
      <c r="BA281" s="163"/>
    </row>
    <row r="282" ht="12.0" customHeight="1">
      <c r="A282" s="88" t="str">
        <f>'Parâmetros'!$A$19</f>
        <v>Rel. Básico PJ</v>
      </c>
      <c r="B282" s="146"/>
      <c r="C282" s="146"/>
      <c r="D282" s="146"/>
      <c r="E282" s="149"/>
      <c r="F282" s="151"/>
      <c r="G282" s="151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53"/>
      <c r="AC282" s="146"/>
      <c r="AD282" s="151"/>
      <c r="AE282" s="151"/>
      <c r="AF282" s="151"/>
      <c r="AG282" s="151"/>
      <c r="AH282" s="151"/>
      <c r="AI282" s="151"/>
      <c r="AJ282" s="146"/>
      <c r="AK282" s="155"/>
      <c r="AL282" s="151"/>
      <c r="AM282" s="151"/>
      <c r="AN282" s="151"/>
      <c r="AO282" s="151"/>
      <c r="AP282" s="151"/>
      <c r="AQ282" s="157"/>
      <c r="AR282" s="151"/>
      <c r="AS282" s="159"/>
      <c r="AT282" s="160" t="str">
        <f>Calculo!AQ282</f>
        <v>N/A</v>
      </c>
      <c r="AU282" s="161" t="str">
        <f>Calculo!AV282</f>
        <v>N/A</v>
      </c>
      <c r="AV282" s="162" t="str">
        <f>Calculo!AW282</f>
        <v>N/A</v>
      </c>
      <c r="AW282" s="161" t="b">
        <f>Calculo!AX282</f>
        <v>0</v>
      </c>
      <c r="AX282" s="161" t="str">
        <f>Calculo!K282</f>
        <v>N/A</v>
      </c>
      <c r="AY282" s="161" t="str">
        <f>Calculo!AY282</f>
        <v>N/A</v>
      </c>
      <c r="AZ282" s="161" t="str">
        <f>Calculo!AZ282</f>
        <v>N/A</v>
      </c>
      <c r="BA282" s="163"/>
    </row>
    <row r="283" ht="12.0" customHeight="1">
      <c r="A283" s="88" t="str">
        <f>'Parâmetros'!$A$19</f>
        <v>Rel. Básico PJ</v>
      </c>
      <c r="B283" s="146"/>
      <c r="C283" s="146"/>
      <c r="D283" s="146"/>
      <c r="E283" s="149"/>
      <c r="F283" s="151"/>
      <c r="G283" s="151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53"/>
      <c r="AC283" s="146"/>
      <c r="AD283" s="151"/>
      <c r="AE283" s="151"/>
      <c r="AF283" s="151"/>
      <c r="AG283" s="151"/>
      <c r="AH283" s="151"/>
      <c r="AI283" s="151"/>
      <c r="AJ283" s="146"/>
      <c r="AK283" s="155"/>
      <c r="AL283" s="151"/>
      <c r="AM283" s="151"/>
      <c r="AN283" s="151"/>
      <c r="AO283" s="151"/>
      <c r="AP283" s="151"/>
      <c r="AQ283" s="157"/>
      <c r="AR283" s="151"/>
      <c r="AS283" s="159"/>
      <c r="AT283" s="160" t="str">
        <f>Calculo!AQ283</f>
        <v>N/A</v>
      </c>
      <c r="AU283" s="161" t="str">
        <f>Calculo!AV283</f>
        <v>N/A</v>
      </c>
      <c r="AV283" s="162" t="str">
        <f>Calculo!AW283</f>
        <v>N/A</v>
      </c>
      <c r="AW283" s="161" t="b">
        <f>Calculo!AX283</f>
        <v>0</v>
      </c>
      <c r="AX283" s="161" t="str">
        <f>Calculo!K283</f>
        <v>N/A</v>
      </c>
      <c r="AY283" s="161" t="str">
        <f>Calculo!AY283</f>
        <v>N/A</v>
      </c>
      <c r="AZ283" s="161" t="str">
        <f>Calculo!AZ283</f>
        <v>N/A</v>
      </c>
      <c r="BA283" s="163"/>
    </row>
    <row r="284" ht="12.0" customHeight="1">
      <c r="A284" s="88" t="str">
        <f>'Parâmetros'!$A$19</f>
        <v>Rel. Básico PJ</v>
      </c>
      <c r="B284" s="146"/>
      <c r="C284" s="146"/>
      <c r="D284" s="146"/>
      <c r="E284" s="149"/>
      <c r="F284" s="151"/>
      <c r="G284" s="151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53"/>
      <c r="AC284" s="146"/>
      <c r="AD284" s="151"/>
      <c r="AE284" s="151"/>
      <c r="AF284" s="151"/>
      <c r="AG284" s="151"/>
      <c r="AH284" s="151"/>
      <c r="AI284" s="151"/>
      <c r="AJ284" s="146"/>
      <c r="AK284" s="155"/>
      <c r="AL284" s="151"/>
      <c r="AM284" s="151"/>
      <c r="AN284" s="151"/>
      <c r="AO284" s="151"/>
      <c r="AP284" s="151"/>
      <c r="AQ284" s="157"/>
      <c r="AR284" s="151"/>
      <c r="AS284" s="159"/>
      <c r="AT284" s="160" t="str">
        <f>Calculo!AQ284</f>
        <v>N/A</v>
      </c>
      <c r="AU284" s="161" t="str">
        <f>Calculo!AV284</f>
        <v>N/A</v>
      </c>
      <c r="AV284" s="162" t="str">
        <f>Calculo!AW284</f>
        <v>N/A</v>
      </c>
      <c r="AW284" s="161" t="b">
        <f>Calculo!AX284</f>
        <v>0</v>
      </c>
      <c r="AX284" s="161" t="str">
        <f>Calculo!K284</f>
        <v>N/A</v>
      </c>
      <c r="AY284" s="161" t="str">
        <f>Calculo!AY284</f>
        <v>N/A</v>
      </c>
      <c r="AZ284" s="161" t="str">
        <f>Calculo!AZ284</f>
        <v>N/A</v>
      </c>
      <c r="BA284" s="163"/>
    </row>
    <row r="285" ht="12.0" customHeight="1">
      <c r="A285" s="88" t="str">
        <f>'Parâmetros'!$A$19</f>
        <v>Rel. Básico PJ</v>
      </c>
      <c r="B285" s="146"/>
      <c r="C285" s="146"/>
      <c r="D285" s="146"/>
      <c r="E285" s="149"/>
      <c r="F285" s="151"/>
      <c r="G285" s="151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53"/>
      <c r="AC285" s="146"/>
      <c r="AD285" s="151"/>
      <c r="AE285" s="151"/>
      <c r="AF285" s="151"/>
      <c r="AG285" s="151"/>
      <c r="AH285" s="151"/>
      <c r="AI285" s="151"/>
      <c r="AJ285" s="146"/>
      <c r="AK285" s="155"/>
      <c r="AL285" s="151"/>
      <c r="AM285" s="151"/>
      <c r="AN285" s="151"/>
      <c r="AO285" s="151"/>
      <c r="AP285" s="151"/>
      <c r="AQ285" s="157"/>
      <c r="AR285" s="151"/>
      <c r="AS285" s="159"/>
      <c r="AT285" s="160" t="str">
        <f>Calculo!AQ285</f>
        <v>N/A</v>
      </c>
      <c r="AU285" s="161" t="str">
        <f>Calculo!AV285</f>
        <v>N/A</v>
      </c>
      <c r="AV285" s="162" t="str">
        <f>Calculo!AW285</f>
        <v>N/A</v>
      </c>
      <c r="AW285" s="161" t="b">
        <f>Calculo!AX285</f>
        <v>0</v>
      </c>
      <c r="AX285" s="161" t="str">
        <f>Calculo!K285</f>
        <v>N/A</v>
      </c>
      <c r="AY285" s="161" t="str">
        <f>Calculo!AY285</f>
        <v>N/A</v>
      </c>
      <c r="AZ285" s="161" t="str">
        <f>Calculo!AZ285</f>
        <v>N/A</v>
      </c>
      <c r="BA285" s="163"/>
    </row>
    <row r="286" ht="12.0" customHeight="1">
      <c r="A286" s="88" t="str">
        <f>'Parâmetros'!$A$19</f>
        <v>Rel. Básico PJ</v>
      </c>
      <c r="B286" s="146"/>
      <c r="C286" s="146"/>
      <c r="D286" s="146"/>
      <c r="E286" s="149"/>
      <c r="F286" s="151"/>
      <c r="G286" s="151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53"/>
      <c r="AC286" s="146"/>
      <c r="AD286" s="151"/>
      <c r="AE286" s="151"/>
      <c r="AF286" s="151"/>
      <c r="AG286" s="151"/>
      <c r="AH286" s="151"/>
      <c r="AI286" s="151"/>
      <c r="AJ286" s="146"/>
      <c r="AK286" s="155"/>
      <c r="AL286" s="151"/>
      <c r="AM286" s="151"/>
      <c r="AN286" s="151"/>
      <c r="AO286" s="151"/>
      <c r="AP286" s="151"/>
      <c r="AQ286" s="157"/>
      <c r="AR286" s="151"/>
      <c r="AS286" s="159"/>
      <c r="AT286" s="160" t="str">
        <f>Calculo!AQ286</f>
        <v>N/A</v>
      </c>
      <c r="AU286" s="161" t="str">
        <f>Calculo!AV286</f>
        <v>N/A</v>
      </c>
      <c r="AV286" s="162" t="str">
        <f>Calculo!AW286</f>
        <v>N/A</v>
      </c>
      <c r="AW286" s="161" t="b">
        <f>Calculo!AX286</f>
        <v>0</v>
      </c>
      <c r="AX286" s="161" t="str">
        <f>Calculo!K286</f>
        <v>N/A</v>
      </c>
      <c r="AY286" s="161" t="str">
        <f>Calculo!AY286</f>
        <v>N/A</v>
      </c>
      <c r="AZ286" s="161" t="str">
        <f>Calculo!AZ286</f>
        <v>N/A</v>
      </c>
      <c r="BA286" s="163"/>
    </row>
    <row r="287" ht="12.0" customHeight="1">
      <c r="A287" s="88" t="str">
        <f>'Parâmetros'!$A$19</f>
        <v>Rel. Básico PJ</v>
      </c>
      <c r="B287" s="146"/>
      <c r="C287" s="146"/>
      <c r="D287" s="146"/>
      <c r="E287" s="149"/>
      <c r="F287" s="151"/>
      <c r="G287" s="151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53"/>
      <c r="AC287" s="146"/>
      <c r="AD287" s="151"/>
      <c r="AE287" s="151"/>
      <c r="AF287" s="151"/>
      <c r="AG287" s="151"/>
      <c r="AH287" s="151"/>
      <c r="AI287" s="151"/>
      <c r="AJ287" s="146"/>
      <c r="AK287" s="155"/>
      <c r="AL287" s="151"/>
      <c r="AM287" s="151"/>
      <c r="AN287" s="151"/>
      <c r="AO287" s="151"/>
      <c r="AP287" s="151"/>
      <c r="AQ287" s="157"/>
      <c r="AR287" s="151"/>
      <c r="AS287" s="159"/>
      <c r="AT287" s="160" t="str">
        <f>Calculo!AQ287</f>
        <v>N/A</v>
      </c>
      <c r="AU287" s="161" t="str">
        <f>Calculo!AV287</f>
        <v>N/A</v>
      </c>
      <c r="AV287" s="162" t="str">
        <f>Calculo!AW287</f>
        <v>N/A</v>
      </c>
      <c r="AW287" s="161" t="b">
        <f>Calculo!AX287</f>
        <v>0</v>
      </c>
      <c r="AX287" s="161" t="str">
        <f>Calculo!K287</f>
        <v>N/A</v>
      </c>
      <c r="AY287" s="161" t="str">
        <f>Calculo!AY287</f>
        <v>N/A</v>
      </c>
      <c r="AZ287" s="161" t="str">
        <f>Calculo!AZ287</f>
        <v>N/A</v>
      </c>
      <c r="BA287" s="163"/>
    </row>
    <row r="288" ht="12.0" customHeight="1">
      <c r="A288" s="88" t="str">
        <f>'Parâmetros'!$A$19</f>
        <v>Rel. Básico PJ</v>
      </c>
      <c r="B288" s="146"/>
      <c r="C288" s="146"/>
      <c r="D288" s="146"/>
      <c r="E288" s="149"/>
      <c r="F288" s="151"/>
      <c r="G288" s="151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53"/>
      <c r="AC288" s="146"/>
      <c r="AD288" s="151"/>
      <c r="AE288" s="151"/>
      <c r="AF288" s="151"/>
      <c r="AG288" s="151"/>
      <c r="AH288" s="151"/>
      <c r="AI288" s="151"/>
      <c r="AJ288" s="146"/>
      <c r="AK288" s="155"/>
      <c r="AL288" s="151"/>
      <c r="AM288" s="151"/>
      <c r="AN288" s="151"/>
      <c r="AO288" s="151"/>
      <c r="AP288" s="151"/>
      <c r="AQ288" s="157"/>
      <c r="AR288" s="151"/>
      <c r="AS288" s="159"/>
      <c r="AT288" s="160" t="str">
        <f>Calculo!AQ288</f>
        <v>N/A</v>
      </c>
      <c r="AU288" s="161" t="str">
        <f>Calculo!AV288</f>
        <v>N/A</v>
      </c>
      <c r="AV288" s="162" t="str">
        <f>Calculo!AW288</f>
        <v>N/A</v>
      </c>
      <c r="AW288" s="161" t="b">
        <f>Calculo!AX288</f>
        <v>0</v>
      </c>
      <c r="AX288" s="161" t="str">
        <f>Calculo!K288</f>
        <v>N/A</v>
      </c>
      <c r="AY288" s="161" t="str">
        <f>Calculo!AY288</f>
        <v>N/A</v>
      </c>
      <c r="AZ288" s="161" t="str">
        <f>Calculo!AZ288</f>
        <v>N/A</v>
      </c>
      <c r="BA288" s="163"/>
    </row>
    <row r="289" ht="12.0" customHeight="1">
      <c r="A289" s="88" t="str">
        <f>'Parâmetros'!$A$19</f>
        <v>Rel. Básico PJ</v>
      </c>
      <c r="B289" s="146"/>
      <c r="C289" s="146"/>
      <c r="D289" s="146"/>
      <c r="E289" s="149"/>
      <c r="F289" s="151"/>
      <c r="G289" s="151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53"/>
      <c r="AC289" s="146"/>
      <c r="AD289" s="151"/>
      <c r="AE289" s="151"/>
      <c r="AF289" s="151"/>
      <c r="AG289" s="151"/>
      <c r="AH289" s="151"/>
      <c r="AI289" s="151"/>
      <c r="AJ289" s="146"/>
      <c r="AK289" s="155"/>
      <c r="AL289" s="151"/>
      <c r="AM289" s="151"/>
      <c r="AN289" s="151"/>
      <c r="AO289" s="151"/>
      <c r="AP289" s="151"/>
      <c r="AQ289" s="157"/>
      <c r="AR289" s="151"/>
      <c r="AS289" s="159"/>
      <c r="AT289" s="160" t="str">
        <f>Calculo!AQ289</f>
        <v>N/A</v>
      </c>
      <c r="AU289" s="161" t="str">
        <f>Calculo!AV289</f>
        <v>N/A</v>
      </c>
      <c r="AV289" s="162" t="str">
        <f>Calculo!AW289</f>
        <v>N/A</v>
      </c>
      <c r="AW289" s="161" t="b">
        <f>Calculo!AX289</f>
        <v>0</v>
      </c>
      <c r="AX289" s="161" t="str">
        <f>Calculo!K289</f>
        <v>N/A</v>
      </c>
      <c r="AY289" s="161" t="str">
        <f>Calculo!AY289</f>
        <v>N/A</v>
      </c>
      <c r="AZ289" s="161" t="str">
        <f>Calculo!AZ289</f>
        <v>N/A</v>
      </c>
      <c r="BA289" s="163"/>
    </row>
    <row r="290" ht="12.0" customHeight="1">
      <c r="A290" s="88" t="str">
        <f>'Parâmetros'!$A$19</f>
        <v>Rel. Básico PJ</v>
      </c>
      <c r="B290" s="146"/>
      <c r="C290" s="146"/>
      <c r="D290" s="146"/>
      <c r="E290" s="149"/>
      <c r="F290" s="151"/>
      <c r="G290" s="151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53"/>
      <c r="AC290" s="146"/>
      <c r="AD290" s="151"/>
      <c r="AE290" s="151"/>
      <c r="AF290" s="151"/>
      <c r="AG290" s="151"/>
      <c r="AH290" s="151"/>
      <c r="AI290" s="151"/>
      <c r="AJ290" s="146"/>
      <c r="AK290" s="155"/>
      <c r="AL290" s="151"/>
      <c r="AM290" s="151"/>
      <c r="AN290" s="151"/>
      <c r="AO290" s="151"/>
      <c r="AP290" s="151"/>
      <c r="AQ290" s="157"/>
      <c r="AR290" s="151"/>
      <c r="AS290" s="159"/>
      <c r="AT290" s="160" t="str">
        <f>Calculo!AQ290</f>
        <v>N/A</v>
      </c>
      <c r="AU290" s="161" t="str">
        <f>Calculo!AV290</f>
        <v>N/A</v>
      </c>
      <c r="AV290" s="162" t="str">
        <f>Calculo!AW290</f>
        <v>N/A</v>
      </c>
      <c r="AW290" s="161" t="b">
        <f>Calculo!AX290</f>
        <v>0</v>
      </c>
      <c r="AX290" s="161" t="str">
        <f>Calculo!K290</f>
        <v>N/A</v>
      </c>
      <c r="AY290" s="161" t="str">
        <f>Calculo!AY290</f>
        <v>N/A</v>
      </c>
      <c r="AZ290" s="161" t="str">
        <f>Calculo!AZ290</f>
        <v>N/A</v>
      </c>
      <c r="BA290" s="163"/>
    </row>
    <row r="291" ht="12.0" customHeight="1">
      <c r="A291" s="88" t="str">
        <f>'Parâmetros'!$A$19</f>
        <v>Rel. Básico PJ</v>
      </c>
      <c r="B291" s="146"/>
      <c r="C291" s="146"/>
      <c r="D291" s="146"/>
      <c r="E291" s="149"/>
      <c r="F291" s="151"/>
      <c r="G291" s="151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53"/>
      <c r="AC291" s="146"/>
      <c r="AD291" s="151"/>
      <c r="AE291" s="151"/>
      <c r="AF291" s="151"/>
      <c r="AG291" s="151"/>
      <c r="AH291" s="151"/>
      <c r="AI291" s="151"/>
      <c r="AJ291" s="146"/>
      <c r="AK291" s="155"/>
      <c r="AL291" s="151"/>
      <c r="AM291" s="151"/>
      <c r="AN291" s="151"/>
      <c r="AO291" s="151"/>
      <c r="AP291" s="151"/>
      <c r="AQ291" s="157"/>
      <c r="AR291" s="151"/>
      <c r="AS291" s="159"/>
      <c r="AT291" s="160" t="str">
        <f>Calculo!AQ291</f>
        <v>N/A</v>
      </c>
      <c r="AU291" s="161" t="str">
        <f>Calculo!AV291</f>
        <v>N/A</v>
      </c>
      <c r="AV291" s="162" t="str">
        <f>Calculo!AW291</f>
        <v>N/A</v>
      </c>
      <c r="AW291" s="161" t="b">
        <f>Calculo!AX291</f>
        <v>0</v>
      </c>
      <c r="AX291" s="161" t="str">
        <f>Calculo!K291</f>
        <v>N/A</v>
      </c>
      <c r="AY291" s="161" t="str">
        <f>Calculo!AY291</f>
        <v>N/A</v>
      </c>
      <c r="AZ291" s="161" t="str">
        <f>Calculo!AZ291</f>
        <v>N/A</v>
      </c>
      <c r="BA291" s="163"/>
    </row>
    <row r="292" ht="12.0" customHeight="1">
      <c r="A292" s="88" t="str">
        <f>'Parâmetros'!$A$19</f>
        <v>Rel. Básico PJ</v>
      </c>
      <c r="B292" s="146"/>
      <c r="C292" s="146"/>
      <c r="D292" s="146"/>
      <c r="E292" s="149"/>
      <c r="F292" s="151"/>
      <c r="G292" s="151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53"/>
      <c r="AC292" s="146"/>
      <c r="AD292" s="151"/>
      <c r="AE292" s="151"/>
      <c r="AF292" s="151"/>
      <c r="AG292" s="151"/>
      <c r="AH292" s="151"/>
      <c r="AI292" s="151"/>
      <c r="AJ292" s="146"/>
      <c r="AK292" s="155"/>
      <c r="AL292" s="151"/>
      <c r="AM292" s="151"/>
      <c r="AN292" s="151"/>
      <c r="AO292" s="151"/>
      <c r="AP292" s="151"/>
      <c r="AQ292" s="157"/>
      <c r="AR292" s="151"/>
      <c r="AS292" s="159"/>
      <c r="AT292" s="160" t="str">
        <f>Calculo!AQ292</f>
        <v>N/A</v>
      </c>
      <c r="AU292" s="161" t="str">
        <f>Calculo!AV292</f>
        <v>N/A</v>
      </c>
      <c r="AV292" s="162" t="str">
        <f>Calculo!AW292</f>
        <v>N/A</v>
      </c>
      <c r="AW292" s="161" t="b">
        <f>Calculo!AX292</f>
        <v>0</v>
      </c>
      <c r="AX292" s="161" t="str">
        <f>Calculo!K292</f>
        <v>N/A</v>
      </c>
      <c r="AY292" s="161" t="str">
        <f>Calculo!AY292</f>
        <v>N/A</v>
      </c>
      <c r="AZ292" s="161" t="str">
        <f>Calculo!AZ292</f>
        <v>N/A</v>
      </c>
      <c r="BA292" s="163"/>
    </row>
    <row r="293" ht="12.0" customHeight="1">
      <c r="A293" s="88" t="str">
        <f>'Parâmetros'!$A$19</f>
        <v>Rel. Básico PJ</v>
      </c>
      <c r="B293" s="146"/>
      <c r="C293" s="146"/>
      <c r="D293" s="146"/>
      <c r="E293" s="149"/>
      <c r="F293" s="151"/>
      <c r="G293" s="151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53"/>
      <c r="AC293" s="146"/>
      <c r="AD293" s="151"/>
      <c r="AE293" s="151"/>
      <c r="AF293" s="151"/>
      <c r="AG293" s="151"/>
      <c r="AH293" s="151"/>
      <c r="AI293" s="151"/>
      <c r="AJ293" s="146"/>
      <c r="AK293" s="155"/>
      <c r="AL293" s="151"/>
      <c r="AM293" s="151"/>
      <c r="AN293" s="151"/>
      <c r="AO293" s="151"/>
      <c r="AP293" s="151"/>
      <c r="AQ293" s="157"/>
      <c r="AR293" s="151"/>
      <c r="AS293" s="159"/>
      <c r="AT293" s="160" t="str">
        <f>Calculo!AQ293</f>
        <v>N/A</v>
      </c>
      <c r="AU293" s="161" t="str">
        <f>Calculo!AV293</f>
        <v>N/A</v>
      </c>
      <c r="AV293" s="162" t="str">
        <f>Calculo!AW293</f>
        <v>N/A</v>
      </c>
      <c r="AW293" s="161" t="b">
        <f>Calculo!AX293</f>
        <v>0</v>
      </c>
      <c r="AX293" s="161" t="str">
        <f>Calculo!K293</f>
        <v>N/A</v>
      </c>
      <c r="AY293" s="161" t="str">
        <f>Calculo!AY293</f>
        <v>N/A</v>
      </c>
      <c r="AZ293" s="161" t="str">
        <f>Calculo!AZ293</f>
        <v>N/A</v>
      </c>
      <c r="BA293" s="163"/>
    </row>
    <row r="294" ht="12.0" customHeight="1">
      <c r="A294" s="88" t="str">
        <f>'Parâmetros'!$A$19</f>
        <v>Rel. Básico PJ</v>
      </c>
      <c r="B294" s="146"/>
      <c r="C294" s="146"/>
      <c r="D294" s="146"/>
      <c r="E294" s="149"/>
      <c r="F294" s="151"/>
      <c r="G294" s="151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53"/>
      <c r="AC294" s="146"/>
      <c r="AD294" s="151"/>
      <c r="AE294" s="151"/>
      <c r="AF294" s="151"/>
      <c r="AG294" s="151"/>
      <c r="AH294" s="151"/>
      <c r="AI294" s="151"/>
      <c r="AJ294" s="146"/>
      <c r="AK294" s="155"/>
      <c r="AL294" s="151"/>
      <c r="AM294" s="151"/>
      <c r="AN294" s="151"/>
      <c r="AO294" s="151"/>
      <c r="AP294" s="151"/>
      <c r="AQ294" s="157"/>
      <c r="AR294" s="151"/>
      <c r="AS294" s="159"/>
      <c r="AT294" s="160" t="str">
        <f>Calculo!AQ294</f>
        <v>N/A</v>
      </c>
      <c r="AU294" s="161" t="str">
        <f>Calculo!AV294</f>
        <v>N/A</v>
      </c>
      <c r="AV294" s="162" t="str">
        <f>Calculo!AW294</f>
        <v>N/A</v>
      </c>
      <c r="AW294" s="161" t="b">
        <f>Calculo!AX294</f>
        <v>0</v>
      </c>
      <c r="AX294" s="161" t="str">
        <f>Calculo!K294</f>
        <v>N/A</v>
      </c>
      <c r="AY294" s="161" t="str">
        <f>Calculo!AY294</f>
        <v>N/A</v>
      </c>
      <c r="AZ294" s="161" t="str">
        <f>Calculo!AZ294</f>
        <v>N/A</v>
      </c>
      <c r="BA294" s="163"/>
    </row>
    <row r="295" ht="12.0" customHeight="1">
      <c r="A295" s="88" t="str">
        <f>'Parâmetros'!$A$19</f>
        <v>Rel. Básico PJ</v>
      </c>
      <c r="B295" s="146"/>
      <c r="C295" s="146"/>
      <c r="D295" s="146"/>
      <c r="E295" s="149"/>
      <c r="F295" s="151"/>
      <c r="G295" s="151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53"/>
      <c r="AC295" s="146"/>
      <c r="AD295" s="151"/>
      <c r="AE295" s="151"/>
      <c r="AF295" s="151"/>
      <c r="AG295" s="151"/>
      <c r="AH295" s="151"/>
      <c r="AI295" s="151"/>
      <c r="AJ295" s="146"/>
      <c r="AK295" s="155"/>
      <c r="AL295" s="151"/>
      <c r="AM295" s="151"/>
      <c r="AN295" s="151"/>
      <c r="AO295" s="151"/>
      <c r="AP295" s="151"/>
      <c r="AQ295" s="157"/>
      <c r="AR295" s="151"/>
      <c r="AS295" s="159"/>
      <c r="AT295" s="160" t="str">
        <f>Calculo!AQ295</f>
        <v>N/A</v>
      </c>
      <c r="AU295" s="161" t="str">
        <f>Calculo!AV295</f>
        <v>N/A</v>
      </c>
      <c r="AV295" s="162" t="str">
        <f>Calculo!AW295</f>
        <v>N/A</v>
      </c>
      <c r="AW295" s="161" t="b">
        <f>Calculo!AX295</f>
        <v>0</v>
      </c>
      <c r="AX295" s="161" t="str">
        <f>Calculo!K295</f>
        <v>N/A</v>
      </c>
      <c r="AY295" s="161" t="str">
        <f>Calculo!AY295</f>
        <v>N/A</v>
      </c>
      <c r="AZ295" s="161" t="str">
        <f>Calculo!AZ295</f>
        <v>N/A</v>
      </c>
      <c r="BA295" s="163"/>
    </row>
    <row r="296" ht="12.0" customHeight="1">
      <c r="A296" s="88" t="str">
        <f>'Parâmetros'!$A$19</f>
        <v>Rel. Básico PJ</v>
      </c>
      <c r="B296" s="146"/>
      <c r="C296" s="146"/>
      <c r="D296" s="146"/>
      <c r="E296" s="149"/>
      <c r="F296" s="151"/>
      <c r="G296" s="151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53"/>
      <c r="AC296" s="146"/>
      <c r="AD296" s="151"/>
      <c r="AE296" s="151"/>
      <c r="AF296" s="151"/>
      <c r="AG296" s="151"/>
      <c r="AH296" s="151"/>
      <c r="AI296" s="151"/>
      <c r="AJ296" s="146"/>
      <c r="AK296" s="155"/>
      <c r="AL296" s="151"/>
      <c r="AM296" s="151"/>
      <c r="AN296" s="151"/>
      <c r="AO296" s="151"/>
      <c r="AP296" s="151"/>
      <c r="AQ296" s="157"/>
      <c r="AR296" s="151"/>
      <c r="AS296" s="159"/>
      <c r="AT296" s="160" t="str">
        <f>Calculo!AQ296</f>
        <v>N/A</v>
      </c>
      <c r="AU296" s="161" t="str">
        <f>Calculo!AV296</f>
        <v>N/A</v>
      </c>
      <c r="AV296" s="162" t="str">
        <f>Calculo!AW296</f>
        <v>N/A</v>
      </c>
      <c r="AW296" s="161" t="b">
        <f>Calculo!AX296</f>
        <v>0</v>
      </c>
      <c r="AX296" s="161" t="str">
        <f>Calculo!K296</f>
        <v>N/A</v>
      </c>
      <c r="AY296" s="161" t="str">
        <f>Calculo!AY296</f>
        <v>N/A</v>
      </c>
      <c r="AZ296" s="161" t="str">
        <f>Calculo!AZ296</f>
        <v>N/A</v>
      </c>
      <c r="BA296" s="163"/>
    </row>
    <row r="297" ht="12.0" customHeight="1">
      <c r="A297" s="88" t="str">
        <f>'Parâmetros'!$A$19</f>
        <v>Rel. Básico PJ</v>
      </c>
      <c r="B297" s="146"/>
      <c r="C297" s="146"/>
      <c r="D297" s="146"/>
      <c r="E297" s="149"/>
      <c r="F297" s="151"/>
      <c r="G297" s="151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53"/>
      <c r="AC297" s="146"/>
      <c r="AD297" s="151"/>
      <c r="AE297" s="151"/>
      <c r="AF297" s="151"/>
      <c r="AG297" s="151"/>
      <c r="AH297" s="151"/>
      <c r="AI297" s="151"/>
      <c r="AJ297" s="146"/>
      <c r="AK297" s="155"/>
      <c r="AL297" s="151"/>
      <c r="AM297" s="151"/>
      <c r="AN297" s="151"/>
      <c r="AO297" s="151"/>
      <c r="AP297" s="151"/>
      <c r="AQ297" s="157"/>
      <c r="AR297" s="151"/>
      <c r="AS297" s="159"/>
      <c r="AT297" s="160" t="str">
        <f>Calculo!AQ297</f>
        <v>N/A</v>
      </c>
      <c r="AU297" s="161" t="str">
        <f>Calculo!AV297</f>
        <v>N/A</v>
      </c>
      <c r="AV297" s="162" t="str">
        <f>Calculo!AW297</f>
        <v>N/A</v>
      </c>
      <c r="AW297" s="161" t="b">
        <f>Calculo!AX297</f>
        <v>0</v>
      </c>
      <c r="AX297" s="161" t="str">
        <f>Calculo!K297</f>
        <v>N/A</v>
      </c>
      <c r="AY297" s="161" t="str">
        <f>Calculo!AY297</f>
        <v>N/A</v>
      </c>
      <c r="AZ297" s="161" t="str">
        <f>Calculo!AZ297</f>
        <v>N/A</v>
      </c>
      <c r="BA297" s="163"/>
    </row>
    <row r="298" ht="12.0" customHeight="1">
      <c r="A298" s="88" t="str">
        <f>'Parâmetros'!$A$19</f>
        <v>Rel. Básico PJ</v>
      </c>
      <c r="B298" s="146"/>
      <c r="C298" s="146"/>
      <c r="D298" s="146"/>
      <c r="E298" s="149"/>
      <c r="F298" s="151"/>
      <c r="G298" s="151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53"/>
      <c r="AC298" s="146"/>
      <c r="AD298" s="151"/>
      <c r="AE298" s="151"/>
      <c r="AF298" s="151"/>
      <c r="AG298" s="151"/>
      <c r="AH298" s="151"/>
      <c r="AI298" s="151"/>
      <c r="AJ298" s="146"/>
      <c r="AK298" s="155"/>
      <c r="AL298" s="151"/>
      <c r="AM298" s="151"/>
      <c r="AN298" s="151"/>
      <c r="AO298" s="151"/>
      <c r="AP298" s="151"/>
      <c r="AQ298" s="157"/>
      <c r="AR298" s="151"/>
      <c r="AS298" s="159"/>
      <c r="AT298" s="160" t="str">
        <f>Calculo!AQ298</f>
        <v>N/A</v>
      </c>
      <c r="AU298" s="161" t="str">
        <f>Calculo!AV298</f>
        <v>N/A</v>
      </c>
      <c r="AV298" s="162" t="str">
        <f>Calculo!AW298</f>
        <v>N/A</v>
      </c>
      <c r="AW298" s="161" t="b">
        <f>Calculo!AX298</f>
        <v>0</v>
      </c>
      <c r="AX298" s="161" t="str">
        <f>Calculo!K298</f>
        <v>N/A</v>
      </c>
      <c r="AY298" s="161" t="str">
        <f>Calculo!AY298</f>
        <v>N/A</v>
      </c>
      <c r="AZ298" s="161" t="str">
        <f>Calculo!AZ298</f>
        <v>N/A</v>
      </c>
      <c r="BA298" s="163"/>
    </row>
    <row r="299" ht="12.0" customHeight="1">
      <c r="A299" s="88" t="str">
        <f>'Parâmetros'!$A$19</f>
        <v>Rel. Básico PJ</v>
      </c>
      <c r="B299" s="146"/>
      <c r="C299" s="146"/>
      <c r="D299" s="146"/>
      <c r="E299" s="149"/>
      <c r="F299" s="151"/>
      <c r="G299" s="151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53"/>
      <c r="AC299" s="146"/>
      <c r="AD299" s="151"/>
      <c r="AE299" s="151"/>
      <c r="AF299" s="151"/>
      <c r="AG299" s="151"/>
      <c r="AH299" s="151"/>
      <c r="AI299" s="151"/>
      <c r="AJ299" s="146"/>
      <c r="AK299" s="155"/>
      <c r="AL299" s="151"/>
      <c r="AM299" s="151"/>
      <c r="AN299" s="151"/>
      <c r="AO299" s="151"/>
      <c r="AP299" s="151"/>
      <c r="AQ299" s="157"/>
      <c r="AR299" s="151"/>
      <c r="AS299" s="159"/>
      <c r="AT299" s="160" t="str">
        <f>Calculo!AQ299</f>
        <v>N/A</v>
      </c>
      <c r="AU299" s="161" t="str">
        <f>Calculo!AV299</f>
        <v>N/A</v>
      </c>
      <c r="AV299" s="162" t="str">
        <f>Calculo!AW299</f>
        <v>N/A</v>
      </c>
      <c r="AW299" s="161" t="b">
        <f>Calculo!AX299</f>
        <v>0</v>
      </c>
      <c r="AX299" s="161" t="str">
        <f>Calculo!K299</f>
        <v>N/A</v>
      </c>
      <c r="AY299" s="161" t="str">
        <f>Calculo!AY299</f>
        <v>N/A</v>
      </c>
      <c r="AZ299" s="161" t="str">
        <f>Calculo!AZ299</f>
        <v>N/A</v>
      </c>
      <c r="BA299" s="163"/>
    </row>
    <row r="300" ht="12.0" customHeight="1">
      <c r="A300" s="88" t="str">
        <f>'Parâmetros'!$A$19</f>
        <v>Rel. Básico PJ</v>
      </c>
      <c r="B300" s="146"/>
      <c r="C300" s="146"/>
      <c r="D300" s="146"/>
      <c r="E300" s="149"/>
      <c r="F300" s="151"/>
      <c r="G300" s="151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53"/>
      <c r="AC300" s="146"/>
      <c r="AD300" s="151"/>
      <c r="AE300" s="151"/>
      <c r="AF300" s="151"/>
      <c r="AG300" s="151"/>
      <c r="AH300" s="151"/>
      <c r="AI300" s="151"/>
      <c r="AJ300" s="146"/>
      <c r="AK300" s="155"/>
      <c r="AL300" s="151"/>
      <c r="AM300" s="151"/>
      <c r="AN300" s="151"/>
      <c r="AO300" s="151"/>
      <c r="AP300" s="151"/>
      <c r="AQ300" s="157"/>
      <c r="AR300" s="151"/>
      <c r="AS300" s="159"/>
      <c r="AT300" s="160" t="str">
        <f>Calculo!AQ300</f>
        <v>N/A</v>
      </c>
      <c r="AU300" s="161" t="str">
        <f>Calculo!AV300</f>
        <v>N/A</v>
      </c>
      <c r="AV300" s="162" t="str">
        <f>Calculo!AW300</f>
        <v>N/A</v>
      </c>
      <c r="AW300" s="161" t="b">
        <f>Calculo!AX300</f>
        <v>0</v>
      </c>
      <c r="AX300" s="161" t="str">
        <f>Calculo!K300</f>
        <v>N/A</v>
      </c>
      <c r="AY300" s="161" t="str">
        <f>Calculo!AY300</f>
        <v>N/A</v>
      </c>
      <c r="AZ300" s="161" t="str">
        <f>Calculo!AZ300</f>
        <v>N/A</v>
      </c>
      <c r="BA300" s="163"/>
    </row>
    <row r="301" ht="12.0" customHeight="1">
      <c r="A301" s="88" t="str">
        <f>'Parâmetros'!$A$19</f>
        <v>Rel. Básico PJ</v>
      </c>
      <c r="B301" s="146"/>
      <c r="C301" s="146"/>
      <c r="D301" s="146"/>
      <c r="E301" s="149"/>
      <c r="F301" s="151"/>
      <c r="G301" s="151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53"/>
      <c r="AC301" s="146"/>
      <c r="AD301" s="151"/>
      <c r="AE301" s="151"/>
      <c r="AF301" s="151"/>
      <c r="AG301" s="151"/>
      <c r="AH301" s="151"/>
      <c r="AI301" s="151"/>
      <c r="AJ301" s="146"/>
      <c r="AK301" s="155"/>
      <c r="AL301" s="151"/>
      <c r="AM301" s="151"/>
      <c r="AN301" s="151"/>
      <c r="AO301" s="151"/>
      <c r="AP301" s="151"/>
      <c r="AQ301" s="157"/>
      <c r="AR301" s="151"/>
      <c r="AS301" s="159"/>
      <c r="AT301" s="160" t="str">
        <f>Calculo!AQ301</f>
        <v>N/A</v>
      </c>
      <c r="AU301" s="161" t="str">
        <f>Calculo!AV301</f>
        <v>N/A</v>
      </c>
      <c r="AV301" s="162" t="str">
        <f>Calculo!AW301</f>
        <v>N/A</v>
      </c>
      <c r="AW301" s="161" t="b">
        <f>Calculo!AX301</f>
        <v>0</v>
      </c>
      <c r="AX301" s="161" t="str">
        <f>Calculo!K301</f>
        <v>N/A</v>
      </c>
      <c r="AY301" s="161" t="str">
        <f>Calculo!AY301</f>
        <v>N/A</v>
      </c>
      <c r="AZ301" s="161" t="str">
        <f>Calculo!AZ301</f>
        <v>N/A</v>
      </c>
      <c r="BA301" s="163"/>
    </row>
    <row r="302" ht="12.0" customHeight="1">
      <c r="A302" s="88" t="str">
        <f>'Parâmetros'!$A$19</f>
        <v>Rel. Básico PJ</v>
      </c>
      <c r="B302" s="146"/>
      <c r="C302" s="146"/>
      <c r="D302" s="146"/>
      <c r="E302" s="149"/>
      <c r="F302" s="151"/>
      <c r="G302" s="151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53"/>
      <c r="AC302" s="146"/>
      <c r="AD302" s="151"/>
      <c r="AE302" s="151"/>
      <c r="AF302" s="151"/>
      <c r="AG302" s="151"/>
      <c r="AH302" s="151"/>
      <c r="AI302" s="151"/>
      <c r="AJ302" s="146"/>
      <c r="AK302" s="155"/>
      <c r="AL302" s="151"/>
      <c r="AM302" s="151"/>
      <c r="AN302" s="151"/>
      <c r="AO302" s="151"/>
      <c r="AP302" s="151"/>
      <c r="AQ302" s="157"/>
      <c r="AR302" s="151"/>
      <c r="AS302" s="159"/>
      <c r="AT302" s="160" t="str">
        <f>Calculo!AQ302</f>
        <v>N/A</v>
      </c>
      <c r="AU302" s="161" t="str">
        <f>Calculo!AV302</f>
        <v>N/A</v>
      </c>
      <c r="AV302" s="162" t="str">
        <f>Calculo!AW302</f>
        <v>N/A</v>
      </c>
      <c r="AW302" s="161" t="b">
        <f>Calculo!AX302</f>
        <v>0</v>
      </c>
      <c r="AX302" s="161" t="str">
        <f>Calculo!K302</f>
        <v>N/A</v>
      </c>
      <c r="AY302" s="161" t="str">
        <f>Calculo!AY302</f>
        <v>N/A</v>
      </c>
      <c r="AZ302" s="161" t="str">
        <f>Calculo!AZ302</f>
        <v>N/A</v>
      </c>
      <c r="BA302" s="163"/>
    </row>
    <row r="303" ht="12.0" customHeight="1">
      <c r="A303" s="88" t="str">
        <f>'Parâmetros'!$A$19</f>
        <v>Rel. Básico PJ</v>
      </c>
      <c r="B303" s="146"/>
      <c r="C303" s="146"/>
      <c r="D303" s="146"/>
      <c r="E303" s="149"/>
      <c r="F303" s="151"/>
      <c r="G303" s="151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53"/>
      <c r="AC303" s="146"/>
      <c r="AD303" s="151"/>
      <c r="AE303" s="151"/>
      <c r="AF303" s="151"/>
      <c r="AG303" s="151"/>
      <c r="AH303" s="151"/>
      <c r="AI303" s="151"/>
      <c r="AJ303" s="146"/>
      <c r="AK303" s="155"/>
      <c r="AL303" s="151"/>
      <c r="AM303" s="151"/>
      <c r="AN303" s="151"/>
      <c r="AO303" s="151"/>
      <c r="AP303" s="151"/>
      <c r="AQ303" s="157"/>
      <c r="AR303" s="151"/>
      <c r="AS303" s="159"/>
      <c r="AT303" s="160" t="str">
        <f>Calculo!AQ303</f>
        <v>N/A</v>
      </c>
      <c r="AU303" s="161" t="str">
        <f>Calculo!AV303</f>
        <v>N/A</v>
      </c>
      <c r="AV303" s="162" t="str">
        <f>Calculo!AW303</f>
        <v>N/A</v>
      </c>
      <c r="AW303" s="161" t="b">
        <f>Calculo!AX303</f>
        <v>0</v>
      </c>
      <c r="AX303" s="161" t="str">
        <f>Calculo!K303</f>
        <v>N/A</v>
      </c>
      <c r="AY303" s="161" t="str">
        <f>Calculo!AY303</f>
        <v>N/A</v>
      </c>
      <c r="AZ303" s="161" t="str">
        <f>Calculo!AZ303</f>
        <v>N/A</v>
      </c>
      <c r="BA303" s="163"/>
    </row>
    <row r="304" ht="12.0" customHeight="1">
      <c r="A304" s="88" t="str">
        <f>'Parâmetros'!$A$19</f>
        <v>Rel. Básico PJ</v>
      </c>
      <c r="B304" s="146"/>
      <c r="C304" s="146"/>
      <c r="D304" s="146"/>
      <c r="E304" s="149"/>
      <c r="F304" s="151"/>
      <c r="G304" s="151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53"/>
      <c r="AC304" s="146"/>
      <c r="AD304" s="151"/>
      <c r="AE304" s="151"/>
      <c r="AF304" s="151"/>
      <c r="AG304" s="151"/>
      <c r="AH304" s="151"/>
      <c r="AI304" s="151"/>
      <c r="AJ304" s="146"/>
      <c r="AK304" s="155"/>
      <c r="AL304" s="151"/>
      <c r="AM304" s="151"/>
      <c r="AN304" s="151"/>
      <c r="AO304" s="151"/>
      <c r="AP304" s="151"/>
      <c r="AQ304" s="157"/>
      <c r="AR304" s="151"/>
      <c r="AS304" s="159"/>
      <c r="AT304" s="160" t="str">
        <f>Calculo!AQ304</f>
        <v>N/A</v>
      </c>
      <c r="AU304" s="161" t="str">
        <f>Calculo!AV304</f>
        <v>N/A</v>
      </c>
      <c r="AV304" s="162" t="str">
        <f>Calculo!AW304</f>
        <v>N/A</v>
      </c>
      <c r="AW304" s="161" t="b">
        <f>Calculo!AX304</f>
        <v>0</v>
      </c>
      <c r="AX304" s="161" t="str">
        <f>Calculo!K304</f>
        <v>N/A</v>
      </c>
      <c r="AY304" s="161" t="str">
        <f>Calculo!AY304</f>
        <v>N/A</v>
      </c>
      <c r="AZ304" s="161" t="str">
        <f>Calculo!AZ304</f>
        <v>N/A</v>
      </c>
      <c r="BA304" s="163"/>
    </row>
    <row r="305" ht="12.0" customHeight="1">
      <c r="A305" s="88" t="str">
        <f>'Parâmetros'!$A$19</f>
        <v>Rel. Básico PJ</v>
      </c>
      <c r="B305" s="146"/>
      <c r="C305" s="146"/>
      <c r="D305" s="146"/>
      <c r="E305" s="149"/>
      <c r="F305" s="151"/>
      <c r="G305" s="151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53"/>
      <c r="AC305" s="146"/>
      <c r="AD305" s="151"/>
      <c r="AE305" s="151"/>
      <c r="AF305" s="151"/>
      <c r="AG305" s="151"/>
      <c r="AH305" s="151"/>
      <c r="AI305" s="151"/>
      <c r="AJ305" s="146"/>
      <c r="AK305" s="155"/>
      <c r="AL305" s="151"/>
      <c r="AM305" s="151"/>
      <c r="AN305" s="151"/>
      <c r="AO305" s="151"/>
      <c r="AP305" s="151"/>
      <c r="AQ305" s="157"/>
      <c r="AR305" s="151"/>
      <c r="AS305" s="159"/>
      <c r="AT305" s="160" t="str">
        <f>Calculo!AQ305</f>
        <v>N/A</v>
      </c>
      <c r="AU305" s="161" t="str">
        <f>Calculo!AV305</f>
        <v>N/A</v>
      </c>
      <c r="AV305" s="162" t="str">
        <f>Calculo!AW305</f>
        <v>N/A</v>
      </c>
      <c r="AW305" s="161" t="b">
        <f>Calculo!AX305</f>
        <v>0</v>
      </c>
      <c r="AX305" s="161" t="str">
        <f>Calculo!K305</f>
        <v>N/A</v>
      </c>
      <c r="AY305" s="161" t="str">
        <f>Calculo!AY305</f>
        <v>N/A</v>
      </c>
      <c r="AZ305" s="161" t="str">
        <f>Calculo!AZ305</f>
        <v>N/A</v>
      </c>
      <c r="BA305" s="163"/>
    </row>
    <row r="306" ht="12.0" customHeight="1">
      <c r="A306" s="88" t="str">
        <f>'Parâmetros'!$A$19</f>
        <v>Rel. Básico PJ</v>
      </c>
      <c r="B306" s="146"/>
      <c r="C306" s="146"/>
      <c r="D306" s="146"/>
      <c r="E306" s="149"/>
      <c r="F306" s="151"/>
      <c r="G306" s="151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53"/>
      <c r="AC306" s="146"/>
      <c r="AD306" s="151"/>
      <c r="AE306" s="151"/>
      <c r="AF306" s="151"/>
      <c r="AG306" s="151"/>
      <c r="AH306" s="151"/>
      <c r="AI306" s="151"/>
      <c r="AJ306" s="146"/>
      <c r="AK306" s="155"/>
      <c r="AL306" s="151"/>
      <c r="AM306" s="151"/>
      <c r="AN306" s="151"/>
      <c r="AO306" s="151"/>
      <c r="AP306" s="151"/>
      <c r="AQ306" s="157"/>
      <c r="AR306" s="151"/>
      <c r="AS306" s="159"/>
      <c r="AT306" s="160" t="str">
        <f>Calculo!AQ306</f>
        <v>N/A</v>
      </c>
      <c r="AU306" s="161" t="str">
        <f>Calculo!AV306</f>
        <v>N/A</v>
      </c>
      <c r="AV306" s="162" t="str">
        <f>Calculo!AW306</f>
        <v>N/A</v>
      </c>
      <c r="AW306" s="161" t="b">
        <f>Calculo!AX306</f>
        <v>0</v>
      </c>
      <c r="AX306" s="161" t="str">
        <f>Calculo!K306</f>
        <v>N/A</v>
      </c>
      <c r="AY306" s="161" t="str">
        <f>Calculo!AY306</f>
        <v>N/A</v>
      </c>
      <c r="AZ306" s="161" t="str">
        <f>Calculo!AZ306</f>
        <v>N/A</v>
      </c>
      <c r="BA306" s="163"/>
    </row>
    <row r="307" ht="12.0" customHeight="1">
      <c r="A307" s="88" t="str">
        <f>'Parâmetros'!$A$19</f>
        <v>Rel. Básico PJ</v>
      </c>
      <c r="B307" s="146"/>
      <c r="C307" s="146"/>
      <c r="D307" s="146"/>
      <c r="E307" s="149"/>
      <c r="F307" s="151"/>
      <c r="G307" s="151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53"/>
      <c r="AC307" s="146"/>
      <c r="AD307" s="151"/>
      <c r="AE307" s="151"/>
      <c r="AF307" s="151"/>
      <c r="AG307" s="151"/>
      <c r="AH307" s="151"/>
      <c r="AI307" s="151"/>
      <c r="AJ307" s="146"/>
      <c r="AK307" s="155"/>
      <c r="AL307" s="151"/>
      <c r="AM307" s="151"/>
      <c r="AN307" s="151"/>
      <c r="AO307" s="151"/>
      <c r="AP307" s="151"/>
      <c r="AQ307" s="157"/>
      <c r="AR307" s="151"/>
      <c r="AS307" s="159"/>
      <c r="AT307" s="160" t="str">
        <f>Calculo!AQ307</f>
        <v>N/A</v>
      </c>
      <c r="AU307" s="161" t="str">
        <f>Calculo!AV307</f>
        <v>N/A</v>
      </c>
      <c r="AV307" s="162" t="str">
        <f>Calculo!AW307</f>
        <v>N/A</v>
      </c>
      <c r="AW307" s="161" t="b">
        <f>Calculo!AX307</f>
        <v>0</v>
      </c>
      <c r="AX307" s="161" t="str">
        <f>Calculo!K307</f>
        <v>N/A</v>
      </c>
      <c r="AY307" s="161" t="str">
        <f>Calculo!AY307</f>
        <v>N/A</v>
      </c>
      <c r="AZ307" s="161" t="str">
        <f>Calculo!AZ307</f>
        <v>N/A</v>
      </c>
      <c r="BA307" s="163"/>
    </row>
    <row r="308" ht="12.0" customHeight="1">
      <c r="A308" s="88" t="str">
        <f>'Parâmetros'!$A$19</f>
        <v>Rel. Básico PJ</v>
      </c>
      <c r="B308" s="146"/>
      <c r="C308" s="146"/>
      <c r="D308" s="146"/>
      <c r="E308" s="149"/>
      <c r="F308" s="151"/>
      <c r="G308" s="151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53"/>
      <c r="AC308" s="146"/>
      <c r="AD308" s="151"/>
      <c r="AE308" s="151"/>
      <c r="AF308" s="151"/>
      <c r="AG308" s="151"/>
      <c r="AH308" s="151"/>
      <c r="AI308" s="151"/>
      <c r="AJ308" s="146"/>
      <c r="AK308" s="155"/>
      <c r="AL308" s="151"/>
      <c r="AM308" s="151"/>
      <c r="AN308" s="151"/>
      <c r="AO308" s="151"/>
      <c r="AP308" s="151"/>
      <c r="AQ308" s="157"/>
      <c r="AR308" s="151"/>
      <c r="AS308" s="159"/>
      <c r="AT308" s="160" t="str">
        <f>Calculo!AQ308</f>
        <v>N/A</v>
      </c>
      <c r="AU308" s="161" t="str">
        <f>Calculo!AV308</f>
        <v>N/A</v>
      </c>
      <c r="AV308" s="162" t="str">
        <f>Calculo!AW308</f>
        <v>N/A</v>
      </c>
      <c r="AW308" s="161" t="b">
        <f>Calculo!AX308</f>
        <v>0</v>
      </c>
      <c r="AX308" s="161" t="str">
        <f>Calculo!K308</f>
        <v>N/A</v>
      </c>
      <c r="AY308" s="161" t="str">
        <f>Calculo!AY308</f>
        <v>N/A</v>
      </c>
      <c r="AZ308" s="161" t="str">
        <f>Calculo!AZ308</f>
        <v>N/A</v>
      </c>
      <c r="BA308" s="163"/>
    </row>
    <row r="309" ht="12.0" customHeight="1">
      <c r="A309" s="88" t="str">
        <f>'Parâmetros'!$A$19</f>
        <v>Rel. Básico PJ</v>
      </c>
      <c r="B309" s="146"/>
      <c r="C309" s="146"/>
      <c r="D309" s="146"/>
      <c r="E309" s="149"/>
      <c r="F309" s="151"/>
      <c r="G309" s="151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53"/>
      <c r="AC309" s="146"/>
      <c r="AD309" s="151"/>
      <c r="AE309" s="151"/>
      <c r="AF309" s="151"/>
      <c r="AG309" s="151"/>
      <c r="AH309" s="151"/>
      <c r="AI309" s="151"/>
      <c r="AJ309" s="146"/>
      <c r="AK309" s="155"/>
      <c r="AL309" s="151"/>
      <c r="AM309" s="151"/>
      <c r="AN309" s="151"/>
      <c r="AO309" s="151"/>
      <c r="AP309" s="151"/>
      <c r="AQ309" s="157"/>
      <c r="AR309" s="151"/>
      <c r="AS309" s="159"/>
      <c r="AT309" s="160" t="str">
        <f>Calculo!AQ309</f>
        <v>N/A</v>
      </c>
      <c r="AU309" s="161" t="str">
        <f>Calculo!AV309</f>
        <v>N/A</v>
      </c>
      <c r="AV309" s="162" t="str">
        <f>Calculo!AW309</f>
        <v>N/A</v>
      </c>
      <c r="AW309" s="161" t="b">
        <f>Calculo!AX309</f>
        <v>0</v>
      </c>
      <c r="AX309" s="161" t="str">
        <f>Calculo!K309</f>
        <v>N/A</v>
      </c>
      <c r="AY309" s="161" t="str">
        <f>Calculo!AY309</f>
        <v>N/A</v>
      </c>
      <c r="AZ309" s="161" t="str">
        <f>Calculo!AZ309</f>
        <v>N/A</v>
      </c>
      <c r="BA309" s="163"/>
    </row>
    <row r="310" ht="12.0" customHeight="1">
      <c r="A310" s="88" t="str">
        <f>'Parâmetros'!$A$19</f>
        <v>Rel. Básico PJ</v>
      </c>
      <c r="B310" s="146"/>
      <c r="C310" s="146"/>
      <c r="D310" s="146"/>
      <c r="E310" s="149"/>
      <c r="F310" s="151"/>
      <c r="G310" s="151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53"/>
      <c r="AC310" s="146"/>
      <c r="AD310" s="151"/>
      <c r="AE310" s="151"/>
      <c r="AF310" s="151"/>
      <c r="AG310" s="151"/>
      <c r="AH310" s="151"/>
      <c r="AI310" s="151"/>
      <c r="AJ310" s="146"/>
      <c r="AK310" s="155"/>
      <c r="AL310" s="151"/>
      <c r="AM310" s="151"/>
      <c r="AN310" s="151"/>
      <c r="AO310" s="151"/>
      <c r="AP310" s="151"/>
      <c r="AQ310" s="157"/>
      <c r="AR310" s="151"/>
      <c r="AS310" s="159"/>
      <c r="AT310" s="160" t="str">
        <f>Calculo!AQ310</f>
        <v>N/A</v>
      </c>
      <c r="AU310" s="161" t="str">
        <f>Calculo!AV310</f>
        <v>N/A</v>
      </c>
      <c r="AV310" s="162" t="str">
        <f>Calculo!AW310</f>
        <v>N/A</v>
      </c>
      <c r="AW310" s="161" t="b">
        <f>Calculo!AX310</f>
        <v>0</v>
      </c>
      <c r="AX310" s="161" t="str">
        <f>Calculo!K310</f>
        <v>N/A</v>
      </c>
      <c r="AY310" s="161" t="str">
        <f>Calculo!AY310</f>
        <v>N/A</v>
      </c>
      <c r="AZ310" s="161" t="str">
        <f>Calculo!AZ310</f>
        <v>N/A</v>
      </c>
      <c r="BA310" s="163"/>
    </row>
    <row r="311" ht="12.0" customHeight="1">
      <c r="A311" s="88" t="str">
        <f>'Parâmetros'!$A$19</f>
        <v>Rel. Básico PJ</v>
      </c>
      <c r="B311" s="146"/>
      <c r="C311" s="146"/>
      <c r="D311" s="146"/>
      <c r="E311" s="149"/>
      <c r="F311" s="151"/>
      <c r="G311" s="151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53"/>
      <c r="AC311" s="146"/>
      <c r="AD311" s="151"/>
      <c r="AE311" s="151"/>
      <c r="AF311" s="151"/>
      <c r="AG311" s="151"/>
      <c r="AH311" s="151"/>
      <c r="AI311" s="151"/>
      <c r="AJ311" s="146"/>
      <c r="AK311" s="155"/>
      <c r="AL311" s="151"/>
      <c r="AM311" s="151"/>
      <c r="AN311" s="151"/>
      <c r="AO311" s="151"/>
      <c r="AP311" s="151"/>
      <c r="AQ311" s="157"/>
      <c r="AR311" s="151"/>
      <c r="AS311" s="159"/>
      <c r="AT311" s="160" t="str">
        <f>Calculo!AQ311</f>
        <v>N/A</v>
      </c>
      <c r="AU311" s="161" t="str">
        <f>Calculo!AV311</f>
        <v>N/A</v>
      </c>
      <c r="AV311" s="162" t="str">
        <f>Calculo!AW311</f>
        <v>N/A</v>
      </c>
      <c r="AW311" s="161" t="b">
        <f>Calculo!AX311</f>
        <v>0</v>
      </c>
      <c r="AX311" s="161" t="str">
        <f>Calculo!K311</f>
        <v>N/A</v>
      </c>
      <c r="AY311" s="161" t="str">
        <f>Calculo!AY311</f>
        <v>N/A</v>
      </c>
      <c r="AZ311" s="161" t="str">
        <f>Calculo!AZ311</f>
        <v>N/A</v>
      </c>
      <c r="BA311" s="163"/>
    </row>
    <row r="312" ht="12.0" customHeight="1">
      <c r="A312" s="88" t="str">
        <f>'Parâmetros'!$A$19</f>
        <v>Rel. Básico PJ</v>
      </c>
      <c r="B312" s="146"/>
      <c r="C312" s="146"/>
      <c r="D312" s="146"/>
      <c r="E312" s="149"/>
      <c r="F312" s="151"/>
      <c r="G312" s="151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53"/>
      <c r="AC312" s="146"/>
      <c r="AD312" s="151"/>
      <c r="AE312" s="151"/>
      <c r="AF312" s="151"/>
      <c r="AG312" s="151"/>
      <c r="AH312" s="151"/>
      <c r="AI312" s="151"/>
      <c r="AJ312" s="146"/>
      <c r="AK312" s="155"/>
      <c r="AL312" s="151"/>
      <c r="AM312" s="151"/>
      <c r="AN312" s="151"/>
      <c r="AO312" s="151"/>
      <c r="AP312" s="151"/>
      <c r="AQ312" s="157"/>
      <c r="AR312" s="151"/>
      <c r="AS312" s="159"/>
      <c r="AT312" s="160" t="str">
        <f>Calculo!AQ312</f>
        <v>N/A</v>
      </c>
      <c r="AU312" s="161" t="str">
        <f>Calculo!AV312</f>
        <v>N/A</v>
      </c>
      <c r="AV312" s="162" t="str">
        <f>Calculo!AW312</f>
        <v>N/A</v>
      </c>
      <c r="AW312" s="161" t="b">
        <f>Calculo!AX312</f>
        <v>0</v>
      </c>
      <c r="AX312" s="161" t="str">
        <f>Calculo!K312</f>
        <v>N/A</v>
      </c>
      <c r="AY312" s="161" t="str">
        <f>Calculo!AY312</f>
        <v>N/A</v>
      </c>
      <c r="AZ312" s="161" t="str">
        <f>Calculo!AZ312</f>
        <v>N/A</v>
      </c>
      <c r="BA312" s="163"/>
    </row>
    <row r="313" ht="12.0" customHeight="1">
      <c r="A313" s="88" t="str">
        <f>'Parâmetros'!$A$19</f>
        <v>Rel. Básico PJ</v>
      </c>
      <c r="B313" s="146"/>
      <c r="C313" s="146"/>
      <c r="D313" s="146"/>
      <c r="E313" s="149"/>
      <c r="F313" s="151"/>
      <c r="G313" s="151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53"/>
      <c r="AC313" s="146"/>
      <c r="AD313" s="151"/>
      <c r="AE313" s="151"/>
      <c r="AF313" s="151"/>
      <c r="AG313" s="151"/>
      <c r="AH313" s="151"/>
      <c r="AI313" s="151"/>
      <c r="AJ313" s="146"/>
      <c r="AK313" s="155"/>
      <c r="AL313" s="151"/>
      <c r="AM313" s="151"/>
      <c r="AN313" s="151"/>
      <c r="AO313" s="151"/>
      <c r="AP313" s="151"/>
      <c r="AQ313" s="157"/>
      <c r="AR313" s="151"/>
      <c r="AS313" s="159"/>
      <c r="AT313" s="160" t="str">
        <f>Calculo!AQ313</f>
        <v>N/A</v>
      </c>
      <c r="AU313" s="161" t="str">
        <f>Calculo!AV313</f>
        <v>N/A</v>
      </c>
      <c r="AV313" s="162" t="str">
        <f>Calculo!AW313</f>
        <v>N/A</v>
      </c>
      <c r="AW313" s="161" t="b">
        <f>Calculo!AX313</f>
        <v>0</v>
      </c>
      <c r="AX313" s="161" t="str">
        <f>Calculo!K313</f>
        <v>N/A</v>
      </c>
      <c r="AY313" s="161" t="str">
        <f>Calculo!AY313</f>
        <v>N/A</v>
      </c>
      <c r="AZ313" s="161" t="str">
        <f>Calculo!AZ313</f>
        <v>N/A</v>
      </c>
      <c r="BA313" s="163"/>
    </row>
    <row r="314" ht="12.0" customHeight="1">
      <c r="A314" s="88" t="str">
        <f>'Parâmetros'!$A$19</f>
        <v>Rel. Básico PJ</v>
      </c>
      <c r="B314" s="146"/>
      <c r="C314" s="146"/>
      <c r="D314" s="146"/>
      <c r="E314" s="149"/>
      <c r="F314" s="151"/>
      <c r="G314" s="151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53"/>
      <c r="AC314" s="146"/>
      <c r="AD314" s="151"/>
      <c r="AE314" s="151"/>
      <c r="AF314" s="151"/>
      <c r="AG314" s="151"/>
      <c r="AH314" s="151"/>
      <c r="AI314" s="151"/>
      <c r="AJ314" s="146"/>
      <c r="AK314" s="155"/>
      <c r="AL314" s="151"/>
      <c r="AM314" s="151"/>
      <c r="AN314" s="151"/>
      <c r="AO314" s="151"/>
      <c r="AP314" s="151"/>
      <c r="AQ314" s="157"/>
      <c r="AR314" s="151"/>
      <c r="AS314" s="159"/>
      <c r="AT314" s="160" t="str">
        <f>Calculo!AQ314</f>
        <v>N/A</v>
      </c>
      <c r="AU314" s="161" t="str">
        <f>Calculo!AV314</f>
        <v>N/A</v>
      </c>
      <c r="AV314" s="162" t="str">
        <f>Calculo!AW314</f>
        <v>N/A</v>
      </c>
      <c r="AW314" s="161" t="b">
        <f>Calculo!AX314</f>
        <v>0</v>
      </c>
      <c r="AX314" s="161" t="str">
        <f>Calculo!K314</f>
        <v>N/A</v>
      </c>
      <c r="AY314" s="161" t="str">
        <f>Calculo!AY314</f>
        <v>N/A</v>
      </c>
      <c r="AZ314" s="161" t="str">
        <f>Calculo!AZ314</f>
        <v>N/A</v>
      </c>
      <c r="BA314" s="163"/>
    </row>
    <row r="315" ht="12.0" customHeight="1">
      <c r="A315" s="88" t="str">
        <f>'Parâmetros'!$A$19</f>
        <v>Rel. Básico PJ</v>
      </c>
      <c r="B315" s="146"/>
      <c r="C315" s="146"/>
      <c r="D315" s="146"/>
      <c r="E315" s="149"/>
      <c r="F315" s="151"/>
      <c r="G315" s="151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53"/>
      <c r="AC315" s="146"/>
      <c r="AD315" s="151"/>
      <c r="AE315" s="151"/>
      <c r="AF315" s="151"/>
      <c r="AG315" s="151"/>
      <c r="AH315" s="151"/>
      <c r="AI315" s="151"/>
      <c r="AJ315" s="146"/>
      <c r="AK315" s="155"/>
      <c r="AL315" s="151"/>
      <c r="AM315" s="151"/>
      <c r="AN315" s="151"/>
      <c r="AO315" s="151"/>
      <c r="AP315" s="151"/>
      <c r="AQ315" s="157"/>
      <c r="AR315" s="151"/>
      <c r="AS315" s="159"/>
      <c r="AT315" s="160" t="str">
        <f>Calculo!AQ315</f>
        <v>N/A</v>
      </c>
      <c r="AU315" s="161" t="str">
        <f>Calculo!AV315</f>
        <v>N/A</v>
      </c>
      <c r="AV315" s="162" t="str">
        <f>Calculo!AW315</f>
        <v>N/A</v>
      </c>
      <c r="AW315" s="161" t="b">
        <f>Calculo!AX315</f>
        <v>0</v>
      </c>
      <c r="AX315" s="161" t="str">
        <f>Calculo!K315</f>
        <v>N/A</v>
      </c>
      <c r="AY315" s="161" t="str">
        <f>Calculo!AY315</f>
        <v>N/A</v>
      </c>
      <c r="AZ315" s="161" t="str">
        <f>Calculo!AZ315</f>
        <v>N/A</v>
      </c>
      <c r="BA315" s="163"/>
    </row>
    <row r="316" ht="12.0" customHeight="1">
      <c r="A316" s="88" t="str">
        <f>'Parâmetros'!$A$19</f>
        <v>Rel. Básico PJ</v>
      </c>
      <c r="B316" s="146"/>
      <c r="C316" s="146"/>
      <c r="D316" s="146"/>
      <c r="E316" s="149"/>
      <c r="F316" s="151"/>
      <c r="G316" s="151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53"/>
      <c r="AC316" s="146"/>
      <c r="AD316" s="151"/>
      <c r="AE316" s="151"/>
      <c r="AF316" s="151"/>
      <c r="AG316" s="151"/>
      <c r="AH316" s="151"/>
      <c r="AI316" s="151"/>
      <c r="AJ316" s="146"/>
      <c r="AK316" s="155"/>
      <c r="AL316" s="151"/>
      <c r="AM316" s="151"/>
      <c r="AN316" s="151"/>
      <c r="AO316" s="151"/>
      <c r="AP316" s="151"/>
      <c r="AQ316" s="157"/>
      <c r="AR316" s="151"/>
      <c r="AS316" s="159"/>
      <c r="AT316" s="160" t="str">
        <f>Calculo!AQ316</f>
        <v>N/A</v>
      </c>
      <c r="AU316" s="161" t="str">
        <f>Calculo!AV316</f>
        <v>N/A</v>
      </c>
      <c r="AV316" s="162" t="str">
        <f>Calculo!AW316</f>
        <v>N/A</v>
      </c>
      <c r="AW316" s="161" t="b">
        <f>Calculo!AX316</f>
        <v>0</v>
      </c>
      <c r="AX316" s="161" t="str">
        <f>Calculo!K316</f>
        <v>N/A</v>
      </c>
      <c r="AY316" s="161" t="str">
        <f>Calculo!AY316</f>
        <v>N/A</v>
      </c>
      <c r="AZ316" s="161" t="str">
        <f>Calculo!AZ316</f>
        <v>N/A</v>
      </c>
      <c r="BA316" s="163"/>
    </row>
    <row r="317" ht="12.0" customHeight="1">
      <c r="A317" s="88" t="str">
        <f>'Parâmetros'!$A$19</f>
        <v>Rel. Básico PJ</v>
      </c>
      <c r="B317" s="146"/>
      <c r="C317" s="146"/>
      <c r="D317" s="146"/>
      <c r="E317" s="149"/>
      <c r="F317" s="151"/>
      <c r="G317" s="151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53"/>
      <c r="AC317" s="146"/>
      <c r="AD317" s="151"/>
      <c r="AE317" s="151"/>
      <c r="AF317" s="151"/>
      <c r="AG317" s="151"/>
      <c r="AH317" s="151"/>
      <c r="AI317" s="151"/>
      <c r="AJ317" s="146"/>
      <c r="AK317" s="155"/>
      <c r="AL317" s="151"/>
      <c r="AM317" s="151"/>
      <c r="AN317" s="151"/>
      <c r="AO317" s="151"/>
      <c r="AP317" s="151"/>
      <c r="AQ317" s="157"/>
      <c r="AR317" s="151"/>
      <c r="AS317" s="159"/>
      <c r="AT317" s="160" t="str">
        <f>Calculo!AQ317</f>
        <v>N/A</v>
      </c>
      <c r="AU317" s="161" t="str">
        <f>Calculo!AV317</f>
        <v>N/A</v>
      </c>
      <c r="AV317" s="162" t="str">
        <f>Calculo!AW317</f>
        <v>N/A</v>
      </c>
      <c r="AW317" s="161" t="b">
        <f>Calculo!AX317</f>
        <v>0</v>
      </c>
      <c r="AX317" s="161" t="str">
        <f>Calculo!K317</f>
        <v>N/A</v>
      </c>
      <c r="AY317" s="161" t="str">
        <f>Calculo!AY317</f>
        <v>N/A</v>
      </c>
      <c r="AZ317" s="161" t="str">
        <f>Calculo!AZ317</f>
        <v>N/A</v>
      </c>
      <c r="BA317" s="163"/>
    </row>
    <row r="318" ht="12.0" customHeight="1">
      <c r="A318" s="88" t="str">
        <f>'Parâmetros'!$A$19</f>
        <v>Rel. Básico PJ</v>
      </c>
      <c r="B318" s="146"/>
      <c r="C318" s="146"/>
      <c r="D318" s="146"/>
      <c r="E318" s="149"/>
      <c r="F318" s="151"/>
      <c r="G318" s="151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53"/>
      <c r="AC318" s="146"/>
      <c r="AD318" s="151"/>
      <c r="AE318" s="151"/>
      <c r="AF318" s="151"/>
      <c r="AG318" s="151"/>
      <c r="AH318" s="151"/>
      <c r="AI318" s="151"/>
      <c r="AJ318" s="146"/>
      <c r="AK318" s="155"/>
      <c r="AL318" s="151"/>
      <c r="AM318" s="151"/>
      <c r="AN318" s="151"/>
      <c r="AO318" s="151"/>
      <c r="AP318" s="151"/>
      <c r="AQ318" s="157"/>
      <c r="AR318" s="151"/>
      <c r="AS318" s="159"/>
      <c r="AT318" s="160" t="str">
        <f>Calculo!AQ318</f>
        <v>N/A</v>
      </c>
      <c r="AU318" s="161" t="str">
        <f>Calculo!AV318</f>
        <v>N/A</v>
      </c>
      <c r="AV318" s="162" t="str">
        <f>Calculo!AW318</f>
        <v>N/A</v>
      </c>
      <c r="AW318" s="161" t="b">
        <f>Calculo!AX318</f>
        <v>0</v>
      </c>
      <c r="AX318" s="161" t="str">
        <f>Calculo!K318</f>
        <v>N/A</v>
      </c>
      <c r="AY318" s="161" t="str">
        <f>Calculo!AY318</f>
        <v>N/A</v>
      </c>
      <c r="AZ318" s="161" t="str">
        <f>Calculo!AZ318</f>
        <v>N/A</v>
      </c>
      <c r="BA318" s="163"/>
    </row>
    <row r="319" ht="12.0" customHeight="1">
      <c r="A319" s="88" t="str">
        <f>'Parâmetros'!$A$19</f>
        <v>Rel. Básico PJ</v>
      </c>
      <c r="B319" s="146"/>
      <c r="C319" s="146"/>
      <c r="D319" s="146"/>
      <c r="E319" s="149"/>
      <c r="F319" s="151"/>
      <c r="G319" s="151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53"/>
      <c r="AC319" s="146"/>
      <c r="AD319" s="151"/>
      <c r="AE319" s="151"/>
      <c r="AF319" s="151"/>
      <c r="AG319" s="151"/>
      <c r="AH319" s="151"/>
      <c r="AI319" s="151"/>
      <c r="AJ319" s="146"/>
      <c r="AK319" s="155"/>
      <c r="AL319" s="151"/>
      <c r="AM319" s="151"/>
      <c r="AN319" s="151"/>
      <c r="AO319" s="151"/>
      <c r="AP319" s="151"/>
      <c r="AQ319" s="157"/>
      <c r="AR319" s="151"/>
      <c r="AS319" s="159"/>
      <c r="AT319" s="160" t="str">
        <f>Calculo!AQ319</f>
        <v>N/A</v>
      </c>
      <c r="AU319" s="161" t="str">
        <f>Calculo!AV319</f>
        <v>N/A</v>
      </c>
      <c r="AV319" s="162" t="str">
        <f>Calculo!AW319</f>
        <v>N/A</v>
      </c>
      <c r="AW319" s="161" t="b">
        <f>Calculo!AX319</f>
        <v>0</v>
      </c>
      <c r="AX319" s="161" t="str">
        <f>Calculo!K319</f>
        <v>N/A</v>
      </c>
      <c r="AY319" s="161" t="str">
        <f>Calculo!AY319</f>
        <v>N/A</v>
      </c>
      <c r="AZ319" s="161" t="str">
        <f>Calculo!AZ319</f>
        <v>N/A</v>
      </c>
      <c r="BA319" s="163"/>
    </row>
    <row r="320" ht="12.0" customHeight="1">
      <c r="A320" s="88" t="str">
        <f>'Parâmetros'!$A$19</f>
        <v>Rel. Básico PJ</v>
      </c>
      <c r="B320" s="146"/>
      <c r="C320" s="146"/>
      <c r="D320" s="146"/>
      <c r="E320" s="149"/>
      <c r="F320" s="151"/>
      <c r="G320" s="151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53"/>
      <c r="AC320" s="146"/>
      <c r="AD320" s="151"/>
      <c r="AE320" s="151"/>
      <c r="AF320" s="151"/>
      <c r="AG320" s="151"/>
      <c r="AH320" s="151"/>
      <c r="AI320" s="151"/>
      <c r="AJ320" s="146"/>
      <c r="AK320" s="155"/>
      <c r="AL320" s="151"/>
      <c r="AM320" s="151"/>
      <c r="AN320" s="151"/>
      <c r="AO320" s="151"/>
      <c r="AP320" s="151"/>
      <c r="AQ320" s="157"/>
      <c r="AR320" s="151"/>
      <c r="AS320" s="159"/>
      <c r="AT320" s="160" t="str">
        <f>Calculo!AQ320</f>
        <v>N/A</v>
      </c>
      <c r="AU320" s="161" t="str">
        <f>Calculo!AV320</f>
        <v>N/A</v>
      </c>
      <c r="AV320" s="162" t="str">
        <f>Calculo!AW320</f>
        <v>N/A</v>
      </c>
      <c r="AW320" s="161" t="b">
        <f>Calculo!AX320</f>
        <v>0</v>
      </c>
      <c r="AX320" s="161" t="str">
        <f>Calculo!K320</f>
        <v>N/A</v>
      </c>
      <c r="AY320" s="161" t="str">
        <f>Calculo!AY320</f>
        <v>N/A</v>
      </c>
      <c r="AZ320" s="161" t="str">
        <f>Calculo!AZ320</f>
        <v>N/A</v>
      </c>
      <c r="BA320" s="163"/>
    </row>
    <row r="321" ht="12.0" customHeight="1">
      <c r="A321" s="88" t="str">
        <f>'Parâmetros'!$A$19</f>
        <v>Rel. Básico PJ</v>
      </c>
      <c r="B321" s="146"/>
      <c r="C321" s="146"/>
      <c r="D321" s="146"/>
      <c r="E321" s="149"/>
      <c r="F321" s="151"/>
      <c r="G321" s="151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53"/>
      <c r="AC321" s="146"/>
      <c r="AD321" s="151"/>
      <c r="AE321" s="151"/>
      <c r="AF321" s="151"/>
      <c r="AG321" s="151"/>
      <c r="AH321" s="151"/>
      <c r="AI321" s="151"/>
      <c r="AJ321" s="146"/>
      <c r="AK321" s="155"/>
      <c r="AL321" s="151"/>
      <c r="AM321" s="151"/>
      <c r="AN321" s="151"/>
      <c r="AO321" s="151"/>
      <c r="AP321" s="151"/>
      <c r="AQ321" s="157"/>
      <c r="AR321" s="151"/>
      <c r="AS321" s="159"/>
      <c r="AT321" s="160" t="str">
        <f>Calculo!AQ321</f>
        <v>N/A</v>
      </c>
      <c r="AU321" s="161" t="str">
        <f>Calculo!AV321</f>
        <v>N/A</v>
      </c>
      <c r="AV321" s="162" t="str">
        <f>Calculo!AW321</f>
        <v>N/A</v>
      </c>
      <c r="AW321" s="161" t="b">
        <f>Calculo!AX321</f>
        <v>0</v>
      </c>
      <c r="AX321" s="161" t="str">
        <f>Calculo!K321</f>
        <v>N/A</v>
      </c>
      <c r="AY321" s="161" t="str">
        <f>Calculo!AY321</f>
        <v>N/A</v>
      </c>
      <c r="AZ321" s="161" t="str">
        <f>Calculo!AZ321</f>
        <v>N/A</v>
      </c>
      <c r="BA321" s="163"/>
    </row>
    <row r="322" ht="12.0" customHeight="1">
      <c r="A322" s="88" t="str">
        <f>'Parâmetros'!$A$19</f>
        <v>Rel. Básico PJ</v>
      </c>
      <c r="B322" s="146"/>
      <c r="C322" s="146"/>
      <c r="D322" s="146"/>
      <c r="E322" s="149"/>
      <c r="F322" s="151"/>
      <c r="G322" s="151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53"/>
      <c r="AC322" s="146"/>
      <c r="AD322" s="151"/>
      <c r="AE322" s="151"/>
      <c r="AF322" s="151"/>
      <c r="AG322" s="151"/>
      <c r="AH322" s="151"/>
      <c r="AI322" s="151"/>
      <c r="AJ322" s="146"/>
      <c r="AK322" s="155"/>
      <c r="AL322" s="151"/>
      <c r="AM322" s="151"/>
      <c r="AN322" s="151"/>
      <c r="AO322" s="151"/>
      <c r="AP322" s="151"/>
      <c r="AQ322" s="157"/>
      <c r="AR322" s="151"/>
      <c r="AS322" s="159"/>
      <c r="AT322" s="160" t="str">
        <f>Calculo!AQ322</f>
        <v>N/A</v>
      </c>
      <c r="AU322" s="161" t="str">
        <f>Calculo!AV322</f>
        <v>N/A</v>
      </c>
      <c r="AV322" s="162" t="str">
        <f>Calculo!AW322</f>
        <v>N/A</v>
      </c>
      <c r="AW322" s="161" t="b">
        <f>Calculo!AX322</f>
        <v>0</v>
      </c>
      <c r="AX322" s="161" t="str">
        <f>Calculo!K322</f>
        <v>N/A</v>
      </c>
      <c r="AY322" s="161" t="str">
        <f>Calculo!AY322</f>
        <v>N/A</v>
      </c>
      <c r="AZ322" s="161" t="str">
        <f>Calculo!AZ322</f>
        <v>N/A</v>
      </c>
      <c r="BA322" s="163"/>
    </row>
    <row r="323" ht="12.0" customHeight="1">
      <c r="A323" s="88" t="str">
        <f>'Parâmetros'!$A$19</f>
        <v>Rel. Básico PJ</v>
      </c>
      <c r="B323" s="146"/>
      <c r="C323" s="146"/>
      <c r="D323" s="146"/>
      <c r="E323" s="149"/>
      <c r="F323" s="151"/>
      <c r="G323" s="151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53"/>
      <c r="AC323" s="146"/>
      <c r="AD323" s="151"/>
      <c r="AE323" s="151"/>
      <c r="AF323" s="151"/>
      <c r="AG323" s="151"/>
      <c r="AH323" s="151"/>
      <c r="AI323" s="151"/>
      <c r="AJ323" s="146"/>
      <c r="AK323" s="155"/>
      <c r="AL323" s="151"/>
      <c r="AM323" s="151"/>
      <c r="AN323" s="151"/>
      <c r="AO323" s="151"/>
      <c r="AP323" s="151"/>
      <c r="AQ323" s="157"/>
      <c r="AR323" s="151"/>
      <c r="AS323" s="159"/>
      <c r="AT323" s="160" t="str">
        <f>Calculo!AQ323</f>
        <v>N/A</v>
      </c>
      <c r="AU323" s="161" t="str">
        <f>Calculo!AV323</f>
        <v>N/A</v>
      </c>
      <c r="AV323" s="162" t="str">
        <f>Calculo!AW323</f>
        <v>N/A</v>
      </c>
      <c r="AW323" s="161" t="b">
        <f>Calculo!AX323</f>
        <v>0</v>
      </c>
      <c r="AX323" s="161" t="str">
        <f>Calculo!K323</f>
        <v>N/A</v>
      </c>
      <c r="AY323" s="161" t="str">
        <f>Calculo!AY323</f>
        <v>N/A</v>
      </c>
      <c r="AZ323" s="161" t="str">
        <f>Calculo!AZ323</f>
        <v>N/A</v>
      </c>
      <c r="BA323" s="163"/>
    </row>
    <row r="324" ht="12.0" customHeight="1">
      <c r="A324" s="88" t="str">
        <f>'Parâmetros'!$A$19</f>
        <v>Rel. Básico PJ</v>
      </c>
      <c r="B324" s="146"/>
      <c r="C324" s="146"/>
      <c r="D324" s="146"/>
      <c r="E324" s="149"/>
      <c r="F324" s="151"/>
      <c r="G324" s="151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53"/>
      <c r="AC324" s="146"/>
      <c r="AD324" s="151"/>
      <c r="AE324" s="151"/>
      <c r="AF324" s="151"/>
      <c r="AG324" s="151"/>
      <c r="AH324" s="151"/>
      <c r="AI324" s="151"/>
      <c r="AJ324" s="146"/>
      <c r="AK324" s="155"/>
      <c r="AL324" s="151"/>
      <c r="AM324" s="151"/>
      <c r="AN324" s="151"/>
      <c r="AO324" s="151"/>
      <c r="AP324" s="151"/>
      <c r="AQ324" s="157"/>
      <c r="AR324" s="151"/>
      <c r="AS324" s="159"/>
      <c r="AT324" s="160" t="str">
        <f>Calculo!AQ324</f>
        <v>N/A</v>
      </c>
      <c r="AU324" s="161" t="str">
        <f>Calculo!AV324</f>
        <v>N/A</v>
      </c>
      <c r="AV324" s="162" t="str">
        <f>Calculo!AW324</f>
        <v>N/A</v>
      </c>
      <c r="AW324" s="161" t="b">
        <f>Calculo!AX324</f>
        <v>0</v>
      </c>
      <c r="AX324" s="161" t="str">
        <f>Calculo!K324</f>
        <v>N/A</v>
      </c>
      <c r="AY324" s="161" t="str">
        <f>Calculo!AY324</f>
        <v>N/A</v>
      </c>
      <c r="AZ324" s="161" t="str">
        <f>Calculo!AZ324</f>
        <v>N/A</v>
      </c>
      <c r="BA324" s="163"/>
    </row>
    <row r="325" ht="12.0" customHeight="1">
      <c r="A325" s="88" t="str">
        <f>'Parâmetros'!$A$19</f>
        <v>Rel. Básico PJ</v>
      </c>
      <c r="B325" s="146"/>
      <c r="C325" s="146"/>
      <c r="D325" s="146"/>
      <c r="E325" s="149"/>
      <c r="F325" s="151"/>
      <c r="G325" s="151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53"/>
      <c r="AC325" s="146"/>
      <c r="AD325" s="151"/>
      <c r="AE325" s="151"/>
      <c r="AF325" s="151"/>
      <c r="AG325" s="151"/>
      <c r="AH325" s="151"/>
      <c r="AI325" s="151"/>
      <c r="AJ325" s="146"/>
      <c r="AK325" s="155"/>
      <c r="AL325" s="151"/>
      <c r="AM325" s="151"/>
      <c r="AN325" s="151"/>
      <c r="AO325" s="151"/>
      <c r="AP325" s="151"/>
      <c r="AQ325" s="157"/>
      <c r="AR325" s="151"/>
      <c r="AS325" s="159"/>
      <c r="AT325" s="160" t="str">
        <f>Calculo!AQ325</f>
        <v>N/A</v>
      </c>
      <c r="AU325" s="161" t="str">
        <f>Calculo!AV325</f>
        <v>N/A</v>
      </c>
      <c r="AV325" s="162" t="str">
        <f>Calculo!AW325</f>
        <v>N/A</v>
      </c>
      <c r="AW325" s="161" t="b">
        <f>Calculo!AX325</f>
        <v>0</v>
      </c>
      <c r="AX325" s="161" t="str">
        <f>Calculo!K325</f>
        <v>N/A</v>
      </c>
      <c r="AY325" s="161" t="str">
        <f>Calculo!AY325</f>
        <v>N/A</v>
      </c>
      <c r="AZ325" s="161" t="str">
        <f>Calculo!AZ325</f>
        <v>N/A</v>
      </c>
      <c r="BA325" s="163"/>
    </row>
    <row r="326" ht="12.0" customHeight="1">
      <c r="A326" s="88" t="str">
        <f>'Parâmetros'!$A$19</f>
        <v>Rel. Básico PJ</v>
      </c>
      <c r="B326" s="146"/>
      <c r="C326" s="146"/>
      <c r="D326" s="146"/>
      <c r="E326" s="149"/>
      <c r="F326" s="151"/>
      <c r="G326" s="151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53"/>
      <c r="AC326" s="146"/>
      <c r="AD326" s="151"/>
      <c r="AE326" s="151"/>
      <c r="AF326" s="151"/>
      <c r="AG326" s="151"/>
      <c r="AH326" s="151"/>
      <c r="AI326" s="151"/>
      <c r="AJ326" s="146"/>
      <c r="AK326" s="155"/>
      <c r="AL326" s="151"/>
      <c r="AM326" s="151"/>
      <c r="AN326" s="151"/>
      <c r="AO326" s="151"/>
      <c r="AP326" s="151"/>
      <c r="AQ326" s="157"/>
      <c r="AR326" s="151"/>
      <c r="AS326" s="159"/>
      <c r="AT326" s="160" t="str">
        <f>Calculo!AQ326</f>
        <v>N/A</v>
      </c>
      <c r="AU326" s="161" t="str">
        <f>Calculo!AV326</f>
        <v>N/A</v>
      </c>
      <c r="AV326" s="162" t="str">
        <f>Calculo!AW326</f>
        <v>N/A</v>
      </c>
      <c r="AW326" s="161" t="b">
        <f>Calculo!AX326</f>
        <v>0</v>
      </c>
      <c r="AX326" s="161" t="str">
        <f>Calculo!K326</f>
        <v>N/A</v>
      </c>
      <c r="AY326" s="161" t="str">
        <f>Calculo!AY326</f>
        <v>N/A</v>
      </c>
      <c r="AZ326" s="161" t="str">
        <f>Calculo!AZ326</f>
        <v>N/A</v>
      </c>
      <c r="BA326" s="163"/>
    </row>
    <row r="327" ht="12.0" customHeight="1">
      <c r="A327" s="88" t="str">
        <f>'Parâmetros'!$A$19</f>
        <v>Rel. Básico PJ</v>
      </c>
      <c r="B327" s="146"/>
      <c r="C327" s="146"/>
      <c r="D327" s="146"/>
      <c r="E327" s="149"/>
      <c r="F327" s="151"/>
      <c r="G327" s="151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53"/>
      <c r="AC327" s="146"/>
      <c r="AD327" s="151"/>
      <c r="AE327" s="151"/>
      <c r="AF327" s="151"/>
      <c r="AG327" s="151"/>
      <c r="AH327" s="151"/>
      <c r="AI327" s="151"/>
      <c r="AJ327" s="146"/>
      <c r="AK327" s="155"/>
      <c r="AL327" s="151"/>
      <c r="AM327" s="151"/>
      <c r="AN327" s="151"/>
      <c r="AO327" s="151"/>
      <c r="AP327" s="151"/>
      <c r="AQ327" s="157"/>
      <c r="AR327" s="151"/>
      <c r="AS327" s="159"/>
      <c r="AT327" s="160" t="str">
        <f>Calculo!AQ327</f>
        <v>N/A</v>
      </c>
      <c r="AU327" s="161" t="str">
        <f>Calculo!AV327</f>
        <v>N/A</v>
      </c>
      <c r="AV327" s="162" t="str">
        <f>Calculo!AW327</f>
        <v>N/A</v>
      </c>
      <c r="AW327" s="161" t="b">
        <f>Calculo!AX327</f>
        <v>0</v>
      </c>
      <c r="AX327" s="161" t="str">
        <f>Calculo!K327</f>
        <v>N/A</v>
      </c>
      <c r="AY327" s="161" t="str">
        <f>Calculo!AY327</f>
        <v>N/A</v>
      </c>
      <c r="AZ327" s="161" t="str">
        <f>Calculo!AZ327</f>
        <v>N/A</v>
      </c>
      <c r="BA327" s="163"/>
    </row>
    <row r="328" ht="12.0" customHeight="1">
      <c r="A328" s="88" t="str">
        <f>'Parâmetros'!$A$19</f>
        <v>Rel. Básico PJ</v>
      </c>
      <c r="B328" s="146"/>
      <c r="C328" s="146"/>
      <c r="D328" s="146"/>
      <c r="E328" s="149"/>
      <c r="F328" s="151"/>
      <c r="G328" s="151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53"/>
      <c r="AC328" s="146"/>
      <c r="AD328" s="151"/>
      <c r="AE328" s="151"/>
      <c r="AF328" s="151"/>
      <c r="AG328" s="151"/>
      <c r="AH328" s="151"/>
      <c r="AI328" s="151"/>
      <c r="AJ328" s="146"/>
      <c r="AK328" s="155"/>
      <c r="AL328" s="151"/>
      <c r="AM328" s="151"/>
      <c r="AN328" s="151"/>
      <c r="AO328" s="151"/>
      <c r="AP328" s="151"/>
      <c r="AQ328" s="157"/>
      <c r="AR328" s="151"/>
      <c r="AS328" s="159"/>
      <c r="AT328" s="160" t="str">
        <f>Calculo!AQ328</f>
        <v>N/A</v>
      </c>
      <c r="AU328" s="161" t="str">
        <f>Calculo!AV328</f>
        <v>N/A</v>
      </c>
      <c r="AV328" s="162" t="str">
        <f>Calculo!AW328</f>
        <v>N/A</v>
      </c>
      <c r="AW328" s="161" t="b">
        <f>Calculo!AX328</f>
        <v>0</v>
      </c>
      <c r="AX328" s="161" t="str">
        <f>Calculo!K328</f>
        <v>N/A</v>
      </c>
      <c r="AY328" s="161" t="str">
        <f>Calculo!AY328</f>
        <v>N/A</v>
      </c>
      <c r="AZ328" s="161" t="str">
        <f>Calculo!AZ328</f>
        <v>N/A</v>
      </c>
      <c r="BA328" s="163"/>
    </row>
    <row r="329" ht="12.0" customHeight="1">
      <c r="A329" s="88" t="str">
        <f>'Parâmetros'!$A$19</f>
        <v>Rel. Básico PJ</v>
      </c>
      <c r="B329" s="146"/>
      <c r="C329" s="146"/>
      <c r="D329" s="146"/>
      <c r="E329" s="149"/>
      <c r="F329" s="151"/>
      <c r="G329" s="151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53"/>
      <c r="AC329" s="146"/>
      <c r="AD329" s="151"/>
      <c r="AE329" s="151"/>
      <c r="AF329" s="151"/>
      <c r="AG329" s="151"/>
      <c r="AH329" s="151"/>
      <c r="AI329" s="151"/>
      <c r="AJ329" s="146"/>
      <c r="AK329" s="155"/>
      <c r="AL329" s="151"/>
      <c r="AM329" s="151"/>
      <c r="AN329" s="151"/>
      <c r="AO329" s="151"/>
      <c r="AP329" s="151"/>
      <c r="AQ329" s="157"/>
      <c r="AR329" s="151"/>
      <c r="AS329" s="159"/>
      <c r="AT329" s="160" t="str">
        <f>Calculo!AQ329</f>
        <v>N/A</v>
      </c>
      <c r="AU329" s="161" t="str">
        <f>Calculo!AV329</f>
        <v>N/A</v>
      </c>
      <c r="AV329" s="162" t="str">
        <f>Calculo!AW329</f>
        <v>N/A</v>
      </c>
      <c r="AW329" s="161" t="b">
        <f>Calculo!AX329</f>
        <v>0</v>
      </c>
      <c r="AX329" s="161" t="str">
        <f>Calculo!K329</f>
        <v>N/A</v>
      </c>
      <c r="AY329" s="161" t="str">
        <f>Calculo!AY329</f>
        <v>N/A</v>
      </c>
      <c r="AZ329" s="161" t="str">
        <f>Calculo!AZ329</f>
        <v>N/A</v>
      </c>
      <c r="BA329" s="163"/>
    </row>
    <row r="330" ht="12.0" customHeight="1">
      <c r="A330" s="88" t="str">
        <f>'Parâmetros'!$A$19</f>
        <v>Rel. Básico PJ</v>
      </c>
      <c r="B330" s="146"/>
      <c r="C330" s="146"/>
      <c r="D330" s="146"/>
      <c r="E330" s="149"/>
      <c r="F330" s="151"/>
      <c r="G330" s="151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53"/>
      <c r="AC330" s="146"/>
      <c r="AD330" s="151"/>
      <c r="AE330" s="151"/>
      <c r="AF330" s="151"/>
      <c r="AG330" s="151"/>
      <c r="AH330" s="151"/>
      <c r="AI330" s="151"/>
      <c r="AJ330" s="146"/>
      <c r="AK330" s="155"/>
      <c r="AL330" s="151"/>
      <c r="AM330" s="151"/>
      <c r="AN330" s="151"/>
      <c r="AO330" s="151"/>
      <c r="AP330" s="151"/>
      <c r="AQ330" s="157"/>
      <c r="AR330" s="151"/>
      <c r="AS330" s="159"/>
      <c r="AT330" s="160" t="str">
        <f>Calculo!AQ330</f>
        <v>N/A</v>
      </c>
      <c r="AU330" s="161" t="str">
        <f>Calculo!AV330</f>
        <v>N/A</v>
      </c>
      <c r="AV330" s="162" t="str">
        <f>Calculo!AW330</f>
        <v>N/A</v>
      </c>
      <c r="AW330" s="161" t="b">
        <f>Calculo!AX330</f>
        <v>0</v>
      </c>
      <c r="AX330" s="161" t="str">
        <f>Calculo!K330</f>
        <v>N/A</v>
      </c>
      <c r="AY330" s="161" t="str">
        <f>Calculo!AY330</f>
        <v>N/A</v>
      </c>
      <c r="AZ330" s="161" t="str">
        <f>Calculo!AZ330</f>
        <v>N/A</v>
      </c>
      <c r="BA330" s="163"/>
    </row>
    <row r="331" ht="12.0" customHeight="1">
      <c r="A331" s="88" t="str">
        <f>'Parâmetros'!$A$19</f>
        <v>Rel. Básico PJ</v>
      </c>
      <c r="B331" s="146"/>
      <c r="C331" s="146"/>
      <c r="D331" s="146"/>
      <c r="E331" s="149"/>
      <c r="F331" s="151"/>
      <c r="G331" s="151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53"/>
      <c r="AC331" s="146"/>
      <c r="AD331" s="151"/>
      <c r="AE331" s="151"/>
      <c r="AF331" s="151"/>
      <c r="AG331" s="151"/>
      <c r="AH331" s="151"/>
      <c r="AI331" s="151"/>
      <c r="AJ331" s="146"/>
      <c r="AK331" s="155"/>
      <c r="AL331" s="151"/>
      <c r="AM331" s="151"/>
      <c r="AN331" s="151"/>
      <c r="AO331" s="151"/>
      <c r="AP331" s="151"/>
      <c r="AQ331" s="157"/>
      <c r="AR331" s="151"/>
      <c r="AS331" s="159"/>
      <c r="AT331" s="160" t="str">
        <f>Calculo!AQ331</f>
        <v>N/A</v>
      </c>
      <c r="AU331" s="161" t="str">
        <f>Calculo!AV331</f>
        <v>N/A</v>
      </c>
      <c r="AV331" s="162" t="str">
        <f>Calculo!AW331</f>
        <v>N/A</v>
      </c>
      <c r="AW331" s="161" t="b">
        <f>Calculo!AX331</f>
        <v>0</v>
      </c>
      <c r="AX331" s="161" t="str">
        <f>Calculo!K331</f>
        <v>N/A</v>
      </c>
      <c r="AY331" s="161" t="str">
        <f>Calculo!AY331</f>
        <v>N/A</v>
      </c>
      <c r="AZ331" s="161" t="str">
        <f>Calculo!AZ331</f>
        <v>N/A</v>
      </c>
      <c r="BA331" s="163"/>
    </row>
    <row r="332" ht="12.0" customHeight="1">
      <c r="A332" s="88" t="str">
        <f>'Parâmetros'!$A$19</f>
        <v>Rel. Básico PJ</v>
      </c>
      <c r="B332" s="146"/>
      <c r="C332" s="146"/>
      <c r="D332" s="146"/>
      <c r="E332" s="149"/>
      <c r="F332" s="151"/>
      <c r="G332" s="151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53"/>
      <c r="AC332" s="146"/>
      <c r="AD332" s="151"/>
      <c r="AE332" s="151"/>
      <c r="AF332" s="151"/>
      <c r="AG332" s="151"/>
      <c r="AH332" s="151"/>
      <c r="AI332" s="151"/>
      <c r="AJ332" s="146"/>
      <c r="AK332" s="155"/>
      <c r="AL332" s="151"/>
      <c r="AM332" s="151"/>
      <c r="AN332" s="151"/>
      <c r="AO332" s="151"/>
      <c r="AP332" s="151"/>
      <c r="AQ332" s="157"/>
      <c r="AR332" s="151"/>
      <c r="AS332" s="159"/>
      <c r="AT332" s="160" t="str">
        <f>Calculo!AQ332</f>
        <v>N/A</v>
      </c>
      <c r="AU332" s="161" t="str">
        <f>Calculo!AV332</f>
        <v>N/A</v>
      </c>
      <c r="AV332" s="162" t="str">
        <f>Calculo!AW332</f>
        <v>N/A</v>
      </c>
      <c r="AW332" s="161" t="b">
        <f>Calculo!AX332</f>
        <v>0</v>
      </c>
      <c r="AX332" s="161" t="str">
        <f>Calculo!K332</f>
        <v>N/A</v>
      </c>
      <c r="AY332" s="161" t="str">
        <f>Calculo!AY332</f>
        <v>N/A</v>
      </c>
      <c r="AZ332" s="161" t="str">
        <f>Calculo!AZ332</f>
        <v>N/A</v>
      </c>
      <c r="BA332" s="163"/>
    </row>
    <row r="333" ht="12.0" customHeight="1">
      <c r="A333" s="88" t="str">
        <f>'Parâmetros'!$A$19</f>
        <v>Rel. Básico PJ</v>
      </c>
      <c r="B333" s="146"/>
      <c r="C333" s="146"/>
      <c r="D333" s="146"/>
      <c r="E333" s="149"/>
      <c r="F333" s="151"/>
      <c r="G333" s="151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53"/>
      <c r="AC333" s="146"/>
      <c r="AD333" s="151"/>
      <c r="AE333" s="151"/>
      <c r="AF333" s="151"/>
      <c r="AG333" s="151"/>
      <c r="AH333" s="151"/>
      <c r="AI333" s="151"/>
      <c r="AJ333" s="146"/>
      <c r="AK333" s="155"/>
      <c r="AL333" s="151"/>
      <c r="AM333" s="151"/>
      <c r="AN333" s="151"/>
      <c r="AO333" s="151"/>
      <c r="AP333" s="151"/>
      <c r="AQ333" s="157"/>
      <c r="AR333" s="151"/>
      <c r="AS333" s="159"/>
      <c r="AT333" s="160" t="str">
        <f>Calculo!AQ333</f>
        <v>N/A</v>
      </c>
      <c r="AU333" s="161" t="str">
        <f>Calculo!AV333</f>
        <v>N/A</v>
      </c>
      <c r="AV333" s="162" t="str">
        <f>Calculo!AW333</f>
        <v>N/A</v>
      </c>
      <c r="AW333" s="161" t="b">
        <f>Calculo!AX333</f>
        <v>0</v>
      </c>
      <c r="AX333" s="161" t="str">
        <f>Calculo!K333</f>
        <v>N/A</v>
      </c>
      <c r="AY333" s="161" t="str">
        <f>Calculo!AY333</f>
        <v>N/A</v>
      </c>
      <c r="AZ333" s="161" t="str">
        <f>Calculo!AZ333</f>
        <v>N/A</v>
      </c>
      <c r="BA333" s="163"/>
    </row>
    <row r="334" ht="12.0" customHeight="1">
      <c r="A334" s="88" t="str">
        <f>'Parâmetros'!$A$19</f>
        <v>Rel. Básico PJ</v>
      </c>
      <c r="B334" s="146"/>
      <c r="C334" s="146"/>
      <c r="D334" s="146"/>
      <c r="E334" s="149"/>
      <c r="F334" s="151"/>
      <c r="G334" s="151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53"/>
      <c r="AC334" s="146"/>
      <c r="AD334" s="151"/>
      <c r="AE334" s="151"/>
      <c r="AF334" s="151"/>
      <c r="AG334" s="151"/>
      <c r="AH334" s="151"/>
      <c r="AI334" s="151"/>
      <c r="AJ334" s="146"/>
      <c r="AK334" s="155"/>
      <c r="AL334" s="151"/>
      <c r="AM334" s="151"/>
      <c r="AN334" s="151"/>
      <c r="AO334" s="151"/>
      <c r="AP334" s="151"/>
      <c r="AQ334" s="157"/>
      <c r="AR334" s="151"/>
      <c r="AS334" s="159"/>
      <c r="AT334" s="160" t="str">
        <f>Calculo!AQ334</f>
        <v>N/A</v>
      </c>
      <c r="AU334" s="161" t="str">
        <f>Calculo!AV334</f>
        <v>N/A</v>
      </c>
      <c r="AV334" s="162" t="str">
        <f>Calculo!AW334</f>
        <v>N/A</v>
      </c>
      <c r="AW334" s="161" t="b">
        <f>Calculo!AX334</f>
        <v>0</v>
      </c>
      <c r="AX334" s="161" t="str">
        <f>Calculo!K334</f>
        <v>N/A</v>
      </c>
      <c r="AY334" s="161" t="str">
        <f>Calculo!AY334</f>
        <v>N/A</v>
      </c>
      <c r="AZ334" s="161" t="str">
        <f>Calculo!AZ334</f>
        <v>N/A</v>
      </c>
      <c r="BA334" s="163"/>
    </row>
    <row r="335" ht="12.0" customHeight="1">
      <c r="A335" s="88" t="str">
        <f>'Parâmetros'!$A$19</f>
        <v>Rel. Básico PJ</v>
      </c>
      <c r="B335" s="146"/>
      <c r="C335" s="146"/>
      <c r="D335" s="146"/>
      <c r="E335" s="149"/>
      <c r="F335" s="151"/>
      <c r="G335" s="151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53"/>
      <c r="AC335" s="146"/>
      <c r="AD335" s="151"/>
      <c r="AE335" s="151"/>
      <c r="AF335" s="151"/>
      <c r="AG335" s="151"/>
      <c r="AH335" s="151"/>
      <c r="AI335" s="151"/>
      <c r="AJ335" s="146"/>
      <c r="AK335" s="155"/>
      <c r="AL335" s="151"/>
      <c r="AM335" s="151"/>
      <c r="AN335" s="151"/>
      <c r="AO335" s="151"/>
      <c r="AP335" s="151"/>
      <c r="AQ335" s="157"/>
      <c r="AR335" s="151"/>
      <c r="AS335" s="159"/>
      <c r="AT335" s="160" t="str">
        <f>Calculo!AQ335</f>
        <v>N/A</v>
      </c>
      <c r="AU335" s="161" t="str">
        <f>Calculo!AV335</f>
        <v>N/A</v>
      </c>
      <c r="AV335" s="162" t="str">
        <f>Calculo!AW335</f>
        <v>N/A</v>
      </c>
      <c r="AW335" s="161" t="b">
        <f>Calculo!AX335</f>
        <v>0</v>
      </c>
      <c r="AX335" s="161" t="str">
        <f>Calculo!K335</f>
        <v>N/A</v>
      </c>
      <c r="AY335" s="161" t="str">
        <f>Calculo!AY335</f>
        <v>N/A</v>
      </c>
      <c r="AZ335" s="161" t="str">
        <f>Calculo!AZ335</f>
        <v>N/A</v>
      </c>
      <c r="BA335" s="163"/>
    </row>
    <row r="336" ht="12.0" customHeight="1">
      <c r="A336" s="88" t="str">
        <f>'Parâmetros'!$A$19</f>
        <v>Rel. Básico PJ</v>
      </c>
      <c r="B336" s="146"/>
      <c r="C336" s="146"/>
      <c r="D336" s="146"/>
      <c r="E336" s="149"/>
      <c r="F336" s="151"/>
      <c r="G336" s="151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53"/>
      <c r="AC336" s="146"/>
      <c r="AD336" s="151"/>
      <c r="AE336" s="151"/>
      <c r="AF336" s="151"/>
      <c r="AG336" s="151"/>
      <c r="AH336" s="151"/>
      <c r="AI336" s="151"/>
      <c r="AJ336" s="146"/>
      <c r="AK336" s="155"/>
      <c r="AL336" s="151"/>
      <c r="AM336" s="151"/>
      <c r="AN336" s="151"/>
      <c r="AO336" s="151"/>
      <c r="AP336" s="151"/>
      <c r="AQ336" s="157"/>
      <c r="AR336" s="151"/>
      <c r="AS336" s="159"/>
      <c r="AT336" s="160" t="str">
        <f>Calculo!AQ336</f>
        <v>N/A</v>
      </c>
      <c r="AU336" s="161" t="str">
        <f>Calculo!AV336</f>
        <v>N/A</v>
      </c>
      <c r="AV336" s="162" t="str">
        <f>Calculo!AW336</f>
        <v>N/A</v>
      </c>
      <c r="AW336" s="161" t="b">
        <f>Calculo!AX336</f>
        <v>0</v>
      </c>
      <c r="AX336" s="161" t="str">
        <f>Calculo!K336</f>
        <v>N/A</v>
      </c>
      <c r="AY336" s="161" t="str">
        <f>Calculo!AY336</f>
        <v>N/A</v>
      </c>
      <c r="AZ336" s="161" t="str">
        <f>Calculo!AZ336</f>
        <v>N/A</v>
      </c>
      <c r="BA336" s="163"/>
    </row>
    <row r="337" ht="12.0" customHeight="1">
      <c r="A337" s="88" t="str">
        <f>'Parâmetros'!$A$19</f>
        <v>Rel. Básico PJ</v>
      </c>
      <c r="B337" s="146"/>
      <c r="C337" s="146"/>
      <c r="D337" s="146"/>
      <c r="E337" s="149"/>
      <c r="F337" s="151"/>
      <c r="G337" s="151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53"/>
      <c r="AC337" s="146"/>
      <c r="AD337" s="151"/>
      <c r="AE337" s="151"/>
      <c r="AF337" s="151"/>
      <c r="AG337" s="151"/>
      <c r="AH337" s="151"/>
      <c r="AI337" s="151"/>
      <c r="AJ337" s="146"/>
      <c r="AK337" s="155"/>
      <c r="AL337" s="151"/>
      <c r="AM337" s="151"/>
      <c r="AN337" s="151"/>
      <c r="AO337" s="151"/>
      <c r="AP337" s="151"/>
      <c r="AQ337" s="157"/>
      <c r="AR337" s="151"/>
      <c r="AS337" s="159"/>
      <c r="AT337" s="160" t="str">
        <f>Calculo!AQ337</f>
        <v>N/A</v>
      </c>
      <c r="AU337" s="161" t="str">
        <f>Calculo!AV337</f>
        <v>N/A</v>
      </c>
      <c r="AV337" s="162" t="str">
        <f>Calculo!AW337</f>
        <v>N/A</v>
      </c>
      <c r="AW337" s="161" t="b">
        <f>Calculo!AX337</f>
        <v>0</v>
      </c>
      <c r="AX337" s="161" t="str">
        <f>Calculo!K337</f>
        <v>N/A</v>
      </c>
      <c r="AY337" s="161" t="str">
        <f>Calculo!AY337</f>
        <v>N/A</v>
      </c>
      <c r="AZ337" s="161" t="str">
        <f>Calculo!AZ337</f>
        <v>N/A</v>
      </c>
      <c r="BA337" s="163"/>
    </row>
    <row r="338" ht="12.0" customHeight="1">
      <c r="A338" s="88" t="str">
        <f>'Parâmetros'!$A$19</f>
        <v>Rel. Básico PJ</v>
      </c>
      <c r="B338" s="146"/>
      <c r="C338" s="146"/>
      <c r="D338" s="146"/>
      <c r="E338" s="149"/>
      <c r="F338" s="151"/>
      <c r="G338" s="151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53"/>
      <c r="AC338" s="146"/>
      <c r="AD338" s="151"/>
      <c r="AE338" s="151"/>
      <c r="AF338" s="151"/>
      <c r="AG338" s="151"/>
      <c r="AH338" s="151"/>
      <c r="AI338" s="151"/>
      <c r="AJ338" s="146"/>
      <c r="AK338" s="155"/>
      <c r="AL338" s="151"/>
      <c r="AM338" s="151"/>
      <c r="AN338" s="151"/>
      <c r="AO338" s="151"/>
      <c r="AP338" s="151"/>
      <c r="AQ338" s="157"/>
      <c r="AR338" s="151"/>
      <c r="AS338" s="159"/>
      <c r="AT338" s="160" t="str">
        <f>Calculo!AQ338</f>
        <v>N/A</v>
      </c>
      <c r="AU338" s="161" t="str">
        <f>Calculo!AV338</f>
        <v>N/A</v>
      </c>
      <c r="AV338" s="162" t="str">
        <f>Calculo!AW338</f>
        <v>N/A</v>
      </c>
      <c r="AW338" s="161" t="b">
        <f>Calculo!AX338</f>
        <v>0</v>
      </c>
      <c r="AX338" s="161" t="str">
        <f>Calculo!K338</f>
        <v>N/A</v>
      </c>
      <c r="AY338" s="161" t="str">
        <f>Calculo!AY338</f>
        <v>N/A</v>
      </c>
      <c r="AZ338" s="161" t="str">
        <f>Calculo!AZ338</f>
        <v>N/A</v>
      </c>
      <c r="BA338" s="163"/>
    </row>
    <row r="339" ht="12.0" customHeight="1">
      <c r="A339" s="88" t="str">
        <f>'Parâmetros'!$A$19</f>
        <v>Rel. Básico PJ</v>
      </c>
      <c r="B339" s="146"/>
      <c r="C339" s="146"/>
      <c r="D339" s="146"/>
      <c r="E339" s="149"/>
      <c r="F339" s="151"/>
      <c r="G339" s="151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53"/>
      <c r="AC339" s="146"/>
      <c r="AD339" s="151"/>
      <c r="AE339" s="151"/>
      <c r="AF339" s="151"/>
      <c r="AG339" s="151"/>
      <c r="AH339" s="151"/>
      <c r="AI339" s="151"/>
      <c r="AJ339" s="146"/>
      <c r="AK339" s="155"/>
      <c r="AL339" s="151"/>
      <c r="AM339" s="151"/>
      <c r="AN339" s="151"/>
      <c r="AO339" s="151"/>
      <c r="AP339" s="151"/>
      <c r="AQ339" s="157"/>
      <c r="AR339" s="151"/>
      <c r="AS339" s="159"/>
      <c r="AT339" s="160" t="str">
        <f>Calculo!AQ339</f>
        <v>N/A</v>
      </c>
      <c r="AU339" s="161" t="str">
        <f>Calculo!AV339</f>
        <v>N/A</v>
      </c>
      <c r="AV339" s="162" t="str">
        <f>Calculo!AW339</f>
        <v>N/A</v>
      </c>
      <c r="AW339" s="161" t="b">
        <f>Calculo!AX339</f>
        <v>0</v>
      </c>
      <c r="AX339" s="161" t="str">
        <f>Calculo!K339</f>
        <v>N/A</v>
      </c>
      <c r="AY339" s="161" t="str">
        <f>Calculo!AY339</f>
        <v>N/A</v>
      </c>
      <c r="AZ339" s="161" t="str">
        <f>Calculo!AZ339</f>
        <v>N/A</v>
      </c>
      <c r="BA339" s="163"/>
    </row>
    <row r="340" ht="12.0" customHeight="1">
      <c r="A340" s="88" t="str">
        <f>'Parâmetros'!$A$19</f>
        <v>Rel. Básico PJ</v>
      </c>
      <c r="B340" s="146"/>
      <c r="C340" s="146"/>
      <c r="D340" s="146"/>
      <c r="E340" s="149"/>
      <c r="F340" s="151"/>
      <c r="G340" s="151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53"/>
      <c r="AC340" s="146"/>
      <c r="AD340" s="151"/>
      <c r="AE340" s="151"/>
      <c r="AF340" s="151"/>
      <c r="AG340" s="151"/>
      <c r="AH340" s="151"/>
      <c r="AI340" s="151"/>
      <c r="AJ340" s="146"/>
      <c r="AK340" s="155"/>
      <c r="AL340" s="151"/>
      <c r="AM340" s="151"/>
      <c r="AN340" s="151"/>
      <c r="AO340" s="151"/>
      <c r="AP340" s="151"/>
      <c r="AQ340" s="157"/>
      <c r="AR340" s="151"/>
      <c r="AS340" s="159"/>
      <c r="AT340" s="160" t="str">
        <f>Calculo!AQ340</f>
        <v>N/A</v>
      </c>
      <c r="AU340" s="161" t="str">
        <f>Calculo!AV340</f>
        <v>N/A</v>
      </c>
      <c r="AV340" s="162" t="str">
        <f>Calculo!AW340</f>
        <v>N/A</v>
      </c>
      <c r="AW340" s="161" t="b">
        <f>Calculo!AX340</f>
        <v>0</v>
      </c>
      <c r="AX340" s="161" t="str">
        <f>Calculo!K340</f>
        <v>N/A</v>
      </c>
      <c r="AY340" s="161" t="str">
        <f>Calculo!AY340</f>
        <v>N/A</v>
      </c>
      <c r="AZ340" s="161" t="str">
        <f>Calculo!AZ340</f>
        <v>N/A</v>
      </c>
      <c r="BA340" s="163"/>
    </row>
    <row r="341" ht="12.0" customHeight="1">
      <c r="A341" s="88" t="str">
        <f>'Parâmetros'!$A$19</f>
        <v>Rel. Básico PJ</v>
      </c>
      <c r="B341" s="146"/>
      <c r="C341" s="146"/>
      <c r="D341" s="146"/>
      <c r="E341" s="149"/>
      <c r="F341" s="151"/>
      <c r="G341" s="151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53"/>
      <c r="AC341" s="146"/>
      <c r="AD341" s="151"/>
      <c r="AE341" s="151"/>
      <c r="AF341" s="151"/>
      <c r="AG341" s="151"/>
      <c r="AH341" s="151"/>
      <c r="AI341" s="151"/>
      <c r="AJ341" s="146"/>
      <c r="AK341" s="155"/>
      <c r="AL341" s="151"/>
      <c r="AM341" s="151"/>
      <c r="AN341" s="151"/>
      <c r="AO341" s="151"/>
      <c r="AP341" s="151"/>
      <c r="AQ341" s="157"/>
      <c r="AR341" s="151"/>
      <c r="AS341" s="159"/>
      <c r="AT341" s="160" t="str">
        <f>Calculo!AQ341</f>
        <v>N/A</v>
      </c>
      <c r="AU341" s="161" t="str">
        <f>Calculo!AV341</f>
        <v>N/A</v>
      </c>
      <c r="AV341" s="162" t="str">
        <f>Calculo!AW341</f>
        <v>N/A</v>
      </c>
      <c r="AW341" s="161" t="b">
        <f>Calculo!AX341</f>
        <v>0</v>
      </c>
      <c r="AX341" s="161" t="str">
        <f>Calculo!K341</f>
        <v>N/A</v>
      </c>
      <c r="AY341" s="161" t="str">
        <f>Calculo!AY341</f>
        <v>N/A</v>
      </c>
      <c r="AZ341" s="161" t="str">
        <f>Calculo!AZ341</f>
        <v>N/A</v>
      </c>
      <c r="BA341" s="163"/>
    </row>
    <row r="342" ht="12.0" customHeight="1">
      <c r="A342" s="88" t="str">
        <f>'Parâmetros'!$A$19</f>
        <v>Rel. Básico PJ</v>
      </c>
      <c r="B342" s="146"/>
      <c r="C342" s="146"/>
      <c r="D342" s="146"/>
      <c r="E342" s="149"/>
      <c r="F342" s="151"/>
      <c r="G342" s="151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53"/>
      <c r="AC342" s="146"/>
      <c r="AD342" s="151"/>
      <c r="AE342" s="151"/>
      <c r="AF342" s="151"/>
      <c r="AG342" s="151"/>
      <c r="AH342" s="151"/>
      <c r="AI342" s="151"/>
      <c r="AJ342" s="146"/>
      <c r="AK342" s="155"/>
      <c r="AL342" s="151"/>
      <c r="AM342" s="151"/>
      <c r="AN342" s="151"/>
      <c r="AO342" s="151"/>
      <c r="AP342" s="151"/>
      <c r="AQ342" s="157"/>
      <c r="AR342" s="151"/>
      <c r="AS342" s="159"/>
      <c r="AT342" s="160" t="str">
        <f>Calculo!AQ342</f>
        <v>N/A</v>
      </c>
      <c r="AU342" s="161" t="str">
        <f>Calculo!AV342</f>
        <v>N/A</v>
      </c>
      <c r="AV342" s="162" t="str">
        <f>Calculo!AW342</f>
        <v>N/A</v>
      </c>
      <c r="AW342" s="161" t="b">
        <f>Calculo!AX342</f>
        <v>0</v>
      </c>
      <c r="AX342" s="161" t="str">
        <f>Calculo!K342</f>
        <v>N/A</v>
      </c>
      <c r="AY342" s="161" t="str">
        <f>Calculo!AY342</f>
        <v>N/A</v>
      </c>
      <c r="AZ342" s="161" t="str">
        <f>Calculo!AZ342</f>
        <v>N/A</v>
      </c>
      <c r="BA342" s="163"/>
    </row>
    <row r="343" ht="12.0" customHeight="1">
      <c r="A343" s="88" t="str">
        <f>'Parâmetros'!$A$19</f>
        <v>Rel. Básico PJ</v>
      </c>
      <c r="B343" s="146"/>
      <c r="C343" s="146"/>
      <c r="D343" s="146"/>
      <c r="E343" s="149"/>
      <c r="F343" s="151"/>
      <c r="G343" s="151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53"/>
      <c r="AC343" s="146"/>
      <c r="AD343" s="151"/>
      <c r="AE343" s="151"/>
      <c r="AF343" s="151"/>
      <c r="AG343" s="151"/>
      <c r="AH343" s="151"/>
      <c r="AI343" s="151"/>
      <c r="AJ343" s="146"/>
      <c r="AK343" s="155"/>
      <c r="AL343" s="151"/>
      <c r="AM343" s="151"/>
      <c r="AN343" s="151"/>
      <c r="AO343" s="151"/>
      <c r="AP343" s="151"/>
      <c r="AQ343" s="157"/>
      <c r="AR343" s="151"/>
      <c r="AS343" s="159"/>
      <c r="AT343" s="160" t="str">
        <f>Calculo!AQ343</f>
        <v>N/A</v>
      </c>
      <c r="AU343" s="161" t="str">
        <f>Calculo!AV343</f>
        <v>N/A</v>
      </c>
      <c r="AV343" s="162" t="str">
        <f>Calculo!AW343</f>
        <v>N/A</v>
      </c>
      <c r="AW343" s="161" t="b">
        <f>Calculo!AX343</f>
        <v>0</v>
      </c>
      <c r="AX343" s="161" t="str">
        <f>Calculo!K343</f>
        <v>N/A</v>
      </c>
      <c r="AY343" s="161" t="str">
        <f>Calculo!AY343</f>
        <v>N/A</v>
      </c>
      <c r="AZ343" s="161" t="str">
        <f>Calculo!AZ343</f>
        <v>N/A</v>
      </c>
      <c r="BA343" s="163"/>
    </row>
    <row r="344" ht="12.0" customHeight="1">
      <c r="A344" s="88" t="str">
        <f>'Parâmetros'!$A$19</f>
        <v>Rel. Básico PJ</v>
      </c>
      <c r="B344" s="146"/>
      <c r="C344" s="146"/>
      <c r="D344" s="146"/>
      <c r="E344" s="149"/>
      <c r="F344" s="151"/>
      <c r="G344" s="151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53"/>
      <c r="AC344" s="146"/>
      <c r="AD344" s="151"/>
      <c r="AE344" s="151"/>
      <c r="AF344" s="151"/>
      <c r="AG344" s="151"/>
      <c r="AH344" s="151"/>
      <c r="AI344" s="151"/>
      <c r="AJ344" s="146"/>
      <c r="AK344" s="155"/>
      <c r="AL344" s="151"/>
      <c r="AM344" s="151"/>
      <c r="AN344" s="151"/>
      <c r="AO344" s="151"/>
      <c r="AP344" s="151"/>
      <c r="AQ344" s="157"/>
      <c r="AR344" s="151"/>
      <c r="AS344" s="159"/>
      <c r="AT344" s="160" t="str">
        <f>Calculo!AQ344</f>
        <v>N/A</v>
      </c>
      <c r="AU344" s="161" t="str">
        <f>Calculo!AV344</f>
        <v>N/A</v>
      </c>
      <c r="AV344" s="162" t="str">
        <f>Calculo!AW344</f>
        <v>N/A</v>
      </c>
      <c r="AW344" s="161" t="b">
        <f>Calculo!AX344</f>
        <v>0</v>
      </c>
      <c r="AX344" s="161" t="str">
        <f>Calculo!K344</f>
        <v>N/A</v>
      </c>
      <c r="AY344" s="161" t="str">
        <f>Calculo!AY344</f>
        <v>N/A</v>
      </c>
      <c r="AZ344" s="161" t="str">
        <f>Calculo!AZ344</f>
        <v>N/A</v>
      </c>
      <c r="BA344" s="163"/>
    </row>
    <row r="345" ht="12.0" customHeight="1">
      <c r="A345" s="88" t="str">
        <f>'Parâmetros'!$A$19</f>
        <v>Rel. Básico PJ</v>
      </c>
      <c r="B345" s="146"/>
      <c r="C345" s="146"/>
      <c r="D345" s="146"/>
      <c r="E345" s="149"/>
      <c r="F345" s="151"/>
      <c r="G345" s="151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53"/>
      <c r="AC345" s="146"/>
      <c r="AD345" s="151"/>
      <c r="AE345" s="151"/>
      <c r="AF345" s="151"/>
      <c r="AG345" s="151"/>
      <c r="AH345" s="151"/>
      <c r="AI345" s="151"/>
      <c r="AJ345" s="146"/>
      <c r="AK345" s="155"/>
      <c r="AL345" s="151"/>
      <c r="AM345" s="151"/>
      <c r="AN345" s="151"/>
      <c r="AO345" s="151"/>
      <c r="AP345" s="151"/>
      <c r="AQ345" s="157"/>
      <c r="AR345" s="151"/>
      <c r="AS345" s="159"/>
      <c r="AT345" s="160" t="str">
        <f>Calculo!AQ345</f>
        <v>N/A</v>
      </c>
      <c r="AU345" s="161" t="str">
        <f>Calculo!AV345</f>
        <v>N/A</v>
      </c>
      <c r="AV345" s="162" t="str">
        <f>Calculo!AW345</f>
        <v>N/A</v>
      </c>
      <c r="AW345" s="161" t="b">
        <f>Calculo!AX345</f>
        <v>0</v>
      </c>
      <c r="AX345" s="161" t="str">
        <f>Calculo!K345</f>
        <v>N/A</v>
      </c>
      <c r="AY345" s="161" t="str">
        <f>Calculo!AY345</f>
        <v>N/A</v>
      </c>
      <c r="AZ345" s="161" t="str">
        <f>Calculo!AZ345</f>
        <v>N/A</v>
      </c>
      <c r="BA345" s="163"/>
    </row>
    <row r="346" ht="12.0" customHeight="1">
      <c r="A346" s="88" t="str">
        <f>'Parâmetros'!$A$19</f>
        <v>Rel. Básico PJ</v>
      </c>
      <c r="B346" s="146"/>
      <c r="C346" s="146"/>
      <c r="D346" s="146"/>
      <c r="E346" s="149"/>
      <c r="F346" s="151"/>
      <c r="G346" s="151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53"/>
      <c r="AC346" s="146"/>
      <c r="AD346" s="151"/>
      <c r="AE346" s="151"/>
      <c r="AF346" s="151"/>
      <c r="AG346" s="151"/>
      <c r="AH346" s="151"/>
      <c r="AI346" s="151"/>
      <c r="AJ346" s="146"/>
      <c r="AK346" s="155"/>
      <c r="AL346" s="151"/>
      <c r="AM346" s="151"/>
      <c r="AN346" s="151"/>
      <c r="AO346" s="151"/>
      <c r="AP346" s="151"/>
      <c r="AQ346" s="157"/>
      <c r="AR346" s="151"/>
      <c r="AS346" s="159"/>
      <c r="AT346" s="160" t="str">
        <f>Calculo!AQ346</f>
        <v>N/A</v>
      </c>
      <c r="AU346" s="161" t="str">
        <f>Calculo!AV346</f>
        <v>N/A</v>
      </c>
      <c r="AV346" s="162" t="str">
        <f>Calculo!AW346</f>
        <v>N/A</v>
      </c>
      <c r="AW346" s="161" t="b">
        <f>Calculo!AX346</f>
        <v>0</v>
      </c>
      <c r="AX346" s="161" t="str">
        <f>Calculo!K346</f>
        <v>N/A</v>
      </c>
      <c r="AY346" s="161" t="str">
        <f>Calculo!AY346</f>
        <v>N/A</v>
      </c>
      <c r="AZ346" s="161" t="str">
        <f>Calculo!AZ346</f>
        <v>N/A</v>
      </c>
      <c r="BA346" s="163"/>
    </row>
    <row r="347" ht="12.0" customHeight="1">
      <c r="A347" s="88" t="str">
        <f>'Parâmetros'!$A$19</f>
        <v>Rel. Básico PJ</v>
      </c>
      <c r="B347" s="146"/>
      <c r="C347" s="146"/>
      <c r="D347" s="146"/>
      <c r="E347" s="149"/>
      <c r="F347" s="151"/>
      <c r="G347" s="151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53"/>
      <c r="AC347" s="146"/>
      <c r="AD347" s="151"/>
      <c r="AE347" s="151"/>
      <c r="AF347" s="151"/>
      <c r="AG347" s="151"/>
      <c r="AH347" s="151"/>
      <c r="AI347" s="151"/>
      <c r="AJ347" s="146"/>
      <c r="AK347" s="155"/>
      <c r="AL347" s="151"/>
      <c r="AM347" s="151"/>
      <c r="AN347" s="151"/>
      <c r="AO347" s="151"/>
      <c r="AP347" s="151"/>
      <c r="AQ347" s="157"/>
      <c r="AR347" s="151"/>
      <c r="AS347" s="159"/>
      <c r="AT347" s="160" t="str">
        <f>Calculo!AQ347</f>
        <v>N/A</v>
      </c>
      <c r="AU347" s="161" t="str">
        <f>Calculo!AV347</f>
        <v>N/A</v>
      </c>
      <c r="AV347" s="162" t="str">
        <f>Calculo!AW347</f>
        <v>N/A</v>
      </c>
      <c r="AW347" s="161" t="b">
        <f>Calculo!AX347</f>
        <v>0</v>
      </c>
      <c r="AX347" s="161" t="str">
        <f>Calculo!K347</f>
        <v>N/A</v>
      </c>
      <c r="AY347" s="161" t="str">
        <f>Calculo!AY347</f>
        <v>N/A</v>
      </c>
      <c r="AZ347" s="161" t="str">
        <f>Calculo!AZ347</f>
        <v>N/A</v>
      </c>
      <c r="BA347" s="163"/>
    </row>
    <row r="348" ht="12.0" customHeight="1">
      <c r="A348" s="88" t="str">
        <f>'Parâmetros'!$A$19</f>
        <v>Rel. Básico PJ</v>
      </c>
      <c r="B348" s="146"/>
      <c r="C348" s="146"/>
      <c r="D348" s="146"/>
      <c r="E348" s="149"/>
      <c r="F348" s="151"/>
      <c r="G348" s="151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53"/>
      <c r="AC348" s="146"/>
      <c r="AD348" s="151"/>
      <c r="AE348" s="151"/>
      <c r="AF348" s="151"/>
      <c r="AG348" s="151"/>
      <c r="AH348" s="151"/>
      <c r="AI348" s="151"/>
      <c r="AJ348" s="146"/>
      <c r="AK348" s="155"/>
      <c r="AL348" s="151"/>
      <c r="AM348" s="151"/>
      <c r="AN348" s="151"/>
      <c r="AO348" s="151"/>
      <c r="AP348" s="151"/>
      <c r="AQ348" s="157"/>
      <c r="AR348" s="151"/>
      <c r="AS348" s="159"/>
      <c r="AT348" s="160" t="str">
        <f>Calculo!AQ348</f>
        <v>N/A</v>
      </c>
      <c r="AU348" s="161" t="str">
        <f>Calculo!AV348</f>
        <v>N/A</v>
      </c>
      <c r="AV348" s="162" t="str">
        <f>Calculo!AW348</f>
        <v>N/A</v>
      </c>
      <c r="AW348" s="161" t="b">
        <f>Calculo!AX348</f>
        <v>0</v>
      </c>
      <c r="AX348" s="161" t="str">
        <f>Calculo!K348</f>
        <v>N/A</v>
      </c>
      <c r="AY348" s="161" t="str">
        <f>Calculo!AY348</f>
        <v>N/A</v>
      </c>
      <c r="AZ348" s="161" t="str">
        <f>Calculo!AZ348</f>
        <v>N/A</v>
      </c>
      <c r="BA348" s="163"/>
    </row>
    <row r="349" ht="12.0" customHeight="1">
      <c r="A349" s="88" t="str">
        <f>'Parâmetros'!$A$19</f>
        <v>Rel. Básico PJ</v>
      </c>
      <c r="B349" s="146"/>
      <c r="C349" s="146"/>
      <c r="D349" s="146"/>
      <c r="E349" s="149"/>
      <c r="F349" s="151"/>
      <c r="G349" s="151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53"/>
      <c r="AC349" s="146"/>
      <c r="AD349" s="151"/>
      <c r="AE349" s="151"/>
      <c r="AF349" s="151"/>
      <c r="AG349" s="151"/>
      <c r="AH349" s="151"/>
      <c r="AI349" s="151"/>
      <c r="AJ349" s="146"/>
      <c r="AK349" s="155"/>
      <c r="AL349" s="151"/>
      <c r="AM349" s="151"/>
      <c r="AN349" s="151"/>
      <c r="AO349" s="151"/>
      <c r="AP349" s="151"/>
      <c r="AQ349" s="157"/>
      <c r="AR349" s="151"/>
      <c r="AS349" s="159"/>
      <c r="AT349" s="160" t="str">
        <f>Calculo!AQ349</f>
        <v>N/A</v>
      </c>
      <c r="AU349" s="161" t="str">
        <f>Calculo!AV349</f>
        <v>N/A</v>
      </c>
      <c r="AV349" s="162" t="str">
        <f>Calculo!AW349</f>
        <v>N/A</v>
      </c>
      <c r="AW349" s="161" t="b">
        <f>Calculo!AX349</f>
        <v>0</v>
      </c>
      <c r="AX349" s="161" t="str">
        <f>Calculo!K349</f>
        <v>N/A</v>
      </c>
      <c r="AY349" s="161" t="str">
        <f>Calculo!AY349</f>
        <v>N/A</v>
      </c>
      <c r="AZ349" s="161" t="str">
        <f>Calculo!AZ349</f>
        <v>N/A</v>
      </c>
      <c r="BA349" s="163"/>
    </row>
    <row r="350" ht="12.0" customHeight="1">
      <c r="A350" s="88" t="str">
        <f>'Parâmetros'!$A$19</f>
        <v>Rel. Básico PJ</v>
      </c>
      <c r="B350" s="146"/>
      <c r="C350" s="146"/>
      <c r="D350" s="146"/>
      <c r="E350" s="149"/>
      <c r="F350" s="151"/>
      <c r="G350" s="151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53"/>
      <c r="AC350" s="146"/>
      <c r="AD350" s="151"/>
      <c r="AE350" s="151"/>
      <c r="AF350" s="151"/>
      <c r="AG350" s="151"/>
      <c r="AH350" s="151"/>
      <c r="AI350" s="151"/>
      <c r="AJ350" s="146"/>
      <c r="AK350" s="155"/>
      <c r="AL350" s="151"/>
      <c r="AM350" s="151"/>
      <c r="AN350" s="151"/>
      <c r="AO350" s="151"/>
      <c r="AP350" s="151"/>
      <c r="AQ350" s="157"/>
      <c r="AR350" s="151"/>
      <c r="AS350" s="159"/>
      <c r="AT350" s="160" t="str">
        <f>Calculo!AQ350</f>
        <v>N/A</v>
      </c>
      <c r="AU350" s="161" t="str">
        <f>Calculo!AV350</f>
        <v>N/A</v>
      </c>
      <c r="AV350" s="162" t="str">
        <f>Calculo!AW350</f>
        <v>N/A</v>
      </c>
      <c r="AW350" s="161" t="b">
        <f>Calculo!AX350</f>
        <v>0</v>
      </c>
      <c r="AX350" s="161" t="str">
        <f>Calculo!K350</f>
        <v>N/A</v>
      </c>
      <c r="AY350" s="161" t="str">
        <f>Calculo!AY350</f>
        <v>N/A</v>
      </c>
      <c r="AZ350" s="161" t="str">
        <f>Calculo!AZ350</f>
        <v>N/A</v>
      </c>
      <c r="BA350" s="163"/>
    </row>
    <row r="351" ht="12.0" customHeight="1">
      <c r="A351" s="88" t="str">
        <f>'Parâmetros'!$A$19</f>
        <v>Rel. Básico PJ</v>
      </c>
      <c r="B351" s="146"/>
      <c r="C351" s="146"/>
      <c r="D351" s="146"/>
      <c r="E351" s="149"/>
      <c r="F351" s="151"/>
      <c r="G351" s="151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53"/>
      <c r="AC351" s="146"/>
      <c r="AD351" s="151"/>
      <c r="AE351" s="151"/>
      <c r="AF351" s="151"/>
      <c r="AG351" s="151"/>
      <c r="AH351" s="151"/>
      <c r="AI351" s="151"/>
      <c r="AJ351" s="146"/>
      <c r="AK351" s="155"/>
      <c r="AL351" s="151"/>
      <c r="AM351" s="151"/>
      <c r="AN351" s="151"/>
      <c r="AO351" s="151"/>
      <c r="AP351" s="151"/>
      <c r="AQ351" s="157"/>
      <c r="AR351" s="151"/>
      <c r="AS351" s="159"/>
      <c r="AT351" s="160" t="str">
        <f>Calculo!AQ351</f>
        <v>N/A</v>
      </c>
      <c r="AU351" s="161" t="str">
        <f>Calculo!AV351</f>
        <v>N/A</v>
      </c>
      <c r="AV351" s="162" t="str">
        <f>Calculo!AW351</f>
        <v>N/A</v>
      </c>
      <c r="AW351" s="161" t="b">
        <f>Calculo!AX351</f>
        <v>0</v>
      </c>
      <c r="AX351" s="161" t="str">
        <f>Calculo!K351</f>
        <v>N/A</v>
      </c>
      <c r="AY351" s="161" t="str">
        <f>Calculo!AY351</f>
        <v>N/A</v>
      </c>
      <c r="AZ351" s="161" t="str">
        <f>Calculo!AZ351</f>
        <v>N/A</v>
      </c>
      <c r="BA351" s="163"/>
    </row>
    <row r="352" ht="12.0" customHeight="1">
      <c r="A352" s="88" t="str">
        <f>'Parâmetros'!$A$19</f>
        <v>Rel. Básico PJ</v>
      </c>
      <c r="B352" s="146"/>
      <c r="C352" s="146"/>
      <c r="D352" s="146"/>
      <c r="E352" s="149"/>
      <c r="F352" s="151"/>
      <c r="G352" s="151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53"/>
      <c r="AC352" s="146"/>
      <c r="AD352" s="151"/>
      <c r="AE352" s="151"/>
      <c r="AF352" s="151"/>
      <c r="AG352" s="151"/>
      <c r="AH352" s="151"/>
      <c r="AI352" s="151"/>
      <c r="AJ352" s="146"/>
      <c r="AK352" s="155"/>
      <c r="AL352" s="151"/>
      <c r="AM352" s="151"/>
      <c r="AN352" s="151"/>
      <c r="AO352" s="151"/>
      <c r="AP352" s="151"/>
      <c r="AQ352" s="157"/>
      <c r="AR352" s="151"/>
      <c r="AS352" s="159"/>
      <c r="AT352" s="160" t="str">
        <f>Calculo!AQ352</f>
        <v>N/A</v>
      </c>
      <c r="AU352" s="161" t="str">
        <f>Calculo!AV352</f>
        <v>N/A</v>
      </c>
      <c r="AV352" s="162" t="str">
        <f>Calculo!AW352</f>
        <v>N/A</v>
      </c>
      <c r="AW352" s="161" t="b">
        <f>Calculo!AX352</f>
        <v>0</v>
      </c>
      <c r="AX352" s="161" t="str">
        <f>Calculo!K352</f>
        <v>N/A</v>
      </c>
      <c r="AY352" s="161" t="str">
        <f>Calculo!AY352</f>
        <v>N/A</v>
      </c>
      <c r="AZ352" s="161" t="str">
        <f>Calculo!AZ352</f>
        <v>N/A</v>
      </c>
      <c r="BA352" s="163"/>
    </row>
    <row r="353" ht="12.0" customHeight="1">
      <c r="A353" s="88" t="str">
        <f>'Parâmetros'!$A$19</f>
        <v>Rel. Básico PJ</v>
      </c>
      <c r="B353" s="146"/>
      <c r="C353" s="146"/>
      <c r="D353" s="146"/>
      <c r="E353" s="149"/>
      <c r="F353" s="151"/>
      <c r="G353" s="151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53"/>
      <c r="AC353" s="146"/>
      <c r="AD353" s="151"/>
      <c r="AE353" s="151"/>
      <c r="AF353" s="151"/>
      <c r="AG353" s="151"/>
      <c r="AH353" s="151"/>
      <c r="AI353" s="151"/>
      <c r="AJ353" s="146"/>
      <c r="AK353" s="155"/>
      <c r="AL353" s="151"/>
      <c r="AM353" s="151"/>
      <c r="AN353" s="151"/>
      <c r="AO353" s="151"/>
      <c r="AP353" s="151"/>
      <c r="AQ353" s="157"/>
      <c r="AR353" s="151"/>
      <c r="AS353" s="159"/>
      <c r="AT353" s="160" t="str">
        <f>Calculo!AQ353</f>
        <v>N/A</v>
      </c>
      <c r="AU353" s="161" t="str">
        <f>Calculo!AV353</f>
        <v>N/A</v>
      </c>
      <c r="AV353" s="162" t="str">
        <f>Calculo!AW353</f>
        <v>N/A</v>
      </c>
      <c r="AW353" s="161" t="b">
        <f>Calculo!AX353</f>
        <v>0</v>
      </c>
      <c r="AX353" s="161" t="str">
        <f>Calculo!K353</f>
        <v>N/A</v>
      </c>
      <c r="AY353" s="161" t="str">
        <f>Calculo!AY353</f>
        <v>N/A</v>
      </c>
      <c r="AZ353" s="161" t="str">
        <f>Calculo!AZ353</f>
        <v>N/A</v>
      </c>
      <c r="BA353" s="163"/>
    </row>
    <row r="354" ht="12.0" customHeight="1">
      <c r="A354" s="88" t="str">
        <f>'Parâmetros'!$A$19</f>
        <v>Rel. Básico PJ</v>
      </c>
      <c r="B354" s="146"/>
      <c r="C354" s="146"/>
      <c r="D354" s="146"/>
      <c r="E354" s="149"/>
      <c r="F354" s="151"/>
      <c r="G354" s="151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53"/>
      <c r="AC354" s="146"/>
      <c r="AD354" s="151"/>
      <c r="AE354" s="151"/>
      <c r="AF354" s="151"/>
      <c r="AG354" s="151"/>
      <c r="AH354" s="151"/>
      <c r="AI354" s="151"/>
      <c r="AJ354" s="146"/>
      <c r="AK354" s="155"/>
      <c r="AL354" s="151"/>
      <c r="AM354" s="151"/>
      <c r="AN354" s="151"/>
      <c r="AO354" s="151"/>
      <c r="AP354" s="151"/>
      <c r="AQ354" s="157"/>
      <c r="AR354" s="151"/>
      <c r="AS354" s="159"/>
      <c r="AT354" s="160" t="str">
        <f>Calculo!AQ354</f>
        <v>N/A</v>
      </c>
      <c r="AU354" s="161" t="str">
        <f>Calculo!AV354</f>
        <v>N/A</v>
      </c>
      <c r="AV354" s="162" t="str">
        <f>Calculo!AW354</f>
        <v>N/A</v>
      </c>
      <c r="AW354" s="161" t="b">
        <f>Calculo!AX354</f>
        <v>0</v>
      </c>
      <c r="AX354" s="161" t="str">
        <f>Calculo!K354</f>
        <v>N/A</v>
      </c>
      <c r="AY354" s="161" t="str">
        <f>Calculo!AY354</f>
        <v>N/A</v>
      </c>
      <c r="AZ354" s="161" t="str">
        <f>Calculo!AZ354</f>
        <v>N/A</v>
      </c>
      <c r="BA354" s="163"/>
    </row>
    <row r="355" ht="12.0" customHeight="1">
      <c r="A355" s="88" t="str">
        <f>'Parâmetros'!$A$19</f>
        <v>Rel. Básico PJ</v>
      </c>
      <c r="B355" s="146"/>
      <c r="C355" s="146"/>
      <c r="D355" s="146"/>
      <c r="E355" s="149"/>
      <c r="F355" s="151"/>
      <c r="G355" s="151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53"/>
      <c r="AC355" s="146"/>
      <c r="AD355" s="151"/>
      <c r="AE355" s="151"/>
      <c r="AF355" s="151"/>
      <c r="AG355" s="151"/>
      <c r="AH355" s="151"/>
      <c r="AI355" s="151"/>
      <c r="AJ355" s="146"/>
      <c r="AK355" s="155"/>
      <c r="AL355" s="151"/>
      <c r="AM355" s="151"/>
      <c r="AN355" s="151"/>
      <c r="AO355" s="151"/>
      <c r="AP355" s="151"/>
      <c r="AQ355" s="157"/>
      <c r="AR355" s="151"/>
      <c r="AS355" s="159"/>
      <c r="AT355" s="160" t="str">
        <f>Calculo!AQ355</f>
        <v>N/A</v>
      </c>
      <c r="AU355" s="161" t="str">
        <f>Calculo!AV355</f>
        <v>N/A</v>
      </c>
      <c r="AV355" s="162" t="str">
        <f>Calculo!AW355</f>
        <v>N/A</v>
      </c>
      <c r="AW355" s="161" t="b">
        <f>Calculo!AX355</f>
        <v>0</v>
      </c>
      <c r="AX355" s="161" t="str">
        <f>Calculo!K355</f>
        <v>N/A</v>
      </c>
      <c r="AY355" s="161" t="str">
        <f>Calculo!AY355</f>
        <v>N/A</v>
      </c>
      <c r="AZ355" s="161" t="str">
        <f>Calculo!AZ355</f>
        <v>N/A</v>
      </c>
      <c r="BA355" s="163"/>
    </row>
    <row r="356" ht="12.0" customHeight="1">
      <c r="A356" s="88" t="str">
        <f>'Parâmetros'!$A$19</f>
        <v>Rel. Básico PJ</v>
      </c>
      <c r="B356" s="146"/>
      <c r="C356" s="146"/>
      <c r="D356" s="146"/>
      <c r="E356" s="149"/>
      <c r="F356" s="151"/>
      <c r="G356" s="151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53"/>
      <c r="AC356" s="146"/>
      <c r="AD356" s="151"/>
      <c r="AE356" s="151"/>
      <c r="AF356" s="151"/>
      <c r="AG356" s="151"/>
      <c r="AH356" s="151"/>
      <c r="AI356" s="151"/>
      <c r="AJ356" s="146"/>
      <c r="AK356" s="155"/>
      <c r="AL356" s="151"/>
      <c r="AM356" s="151"/>
      <c r="AN356" s="151"/>
      <c r="AO356" s="151"/>
      <c r="AP356" s="151"/>
      <c r="AQ356" s="157"/>
      <c r="AR356" s="151"/>
      <c r="AS356" s="159"/>
      <c r="AT356" s="160" t="str">
        <f>Calculo!AQ356</f>
        <v>N/A</v>
      </c>
      <c r="AU356" s="161" t="str">
        <f>Calculo!AV356</f>
        <v>N/A</v>
      </c>
      <c r="AV356" s="162" t="str">
        <f>Calculo!AW356</f>
        <v>N/A</v>
      </c>
      <c r="AW356" s="161" t="b">
        <f>Calculo!AX356</f>
        <v>0</v>
      </c>
      <c r="AX356" s="161" t="str">
        <f>Calculo!K356</f>
        <v>N/A</v>
      </c>
      <c r="AY356" s="161" t="str">
        <f>Calculo!AY356</f>
        <v>N/A</v>
      </c>
      <c r="AZ356" s="161" t="str">
        <f>Calculo!AZ356</f>
        <v>N/A</v>
      </c>
      <c r="BA356" s="163"/>
    </row>
    <row r="357" ht="12.0" customHeight="1">
      <c r="A357" s="88" t="str">
        <f>'Parâmetros'!$A$19</f>
        <v>Rel. Básico PJ</v>
      </c>
      <c r="B357" s="146"/>
      <c r="C357" s="146"/>
      <c r="D357" s="146"/>
      <c r="E357" s="149"/>
      <c r="F357" s="151"/>
      <c r="G357" s="151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53"/>
      <c r="AC357" s="146"/>
      <c r="AD357" s="151"/>
      <c r="AE357" s="151"/>
      <c r="AF357" s="151"/>
      <c r="AG357" s="151"/>
      <c r="AH357" s="151"/>
      <c r="AI357" s="151"/>
      <c r="AJ357" s="146"/>
      <c r="AK357" s="155"/>
      <c r="AL357" s="151"/>
      <c r="AM357" s="151"/>
      <c r="AN357" s="151"/>
      <c r="AO357" s="151"/>
      <c r="AP357" s="151"/>
      <c r="AQ357" s="157"/>
      <c r="AR357" s="151"/>
      <c r="AS357" s="159"/>
      <c r="AT357" s="160" t="str">
        <f>Calculo!AQ357</f>
        <v>N/A</v>
      </c>
      <c r="AU357" s="161" t="str">
        <f>Calculo!AV357</f>
        <v>N/A</v>
      </c>
      <c r="AV357" s="162" t="str">
        <f>Calculo!AW357</f>
        <v>N/A</v>
      </c>
      <c r="AW357" s="161" t="b">
        <f>Calculo!AX357</f>
        <v>0</v>
      </c>
      <c r="AX357" s="161" t="str">
        <f>Calculo!K357</f>
        <v>N/A</v>
      </c>
      <c r="AY357" s="161" t="str">
        <f>Calculo!AY357</f>
        <v>N/A</v>
      </c>
      <c r="AZ357" s="161" t="str">
        <f>Calculo!AZ357</f>
        <v>N/A</v>
      </c>
      <c r="BA357" s="163"/>
    </row>
    <row r="358" ht="12.0" customHeight="1">
      <c r="A358" s="88" t="str">
        <f>'Parâmetros'!$A$19</f>
        <v>Rel. Básico PJ</v>
      </c>
      <c r="B358" s="146"/>
      <c r="C358" s="146"/>
      <c r="D358" s="146"/>
      <c r="E358" s="149"/>
      <c r="F358" s="151"/>
      <c r="G358" s="151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53"/>
      <c r="AC358" s="146"/>
      <c r="AD358" s="151"/>
      <c r="AE358" s="151"/>
      <c r="AF358" s="151"/>
      <c r="AG358" s="151"/>
      <c r="AH358" s="151"/>
      <c r="AI358" s="151"/>
      <c r="AJ358" s="146"/>
      <c r="AK358" s="155"/>
      <c r="AL358" s="151"/>
      <c r="AM358" s="151"/>
      <c r="AN358" s="151"/>
      <c r="AO358" s="151"/>
      <c r="AP358" s="151"/>
      <c r="AQ358" s="157"/>
      <c r="AR358" s="151"/>
      <c r="AS358" s="159"/>
      <c r="AT358" s="160" t="str">
        <f>Calculo!AQ358</f>
        <v>N/A</v>
      </c>
      <c r="AU358" s="161" t="str">
        <f>Calculo!AV358</f>
        <v>N/A</v>
      </c>
      <c r="AV358" s="162" t="str">
        <f>Calculo!AW358</f>
        <v>N/A</v>
      </c>
      <c r="AW358" s="161" t="b">
        <f>Calculo!AX358</f>
        <v>0</v>
      </c>
      <c r="AX358" s="161" t="str">
        <f>Calculo!K358</f>
        <v>N/A</v>
      </c>
      <c r="AY358" s="161" t="str">
        <f>Calculo!AY358</f>
        <v>N/A</v>
      </c>
      <c r="AZ358" s="161" t="str">
        <f>Calculo!AZ358</f>
        <v>N/A</v>
      </c>
      <c r="BA358" s="163"/>
    </row>
    <row r="359" ht="12.0" customHeight="1">
      <c r="A359" s="88" t="str">
        <f>'Parâmetros'!$A$19</f>
        <v>Rel. Básico PJ</v>
      </c>
      <c r="B359" s="146"/>
      <c r="C359" s="146"/>
      <c r="D359" s="146"/>
      <c r="E359" s="149"/>
      <c r="F359" s="151"/>
      <c r="G359" s="151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53"/>
      <c r="AC359" s="146"/>
      <c r="AD359" s="151"/>
      <c r="AE359" s="151"/>
      <c r="AF359" s="151"/>
      <c r="AG359" s="151"/>
      <c r="AH359" s="151"/>
      <c r="AI359" s="151"/>
      <c r="AJ359" s="146"/>
      <c r="AK359" s="155"/>
      <c r="AL359" s="151"/>
      <c r="AM359" s="151"/>
      <c r="AN359" s="151"/>
      <c r="AO359" s="151"/>
      <c r="AP359" s="151"/>
      <c r="AQ359" s="157"/>
      <c r="AR359" s="151"/>
      <c r="AS359" s="159"/>
      <c r="AT359" s="160" t="str">
        <f>Calculo!AQ359</f>
        <v>N/A</v>
      </c>
      <c r="AU359" s="161" t="str">
        <f>Calculo!AV359</f>
        <v>N/A</v>
      </c>
      <c r="AV359" s="162" t="str">
        <f>Calculo!AW359</f>
        <v>N/A</v>
      </c>
      <c r="AW359" s="161" t="b">
        <f>Calculo!AX359</f>
        <v>0</v>
      </c>
      <c r="AX359" s="161" t="str">
        <f>Calculo!K359</f>
        <v>N/A</v>
      </c>
      <c r="AY359" s="161" t="str">
        <f>Calculo!AY359</f>
        <v>N/A</v>
      </c>
      <c r="AZ359" s="161" t="str">
        <f>Calculo!AZ359</f>
        <v>N/A</v>
      </c>
      <c r="BA359" s="163"/>
    </row>
    <row r="360" ht="12.0" customHeight="1">
      <c r="A360" s="88" t="str">
        <f>'Parâmetros'!$A$19</f>
        <v>Rel. Básico PJ</v>
      </c>
      <c r="B360" s="146"/>
      <c r="C360" s="146"/>
      <c r="D360" s="146"/>
      <c r="E360" s="149"/>
      <c r="F360" s="151"/>
      <c r="G360" s="151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53"/>
      <c r="AC360" s="146"/>
      <c r="AD360" s="151"/>
      <c r="AE360" s="151"/>
      <c r="AF360" s="151"/>
      <c r="AG360" s="151"/>
      <c r="AH360" s="151"/>
      <c r="AI360" s="151"/>
      <c r="AJ360" s="146"/>
      <c r="AK360" s="155"/>
      <c r="AL360" s="151"/>
      <c r="AM360" s="151"/>
      <c r="AN360" s="151"/>
      <c r="AO360" s="151"/>
      <c r="AP360" s="151"/>
      <c r="AQ360" s="157"/>
      <c r="AR360" s="151"/>
      <c r="AS360" s="159"/>
      <c r="AT360" s="160" t="str">
        <f>Calculo!AQ360</f>
        <v>N/A</v>
      </c>
      <c r="AU360" s="161" t="str">
        <f>Calculo!AV360</f>
        <v>N/A</v>
      </c>
      <c r="AV360" s="162" t="str">
        <f>Calculo!AW360</f>
        <v>N/A</v>
      </c>
      <c r="AW360" s="161" t="b">
        <f>Calculo!AX360</f>
        <v>0</v>
      </c>
      <c r="AX360" s="161" t="str">
        <f>Calculo!K360</f>
        <v>N/A</v>
      </c>
      <c r="AY360" s="161" t="str">
        <f>Calculo!AY360</f>
        <v>N/A</v>
      </c>
      <c r="AZ360" s="161" t="str">
        <f>Calculo!AZ360</f>
        <v>N/A</v>
      </c>
      <c r="BA360" s="163"/>
    </row>
    <row r="361" ht="12.0" customHeight="1">
      <c r="A361" s="88" t="str">
        <f>'Parâmetros'!$A$19</f>
        <v>Rel. Básico PJ</v>
      </c>
      <c r="B361" s="146"/>
      <c r="C361" s="146"/>
      <c r="D361" s="146"/>
      <c r="E361" s="149"/>
      <c r="F361" s="151"/>
      <c r="G361" s="151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53"/>
      <c r="AC361" s="146"/>
      <c r="AD361" s="151"/>
      <c r="AE361" s="151"/>
      <c r="AF361" s="151"/>
      <c r="AG361" s="151"/>
      <c r="AH361" s="151"/>
      <c r="AI361" s="151"/>
      <c r="AJ361" s="146"/>
      <c r="AK361" s="155"/>
      <c r="AL361" s="151"/>
      <c r="AM361" s="151"/>
      <c r="AN361" s="151"/>
      <c r="AO361" s="151"/>
      <c r="AP361" s="151"/>
      <c r="AQ361" s="157"/>
      <c r="AR361" s="151"/>
      <c r="AS361" s="159"/>
      <c r="AT361" s="160" t="str">
        <f>Calculo!AQ361</f>
        <v>N/A</v>
      </c>
      <c r="AU361" s="161" t="str">
        <f>Calculo!AV361</f>
        <v>N/A</v>
      </c>
      <c r="AV361" s="162" t="str">
        <f>Calculo!AW361</f>
        <v>N/A</v>
      </c>
      <c r="AW361" s="161" t="b">
        <f>Calculo!AX361</f>
        <v>0</v>
      </c>
      <c r="AX361" s="161" t="str">
        <f>Calculo!K361</f>
        <v>N/A</v>
      </c>
      <c r="AY361" s="161" t="str">
        <f>Calculo!AY361</f>
        <v>N/A</v>
      </c>
      <c r="AZ361" s="161" t="str">
        <f>Calculo!AZ361</f>
        <v>N/A</v>
      </c>
      <c r="BA361" s="163"/>
    </row>
    <row r="362" ht="12.0" customHeight="1">
      <c r="A362" s="88" t="str">
        <f>'Parâmetros'!$A$19</f>
        <v>Rel. Básico PJ</v>
      </c>
      <c r="B362" s="146"/>
      <c r="C362" s="146"/>
      <c r="D362" s="146"/>
      <c r="E362" s="149"/>
      <c r="F362" s="151"/>
      <c r="G362" s="151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53"/>
      <c r="AC362" s="146"/>
      <c r="AD362" s="151"/>
      <c r="AE362" s="151"/>
      <c r="AF362" s="151"/>
      <c r="AG362" s="151"/>
      <c r="AH362" s="151"/>
      <c r="AI362" s="151"/>
      <c r="AJ362" s="146"/>
      <c r="AK362" s="155"/>
      <c r="AL362" s="151"/>
      <c r="AM362" s="151"/>
      <c r="AN362" s="151"/>
      <c r="AO362" s="151"/>
      <c r="AP362" s="151"/>
      <c r="AQ362" s="157"/>
      <c r="AR362" s="151"/>
      <c r="AS362" s="159"/>
      <c r="AT362" s="160" t="str">
        <f>Calculo!AQ362</f>
        <v>N/A</v>
      </c>
      <c r="AU362" s="161" t="str">
        <f>Calculo!AV362</f>
        <v>N/A</v>
      </c>
      <c r="AV362" s="162" t="str">
        <f>Calculo!AW362</f>
        <v>N/A</v>
      </c>
      <c r="AW362" s="161" t="b">
        <f>Calculo!AX362</f>
        <v>0</v>
      </c>
      <c r="AX362" s="161" t="str">
        <f>Calculo!K362</f>
        <v>N/A</v>
      </c>
      <c r="AY362" s="161" t="str">
        <f>Calculo!AY362</f>
        <v>N/A</v>
      </c>
      <c r="AZ362" s="161" t="str">
        <f>Calculo!AZ362</f>
        <v>N/A</v>
      </c>
      <c r="BA362" s="163"/>
    </row>
    <row r="363" ht="12.0" customHeight="1">
      <c r="A363" s="88" t="str">
        <f>'Parâmetros'!$A$19</f>
        <v>Rel. Básico PJ</v>
      </c>
      <c r="B363" s="146"/>
      <c r="C363" s="146"/>
      <c r="D363" s="146"/>
      <c r="E363" s="149"/>
      <c r="F363" s="151"/>
      <c r="G363" s="151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53"/>
      <c r="AC363" s="146"/>
      <c r="AD363" s="151"/>
      <c r="AE363" s="151"/>
      <c r="AF363" s="151"/>
      <c r="AG363" s="151"/>
      <c r="AH363" s="151"/>
      <c r="AI363" s="151"/>
      <c r="AJ363" s="146"/>
      <c r="AK363" s="155"/>
      <c r="AL363" s="151"/>
      <c r="AM363" s="151"/>
      <c r="AN363" s="151"/>
      <c r="AO363" s="151"/>
      <c r="AP363" s="151"/>
      <c r="AQ363" s="157"/>
      <c r="AR363" s="151"/>
      <c r="AS363" s="159"/>
      <c r="AT363" s="160" t="str">
        <f>Calculo!AQ363</f>
        <v>N/A</v>
      </c>
      <c r="AU363" s="161" t="str">
        <f>Calculo!AV363</f>
        <v>N/A</v>
      </c>
      <c r="AV363" s="162" t="str">
        <f>Calculo!AW363</f>
        <v>N/A</v>
      </c>
      <c r="AW363" s="161" t="b">
        <f>Calculo!AX363</f>
        <v>0</v>
      </c>
      <c r="AX363" s="161" t="str">
        <f>Calculo!K363</f>
        <v>N/A</v>
      </c>
      <c r="AY363" s="161" t="str">
        <f>Calculo!AY363</f>
        <v>N/A</v>
      </c>
      <c r="AZ363" s="161" t="str">
        <f>Calculo!AZ363</f>
        <v>N/A</v>
      </c>
      <c r="BA363" s="163"/>
    </row>
    <row r="364" ht="12.0" customHeight="1">
      <c r="A364" s="88" t="str">
        <f>'Parâmetros'!$A$19</f>
        <v>Rel. Básico PJ</v>
      </c>
      <c r="B364" s="146"/>
      <c r="C364" s="146"/>
      <c r="D364" s="146"/>
      <c r="E364" s="149"/>
      <c r="F364" s="151"/>
      <c r="G364" s="151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53"/>
      <c r="AC364" s="146"/>
      <c r="AD364" s="151"/>
      <c r="AE364" s="151"/>
      <c r="AF364" s="151"/>
      <c r="AG364" s="151"/>
      <c r="AH364" s="151"/>
      <c r="AI364" s="151"/>
      <c r="AJ364" s="146"/>
      <c r="AK364" s="155"/>
      <c r="AL364" s="151"/>
      <c r="AM364" s="151"/>
      <c r="AN364" s="151"/>
      <c r="AO364" s="151"/>
      <c r="AP364" s="151"/>
      <c r="AQ364" s="157"/>
      <c r="AR364" s="151"/>
      <c r="AS364" s="159"/>
      <c r="AT364" s="160" t="str">
        <f>Calculo!AQ364</f>
        <v>N/A</v>
      </c>
      <c r="AU364" s="161" t="str">
        <f>Calculo!AV364</f>
        <v>N/A</v>
      </c>
      <c r="AV364" s="162" t="str">
        <f>Calculo!AW364</f>
        <v>N/A</v>
      </c>
      <c r="AW364" s="161" t="b">
        <f>Calculo!AX364</f>
        <v>0</v>
      </c>
      <c r="AX364" s="161" t="str">
        <f>Calculo!K364</f>
        <v>N/A</v>
      </c>
      <c r="AY364" s="161" t="str">
        <f>Calculo!AY364</f>
        <v>N/A</v>
      </c>
      <c r="AZ364" s="161" t="str">
        <f>Calculo!AZ364</f>
        <v>N/A</v>
      </c>
      <c r="BA364" s="163"/>
    </row>
    <row r="365" ht="12.0" customHeight="1">
      <c r="A365" s="88" t="str">
        <f>'Parâmetros'!$A$19</f>
        <v>Rel. Básico PJ</v>
      </c>
      <c r="B365" s="146"/>
      <c r="C365" s="146"/>
      <c r="D365" s="146"/>
      <c r="E365" s="149"/>
      <c r="F365" s="151"/>
      <c r="G365" s="151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53"/>
      <c r="AC365" s="146"/>
      <c r="AD365" s="151"/>
      <c r="AE365" s="151"/>
      <c r="AF365" s="151"/>
      <c r="AG365" s="151"/>
      <c r="AH365" s="151"/>
      <c r="AI365" s="151"/>
      <c r="AJ365" s="146"/>
      <c r="AK365" s="155"/>
      <c r="AL365" s="151"/>
      <c r="AM365" s="151"/>
      <c r="AN365" s="151"/>
      <c r="AO365" s="151"/>
      <c r="AP365" s="151"/>
      <c r="AQ365" s="157"/>
      <c r="AR365" s="151"/>
      <c r="AS365" s="159"/>
      <c r="AT365" s="160" t="str">
        <f>Calculo!AQ365</f>
        <v>N/A</v>
      </c>
      <c r="AU365" s="161" t="str">
        <f>Calculo!AV365</f>
        <v>N/A</v>
      </c>
      <c r="AV365" s="162" t="str">
        <f>Calculo!AW365</f>
        <v>N/A</v>
      </c>
      <c r="AW365" s="161" t="b">
        <f>Calculo!AX365</f>
        <v>0</v>
      </c>
      <c r="AX365" s="161" t="str">
        <f>Calculo!K365</f>
        <v>N/A</v>
      </c>
      <c r="AY365" s="161" t="str">
        <f>Calculo!AY365</f>
        <v>N/A</v>
      </c>
      <c r="AZ365" s="161" t="str">
        <f>Calculo!AZ365</f>
        <v>N/A</v>
      </c>
      <c r="BA365" s="163"/>
    </row>
    <row r="366" ht="12.0" customHeight="1">
      <c r="A366" s="88" t="str">
        <f>'Parâmetros'!$A$19</f>
        <v>Rel. Básico PJ</v>
      </c>
      <c r="B366" s="146"/>
      <c r="C366" s="146"/>
      <c r="D366" s="146"/>
      <c r="E366" s="149"/>
      <c r="F366" s="151"/>
      <c r="G366" s="151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53"/>
      <c r="AC366" s="146"/>
      <c r="AD366" s="151"/>
      <c r="AE366" s="151"/>
      <c r="AF366" s="151"/>
      <c r="AG366" s="151"/>
      <c r="AH366" s="151"/>
      <c r="AI366" s="151"/>
      <c r="AJ366" s="146"/>
      <c r="AK366" s="155"/>
      <c r="AL366" s="151"/>
      <c r="AM366" s="151"/>
      <c r="AN366" s="151"/>
      <c r="AO366" s="151"/>
      <c r="AP366" s="151"/>
      <c r="AQ366" s="157"/>
      <c r="AR366" s="151"/>
      <c r="AS366" s="159"/>
      <c r="AT366" s="160" t="str">
        <f>Calculo!AQ366</f>
        <v>N/A</v>
      </c>
      <c r="AU366" s="161" t="str">
        <f>Calculo!AV366</f>
        <v>N/A</v>
      </c>
      <c r="AV366" s="162" t="str">
        <f>Calculo!AW366</f>
        <v>N/A</v>
      </c>
      <c r="AW366" s="161" t="b">
        <f>Calculo!AX366</f>
        <v>0</v>
      </c>
      <c r="AX366" s="161" t="str">
        <f>Calculo!K366</f>
        <v>N/A</v>
      </c>
      <c r="AY366" s="161" t="str">
        <f>Calculo!AY366</f>
        <v>N/A</v>
      </c>
      <c r="AZ366" s="161" t="str">
        <f>Calculo!AZ366</f>
        <v>N/A</v>
      </c>
      <c r="BA366" s="163"/>
    </row>
    <row r="367" ht="12.0" customHeight="1">
      <c r="A367" s="88" t="str">
        <f>'Parâmetros'!$A$19</f>
        <v>Rel. Básico PJ</v>
      </c>
      <c r="B367" s="146"/>
      <c r="C367" s="146"/>
      <c r="D367" s="146"/>
      <c r="E367" s="149"/>
      <c r="F367" s="151"/>
      <c r="G367" s="151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53"/>
      <c r="AC367" s="146"/>
      <c r="AD367" s="151"/>
      <c r="AE367" s="151"/>
      <c r="AF367" s="151"/>
      <c r="AG367" s="151"/>
      <c r="AH367" s="151"/>
      <c r="AI367" s="151"/>
      <c r="AJ367" s="146"/>
      <c r="AK367" s="155"/>
      <c r="AL367" s="151"/>
      <c r="AM367" s="151"/>
      <c r="AN367" s="151"/>
      <c r="AO367" s="151"/>
      <c r="AP367" s="151"/>
      <c r="AQ367" s="157"/>
      <c r="AR367" s="151"/>
      <c r="AS367" s="159"/>
      <c r="AT367" s="160" t="str">
        <f>Calculo!AQ367</f>
        <v>N/A</v>
      </c>
      <c r="AU367" s="161" t="str">
        <f>Calculo!AV367</f>
        <v>N/A</v>
      </c>
      <c r="AV367" s="162" t="str">
        <f>Calculo!AW367</f>
        <v>N/A</v>
      </c>
      <c r="AW367" s="161" t="b">
        <f>Calculo!AX367</f>
        <v>0</v>
      </c>
      <c r="AX367" s="161" t="str">
        <f>Calculo!K367</f>
        <v>N/A</v>
      </c>
      <c r="AY367" s="161" t="str">
        <f>Calculo!AY367</f>
        <v>N/A</v>
      </c>
      <c r="AZ367" s="161" t="str">
        <f>Calculo!AZ367</f>
        <v>N/A</v>
      </c>
      <c r="BA367" s="163"/>
    </row>
    <row r="368" ht="12.0" customHeight="1">
      <c r="A368" s="88" t="str">
        <f>'Parâmetros'!$A$19</f>
        <v>Rel. Básico PJ</v>
      </c>
      <c r="B368" s="146"/>
      <c r="C368" s="146"/>
      <c r="D368" s="146"/>
      <c r="E368" s="149"/>
      <c r="F368" s="151"/>
      <c r="G368" s="151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53"/>
      <c r="AC368" s="146"/>
      <c r="AD368" s="151"/>
      <c r="AE368" s="151"/>
      <c r="AF368" s="151"/>
      <c r="AG368" s="151"/>
      <c r="AH368" s="151"/>
      <c r="AI368" s="151"/>
      <c r="AJ368" s="146"/>
      <c r="AK368" s="155"/>
      <c r="AL368" s="151"/>
      <c r="AM368" s="151"/>
      <c r="AN368" s="151"/>
      <c r="AO368" s="151"/>
      <c r="AP368" s="151"/>
      <c r="AQ368" s="157"/>
      <c r="AR368" s="151"/>
      <c r="AS368" s="159"/>
      <c r="AT368" s="160" t="str">
        <f>Calculo!AQ368</f>
        <v>N/A</v>
      </c>
      <c r="AU368" s="161" t="str">
        <f>Calculo!AV368</f>
        <v>N/A</v>
      </c>
      <c r="AV368" s="162" t="str">
        <f>Calculo!AW368</f>
        <v>N/A</v>
      </c>
      <c r="AW368" s="161" t="b">
        <f>Calculo!AX368</f>
        <v>0</v>
      </c>
      <c r="AX368" s="161" t="str">
        <f>Calculo!K368</f>
        <v>N/A</v>
      </c>
      <c r="AY368" s="161" t="str">
        <f>Calculo!AY368</f>
        <v>N/A</v>
      </c>
      <c r="AZ368" s="161" t="str">
        <f>Calculo!AZ368</f>
        <v>N/A</v>
      </c>
      <c r="BA368" s="163"/>
    </row>
    <row r="369" ht="12.0" customHeight="1">
      <c r="A369" s="88" t="str">
        <f>'Parâmetros'!$A$19</f>
        <v>Rel. Básico PJ</v>
      </c>
      <c r="B369" s="146"/>
      <c r="C369" s="146"/>
      <c r="D369" s="146"/>
      <c r="E369" s="149"/>
      <c r="F369" s="151"/>
      <c r="G369" s="151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53"/>
      <c r="AC369" s="146"/>
      <c r="AD369" s="151"/>
      <c r="AE369" s="151"/>
      <c r="AF369" s="151"/>
      <c r="AG369" s="151"/>
      <c r="AH369" s="151"/>
      <c r="AI369" s="151"/>
      <c r="AJ369" s="146"/>
      <c r="AK369" s="155"/>
      <c r="AL369" s="151"/>
      <c r="AM369" s="151"/>
      <c r="AN369" s="151"/>
      <c r="AO369" s="151"/>
      <c r="AP369" s="151"/>
      <c r="AQ369" s="157"/>
      <c r="AR369" s="151"/>
      <c r="AS369" s="159"/>
      <c r="AT369" s="160" t="str">
        <f>Calculo!AQ369</f>
        <v>N/A</v>
      </c>
      <c r="AU369" s="161" t="str">
        <f>Calculo!AV369</f>
        <v>N/A</v>
      </c>
      <c r="AV369" s="162" t="str">
        <f>Calculo!AW369</f>
        <v>N/A</v>
      </c>
      <c r="AW369" s="161" t="b">
        <f>Calculo!AX369</f>
        <v>0</v>
      </c>
      <c r="AX369" s="161" t="str">
        <f>Calculo!K369</f>
        <v>N/A</v>
      </c>
      <c r="AY369" s="161" t="str">
        <f>Calculo!AY369</f>
        <v>N/A</v>
      </c>
      <c r="AZ369" s="161" t="str">
        <f>Calculo!AZ369</f>
        <v>N/A</v>
      </c>
      <c r="BA369" s="163"/>
    </row>
    <row r="370" ht="12.0" customHeight="1">
      <c r="A370" s="88" t="str">
        <f>'Parâmetros'!$A$19</f>
        <v>Rel. Básico PJ</v>
      </c>
      <c r="B370" s="146"/>
      <c r="C370" s="146"/>
      <c r="D370" s="146"/>
      <c r="E370" s="149"/>
      <c r="F370" s="151"/>
      <c r="G370" s="151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53"/>
      <c r="AC370" s="146"/>
      <c r="AD370" s="151"/>
      <c r="AE370" s="151"/>
      <c r="AF370" s="151"/>
      <c r="AG370" s="151"/>
      <c r="AH370" s="151"/>
      <c r="AI370" s="151"/>
      <c r="AJ370" s="146"/>
      <c r="AK370" s="155"/>
      <c r="AL370" s="151"/>
      <c r="AM370" s="151"/>
      <c r="AN370" s="151"/>
      <c r="AO370" s="151"/>
      <c r="AP370" s="151"/>
      <c r="AQ370" s="157"/>
      <c r="AR370" s="151"/>
      <c r="AS370" s="159"/>
      <c r="AT370" s="160" t="str">
        <f>Calculo!AQ370</f>
        <v>N/A</v>
      </c>
      <c r="AU370" s="161" t="str">
        <f>Calculo!AV370</f>
        <v>N/A</v>
      </c>
      <c r="AV370" s="162" t="str">
        <f>Calculo!AW370</f>
        <v>N/A</v>
      </c>
      <c r="AW370" s="161" t="b">
        <f>Calculo!AX370</f>
        <v>0</v>
      </c>
      <c r="AX370" s="161" t="str">
        <f>Calculo!K370</f>
        <v>N/A</v>
      </c>
      <c r="AY370" s="161" t="str">
        <f>Calculo!AY370</f>
        <v>N/A</v>
      </c>
      <c r="AZ370" s="161" t="str">
        <f>Calculo!AZ370</f>
        <v>N/A</v>
      </c>
      <c r="BA370" s="163"/>
    </row>
    <row r="371" ht="12.0" customHeight="1">
      <c r="A371" s="88" t="str">
        <f>'Parâmetros'!$A$19</f>
        <v>Rel. Básico PJ</v>
      </c>
      <c r="B371" s="146"/>
      <c r="C371" s="146"/>
      <c r="D371" s="146"/>
      <c r="E371" s="149"/>
      <c r="F371" s="151"/>
      <c r="G371" s="151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53"/>
      <c r="AC371" s="146"/>
      <c r="AD371" s="151"/>
      <c r="AE371" s="151"/>
      <c r="AF371" s="151"/>
      <c r="AG371" s="151"/>
      <c r="AH371" s="151"/>
      <c r="AI371" s="151"/>
      <c r="AJ371" s="146"/>
      <c r="AK371" s="155"/>
      <c r="AL371" s="151"/>
      <c r="AM371" s="151"/>
      <c r="AN371" s="151"/>
      <c r="AO371" s="151"/>
      <c r="AP371" s="151"/>
      <c r="AQ371" s="157"/>
      <c r="AR371" s="151"/>
      <c r="AS371" s="159"/>
      <c r="AT371" s="160" t="str">
        <f>Calculo!AQ371</f>
        <v>N/A</v>
      </c>
      <c r="AU371" s="161" t="str">
        <f>Calculo!AV371</f>
        <v>N/A</v>
      </c>
      <c r="AV371" s="162" t="str">
        <f>Calculo!AW371</f>
        <v>N/A</v>
      </c>
      <c r="AW371" s="161" t="b">
        <f>Calculo!AX371</f>
        <v>0</v>
      </c>
      <c r="AX371" s="161" t="str">
        <f>Calculo!K371</f>
        <v>N/A</v>
      </c>
      <c r="AY371" s="161" t="str">
        <f>Calculo!AY371</f>
        <v>N/A</v>
      </c>
      <c r="AZ371" s="161" t="str">
        <f>Calculo!AZ371</f>
        <v>N/A</v>
      </c>
      <c r="BA371" s="163"/>
    </row>
    <row r="372" ht="12.0" customHeight="1">
      <c r="A372" s="88" t="str">
        <f>'Parâmetros'!$A$19</f>
        <v>Rel. Básico PJ</v>
      </c>
      <c r="B372" s="146"/>
      <c r="C372" s="146"/>
      <c r="D372" s="146"/>
      <c r="E372" s="149"/>
      <c r="F372" s="151"/>
      <c r="G372" s="151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53"/>
      <c r="AC372" s="146"/>
      <c r="AD372" s="151"/>
      <c r="AE372" s="151"/>
      <c r="AF372" s="151"/>
      <c r="AG372" s="151"/>
      <c r="AH372" s="151"/>
      <c r="AI372" s="151"/>
      <c r="AJ372" s="146"/>
      <c r="AK372" s="155"/>
      <c r="AL372" s="151"/>
      <c r="AM372" s="151"/>
      <c r="AN372" s="151"/>
      <c r="AO372" s="151"/>
      <c r="AP372" s="151"/>
      <c r="AQ372" s="157"/>
      <c r="AR372" s="151"/>
      <c r="AS372" s="159"/>
      <c r="AT372" s="160" t="str">
        <f>Calculo!AQ372</f>
        <v>N/A</v>
      </c>
      <c r="AU372" s="161" t="str">
        <f>Calculo!AV372</f>
        <v>N/A</v>
      </c>
      <c r="AV372" s="162" t="str">
        <f>Calculo!AW372</f>
        <v>N/A</v>
      </c>
      <c r="AW372" s="161" t="b">
        <f>Calculo!AX372</f>
        <v>0</v>
      </c>
      <c r="AX372" s="161" t="str">
        <f>Calculo!K372</f>
        <v>N/A</v>
      </c>
      <c r="AY372" s="161" t="str">
        <f>Calculo!AY372</f>
        <v>N/A</v>
      </c>
      <c r="AZ372" s="161" t="str">
        <f>Calculo!AZ372</f>
        <v>N/A</v>
      </c>
      <c r="BA372" s="163"/>
    </row>
    <row r="373" ht="12.0" customHeight="1">
      <c r="A373" s="88" t="str">
        <f>'Parâmetros'!$A$19</f>
        <v>Rel. Básico PJ</v>
      </c>
      <c r="B373" s="146"/>
      <c r="C373" s="146"/>
      <c r="D373" s="146"/>
      <c r="E373" s="149"/>
      <c r="F373" s="151"/>
      <c r="G373" s="151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53"/>
      <c r="AC373" s="146"/>
      <c r="AD373" s="151"/>
      <c r="AE373" s="151"/>
      <c r="AF373" s="151"/>
      <c r="AG373" s="151"/>
      <c r="AH373" s="151"/>
      <c r="AI373" s="151"/>
      <c r="AJ373" s="146"/>
      <c r="AK373" s="155"/>
      <c r="AL373" s="151"/>
      <c r="AM373" s="151"/>
      <c r="AN373" s="151"/>
      <c r="AO373" s="151"/>
      <c r="AP373" s="151"/>
      <c r="AQ373" s="157"/>
      <c r="AR373" s="151"/>
      <c r="AS373" s="159"/>
      <c r="AT373" s="160" t="str">
        <f>Calculo!AQ373</f>
        <v>N/A</v>
      </c>
      <c r="AU373" s="161" t="str">
        <f>Calculo!AV373</f>
        <v>N/A</v>
      </c>
      <c r="AV373" s="162" t="str">
        <f>Calculo!AW373</f>
        <v>N/A</v>
      </c>
      <c r="AW373" s="161" t="b">
        <f>Calculo!AX373</f>
        <v>0</v>
      </c>
      <c r="AX373" s="161" t="str">
        <f>Calculo!K373</f>
        <v>N/A</v>
      </c>
      <c r="AY373" s="161" t="str">
        <f>Calculo!AY373</f>
        <v>N/A</v>
      </c>
      <c r="AZ373" s="161" t="str">
        <f>Calculo!AZ373</f>
        <v>N/A</v>
      </c>
      <c r="BA373" s="163"/>
    </row>
    <row r="374" ht="12.0" customHeight="1">
      <c r="A374" s="88" t="str">
        <f>'Parâmetros'!$A$19</f>
        <v>Rel. Básico PJ</v>
      </c>
      <c r="B374" s="146"/>
      <c r="C374" s="146"/>
      <c r="D374" s="146"/>
      <c r="E374" s="149"/>
      <c r="F374" s="151"/>
      <c r="G374" s="151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53"/>
      <c r="AC374" s="146"/>
      <c r="AD374" s="151"/>
      <c r="AE374" s="151"/>
      <c r="AF374" s="151"/>
      <c r="AG374" s="151"/>
      <c r="AH374" s="151"/>
      <c r="AI374" s="151"/>
      <c r="AJ374" s="146"/>
      <c r="AK374" s="155"/>
      <c r="AL374" s="151"/>
      <c r="AM374" s="151"/>
      <c r="AN374" s="151"/>
      <c r="AO374" s="151"/>
      <c r="AP374" s="151"/>
      <c r="AQ374" s="157"/>
      <c r="AR374" s="151"/>
      <c r="AS374" s="159"/>
      <c r="AT374" s="160" t="str">
        <f>Calculo!AQ374</f>
        <v>N/A</v>
      </c>
      <c r="AU374" s="161" t="str">
        <f>Calculo!AV374</f>
        <v>N/A</v>
      </c>
      <c r="AV374" s="162" t="str">
        <f>Calculo!AW374</f>
        <v>N/A</v>
      </c>
      <c r="AW374" s="161" t="b">
        <f>Calculo!AX374</f>
        <v>0</v>
      </c>
      <c r="AX374" s="161" t="str">
        <f>Calculo!K374</f>
        <v>N/A</v>
      </c>
      <c r="AY374" s="161" t="str">
        <f>Calculo!AY374</f>
        <v>N/A</v>
      </c>
      <c r="AZ374" s="161" t="str">
        <f>Calculo!AZ374</f>
        <v>N/A</v>
      </c>
      <c r="BA374" s="163"/>
    </row>
    <row r="375" ht="12.0" customHeight="1">
      <c r="A375" s="88" t="str">
        <f>'Parâmetros'!$A$19</f>
        <v>Rel. Básico PJ</v>
      </c>
      <c r="B375" s="146"/>
      <c r="C375" s="146"/>
      <c r="D375" s="146"/>
      <c r="E375" s="149"/>
      <c r="F375" s="151"/>
      <c r="G375" s="151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53"/>
      <c r="AC375" s="146"/>
      <c r="AD375" s="151"/>
      <c r="AE375" s="151"/>
      <c r="AF375" s="151"/>
      <c r="AG375" s="151"/>
      <c r="AH375" s="151"/>
      <c r="AI375" s="151"/>
      <c r="AJ375" s="146"/>
      <c r="AK375" s="155"/>
      <c r="AL375" s="151"/>
      <c r="AM375" s="151"/>
      <c r="AN375" s="151"/>
      <c r="AO375" s="151"/>
      <c r="AP375" s="151"/>
      <c r="AQ375" s="157"/>
      <c r="AR375" s="151"/>
      <c r="AS375" s="159"/>
      <c r="AT375" s="160" t="str">
        <f>Calculo!AQ375</f>
        <v>N/A</v>
      </c>
      <c r="AU375" s="161" t="str">
        <f>Calculo!AV375</f>
        <v>N/A</v>
      </c>
      <c r="AV375" s="162" t="str">
        <f>Calculo!AW375</f>
        <v>N/A</v>
      </c>
      <c r="AW375" s="161" t="b">
        <f>Calculo!AX375</f>
        <v>0</v>
      </c>
      <c r="AX375" s="161" t="str">
        <f>Calculo!K375</f>
        <v>N/A</v>
      </c>
      <c r="AY375" s="161" t="str">
        <f>Calculo!AY375</f>
        <v>N/A</v>
      </c>
      <c r="AZ375" s="161" t="str">
        <f>Calculo!AZ375</f>
        <v>N/A</v>
      </c>
      <c r="BA375" s="163"/>
    </row>
    <row r="376" ht="12.0" customHeight="1">
      <c r="A376" s="88" t="str">
        <f>'Parâmetros'!$A$19</f>
        <v>Rel. Básico PJ</v>
      </c>
      <c r="B376" s="146"/>
      <c r="C376" s="146"/>
      <c r="D376" s="146"/>
      <c r="E376" s="149"/>
      <c r="F376" s="151"/>
      <c r="G376" s="151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53"/>
      <c r="AC376" s="146"/>
      <c r="AD376" s="151"/>
      <c r="AE376" s="151"/>
      <c r="AF376" s="151"/>
      <c r="AG376" s="151"/>
      <c r="AH376" s="151"/>
      <c r="AI376" s="151"/>
      <c r="AJ376" s="146"/>
      <c r="AK376" s="155"/>
      <c r="AL376" s="151"/>
      <c r="AM376" s="151"/>
      <c r="AN376" s="151"/>
      <c r="AO376" s="151"/>
      <c r="AP376" s="151"/>
      <c r="AQ376" s="157"/>
      <c r="AR376" s="151"/>
      <c r="AS376" s="159"/>
      <c r="AT376" s="160" t="str">
        <f>Calculo!AQ376</f>
        <v>N/A</v>
      </c>
      <c r="AU376" s="161" t="str">
        <f>Calculo!AV376</f>
        <v>N/A</v>
      </c>
      <c r="AV376" s="162" t="str">
        <f>Calculo!AW376</f>
        <v>N/A</v>
      </c>
      <c r="AW376" s="161" t="b">
        <f>Calculo!AX376</f>
        <v>0</v>
      </c>
      <c r="AX376" s="161" t="str">
        <f>Calculo!K376</f>
        <v>N/A</v>
      </c>
      <c r="AY376" s="161" t="str">
        <f>Calculo!AY376</f>
        <v>N/A</v>
      </c>
      <c r="AZ376" s="161" t="str">
        <f>Calculo!AZ376</f>
        <v>N/A</v>
      </c>
      <c r="BA376" s="163"/>
    </row>
    <row r="377" ht="12.0" customHeight="1">
      <c r="A377" s="88" t="str">
        <f>'Parâmetros'!$A$19</f>
        <v>Rel. Básico PJ</v>
      </c>
      <c r="B377" s="146"/>
      <c r="C377" s="146"/>
      <c r="D377" s="146"/>
      <c r="E377" s="149"/>
      <c r="F377" s="151"/>
      <c r="G377" s="151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53"/>
      <c r="AC377" s="146"/>
      <c r="AD377" s="151"/>
      <c r="AE377" s="151"/>
      <c r="AF377" s="151"/>
      <c r="AG377" s="151"/>
      <c r="AH377" s="151"/>
      <c r="AI377" s="151"/>
      <c r="AJ377" s="146"/>
      <c r="AK377" s="155"/>
      <c r="AL377" s="151"/>
      <c r="AM377" s="151"/>
      <c r="AN377" s="151"/>
      <c r="AO377" s="151"/>
      <c r="AP377" s="151"/>
      <c r="AQ377" s="157"/>
      <c r="AR377" s="151"/>
      <c r="AS377" s="159"/>
      <c r="AT377" s="160" t="str">
        <f>Calculo!AQ377</f>
        <v>N/A</v>
      </c>
      <c r="AU377" s="161" t="str">
        <f>Calculo!AV377</f>
        <v>N/A</v>
      </c>
      <c r="AV377" s="162" t="str">
        <f>Calculo!AW377</f>
        <v>N/A</v>
      </c>
      <c r="AW377" s="161" t="b">
        <f>Calculo!AX377</f>
        <v>0</v>
      </c>
      <c r="AX377" s="161" t="str">
        <f>Calculo!K377</f>
        <v>N/A</v>
      </c>
      <c r="AY377" s="161" t="str">
        <f>Calculo!AY377</f>
        <v>N/A</v>
      </c>
      <c r="AZ377" s="161" t="str">
        <f>Calculo!AZ377</f>
        <v>N/A</v>
      </c>
      <c r="BA377" s="163"/>
    </row>
    <row r="378" ht="12.0" customHeight="1">
      <c r="A378" s="88" t="str">
        <f>'Parâmetros'!$A$19</f>
        <v>Rel. Básico PJ</v>
      </c>
      <c r="B378" s="146"/>
      <c r="C378" s="146"/>
      <c r="D378" s="146"/>
      <c r="E378" s="149"/>
      <c r="F378" s="151"/>
      <c r="G378" s="151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53"/>
      <c r="AC378" s="146"/>
      <c r="AD378" s="151"/>
      <c r="AE378" s="151"/>
      <c r="AF378" s="151"/>
      <c r="AG378" s="151"/>
      <c r="AH378" s="151"/>
      <c r="AI378" s="151"/>
      <c r="AJ378" s="146"/>
      <c r="AK378" s="155"/>
      <c r="AL378" s="151"/>
      <c r="AM378" s="151"/>
      <c r="AN378" s="151"/>
      <c r="AO378" s="151"/>
      <c r="AP378" s="151"/>
      <c r="AQ378" s="157"/>
      <c r="AR378" s="151"/>
      <c r="AS378" s="159"/>
      <c r="AT378" s="160" t="str">
        <f>Calculo!AQ378</f>
        <v>N/A</v>
      </c>
      <c r="AU378" s="161" t="str">
        <f>Calculo!AV378</f>
        <v>N/A</v>
      </c>
      <c r="AV378" s="162" t="str">
        <f>Calculo!AW378</f>
        <v>N/A</v>
      </c>
      <c r="AW378" s="161" t="b">
        <f>Calculo!AX378</f>
        <v>0</v>
      </c>
      <c r="AX378" s="161" t="str">
        <f>Calculo!K378</f>
        <v>N/A</v>
      </c>
      <c r="AY378" s="161" t="str">
        <f>Calculo!AY378</f>
        <v>N/A</v>
      </c>
      <c r="AZ378" s="161" t="str">
        <f>Calculo!AZ378</f>
        <v>N/A</v>
      </c>
      <c r="BA378" s="163"/>
    </row>
    <row r="379" ht="12.0" customHeight="1">
      <c r="A379" s="88" t="str">
        <f>'Parâmetros'!$A$19</f>
        <v>Rel. Básico PJ</v>
      </c>
      <c r="B379" s="146"/>
      <c r="C379" s="146"/>
      <c r="D379" s="146"/>
      <c r="E379" s="149"/>
      <c r="F379" s="151"/>
      <c r="G379" s="151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53"/>
      <c r="AC379" s="146"/>
      <c r="AD379" s="151"/>
      <c r="AE379" s="151"/>
      <c r="AF379" s="151"/>
      <c r="AG379" s="151"/>
      <c r="AH379" s="151"/>
      <c r="AI379" s="151"/>
      <c r="AJ379" s="146"/>
      <c r="AK379" s="155"/>
      <c r="AL379" s="151"/>
      <c r="AM379" s="151"/>
      <c r="AN379" s="151"/>
      <c r="AO379" s="151"/>
      <c r="AP379" s="151"/>
      <c r="AQ379" s="157"/>
      <c r="AR379" s="151"/>
      <c r="AS379" s="159"/>
      <c r="AT379" s="160" t="str">
        <f>Calculo!AQ379</f>
        <v>N/A</v>
      </c>
      <c r="AU379" s="161" t="str">
        <f>Calculo!AV379</f>
        <v>N/A</v>
      </c>
      <c r="AV379" s="162" t="str">
        <f>Calculo!AW379</f>
        <v>N/A</v>
      </c>
      <c r="AW379" s="161" t="b">
        <f>Calculo!AX379</f>
        <v>0</v>
      </c>
      <c r="AX379" s="161" t="str">
        <f>Calculo!K379</f>
        <v>N/A</v>
      </c>
      <c r="AY379" s="161" t="str">
        <f>Calculo!AY379</f>
        <v>N/A</v>
      </c>
      <c r="AZ379" s="161" t="str">
        <f>Calculo!AZ379</f>
        <v>N/A</v>
      </c>
      <c r="BA379" s="163"/>
    </row>
    <row r="380" ht="12.0" customHeight="1">
      <c r="A380" s="88" t="str">
        <f>'Parâmetros'!$A$19</f>
        <v>Rel. Básico PJ</v>
      </c>
      <c r="B380" s="146"/>
      <c r="C380" s="146"/>
      <c r="D380" s="146"/>
      <c r="E380" s="149"/>
      <c r="F380" s="151"/>
      <c r="G380" s="151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53"/>
      <c r="AC380" s="146"/>
      <c r="AD380" s="151"/>
      <c r="AE380" s="151"/>
      <c r="AF380" s="151"/>
      <c r="AG380" s="151"/>
      <c r="AH380" s="151"/>
      <c r="AI380" s="151"/>
      <c r="AJ380" s="146"/>
      <c r="AK380" s="155"/>
      <c r="AL380" s="151"/>
      <c r="AM380" s="151"/>
      <c r="AN380" s="151"/>
      <c r="AO380" s="151"/>
      <c r="AP380" s="151"/>
      <c r="AQ380" s="157"/>
      <c r="AR380" s="151"/>
      <c r="AS380" s="159"/>
      <c r="AT380" s="160" t="str">
        <f>Calculo!AQ380</f>
        <v>N/A</v>
      </c>
      <c r="AU380" s="161" t="str">
        <f>Calculo!AV380</f>
        <v>N/A</v>
      </c>
      <c r="AV380" s="162" t="str">
        <f>Calculo!AW380</f>
        <v>N/A</v>
      </c>
      <c r="AW380" s="161" t="b">
        <f>Calculo!AX380</f>
        <v>0</v>
      </c>
      <c r="AX380" s="161" t="str">
        <f>Calculo!K380</f>
        <v>N/A</v>
      </c>
      <c r="AY380" s="161" t="str">
        <f>Calculo!AY380</f>
        <v>N/A</v>
      </c>
      <c r="AZ380" s="161" t="str">
        <f>Calculo!AZ380</f>
        <v>N/A</v>
      </c>
      <c r="BA380" s="163"/>
    </row>
    <row r="381" ht="12.0" customHeight="1">
      <c r="A381" s="88" t="str">
        <f>'Parâmetros'!$A$19</f>
        <v>Rel. Básico PJ</v>
      </c>
      <c r="B381" s="146"/>
      <c r="C381" s="146"/>
      <c r="D381" s="146"/>
      <c r="E381" s="149"/>
      <c r="F381" s="151"/>
      <c r="G381" s="151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53"/>
      <c r="AC381" s="146"/>
      <c r="AD381" s="151"/>
      <c r="AE381" s="151"/>
      <c r="AF381" s="151"/>
      <c r="AG381" s="151"/>
      <c r="AH381" s="151"/>
      <c r="AI381" s="151"/>
      <c r="AJ381" s="146"/>
      <c r="AK381" s="155"/>
      <c r="AL381" s="151"/>
      <c r="AM381" s="151"/>
      <c r="AN381" s="151"/>
      <c r="AO381" s="151"/>
      <c r="AP381" s="151"/>
      <c r="AQ381" s="157"/>
      <c r="AR381" s="151"/>
      <c r="AS381" s="159"/>
      <c r="AT381" s="160" t="str">
        <f>Calculo!AQ381</f>
        <v>N/A</v>
      </c>
      <c r="AU381" s="161" t="str">
        <f>Calculo!AV381</f>
        <v>N/A</v>
      </c>
      <c r="AV381" s="162" t="str">
        <f>Calculo!AW381</f>
        <v>N/A</v>
      </c>
      <c r="AW381" s="161" t="b">
        <f>Calculo!AX381</f>
        <v>0</v>
      </c>
      <c r="AX381" s="161" t="str">
        <f>Calculo!K381</f>
        <v>N/A</v>
      </c>
      <c r="AY381" s="161" t="str">
        <f>Calculo!AY381</f>
        <v>N/A</v>
      </c>
      <c r="AZ381" s="161" t="str">
        <f>Calculo!AZ381</f>
        <v>N/A</v>
      </c>
      <c r="BA381" s="163"/>
    </row>
    <row r="382" ht="12.0" customHeight="1">
      <c r="A382" s="88" t="str">
        <f>'Parâmetros'!$A$19</f>
        <v>Rel. Básico PJ</v>
      </c>
      <c r="B382" s="146"/>
      <c r="C382" s="146"/>
      <c r="D382" s="146"/>
      <c r="E382" s="149"/>
      <c r="F382" s="151"/>
      <c r="G382" s="151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53"/>
      <c r="AC382" s="146"/>
      <c r="AD382" s="151"/>
      <c r="AE382" s="151"/>
      <c r="AF382" s="151"/>
      <c r="AG382" s="151"/>
      <c r="AH382" s="151"/>
      <c r="AI382" s="151"/>
      <c r="AJ382" s="146"/>
      <c r="AK382" s="155"/>
      <c r="AL382" s="151"/>
      <c r="AM382" s="151"/>
      <c r="AN382" s="151"/>
      <c r="AO382" s="151"/>
      <c r="AP382" s="151"/>
      <c r="AQ382" s="157"/>
      <c r="AR382" s="151"/>
      <c r="AS382" s="159"/>
      <c r="AT382" s="160" t="str">
        <f>Calculo!AQ382</f>
        <v>N/A</v>
      </c>
      <c r="AU382" s="161" t="str">
        <f>Calculo!AV382</f>
        <v>N/A</v>
      </c>
      <c r="AV382" s="162" t="str">
        <f>Calculo!AW382</f>
        <v>N/A</v>
      </c>
      <c r="AW382" s="161" t="b">
        <f>Calculo!AX382</f>
        <v>0</v>
      </c>
      <c r="AX382" s="161" t="str">
        <f>Calculo!K382</f>
        <v>N/A</v>
      </c>
      <c r="AY382" s="161" t="str">
        <f>Calculo!AY382</f>
        <v>N/A</v>
      </c>
      <c r="AZ382" s="161" t="str">
        <f>Calculo!AZ382</f>
        <v>N/A</v>
      </c>
      <c r="BA382" s="163"/>
    </row>
    <row r="383" ht="12.0" customHeight="1">
      <c r="A383" s="88" t="str">
        <f>'Parâmetros'!$A$19</f>
        <v>Rel. Básico PJ</v>
      </c>
      <c r="B383" s="146"/>
      <c r="C383" s="146"/>
      <c r="D383" s="146"/>
      <c r="E383" s="149"/>
      <c r="F383" s="151"/>
      <c r="G383" s="151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53"/>
      <c r="AC383" s="146"/>
      <c r="AD383" s="151"/>
      <c r="AE383" s="151"/>
      <c r="AF383" s="151"/>
      <c r="AG383" s="151"/>
      <c r="AH383" s="151"/>
      <c r="AI383" s="151"/>
      <c r="AJ383" s="146"/>
      <c r="AK383" s="155"/>
      <c r="AL383" s="151"/>
      <c r="AM383" s="151"/>
      <c r="AN383" s="151"/>
      <c r="AO383" s="151"/>
      <c r="AP383" s="151"/>
      <c r="AQ383" s="157"/>
      <c r="AR383" s="151"/>
      <c r="AS383" s="159"/>
      <c r="AT383" s="160" t="str">
        <f>Calculo!AQ383</f>
        <v>N/A</v>
      </c>
      <c r="AU383" s="161" t="str">
        <f>Calculo!AV383</f>
        <v>N/A</v>
      </c>
      <c r="AV383" s="162" t="str">
        <f>Calculo!AW383</f>
        <v>N/A</v>
      </c>
      <c r="AW383" s="161" t="b">
        <f>Calculo!AX383</f>
        <v>0</v>
      </c>
      <c r="AX383" s="161" t="str">
        <f>Calculo!K383</f>
        <v>N/A</v>
      </c>
      <c r="AY383" s="161" t="str">
        <f>Calculo!AY383</f>
        <v>N/A</v>
      </c>
      <c r="AZ383" s="161" t="str">
        <f>Calculo!AZ383</f>
        <v>N/A</v>
      </c>
      <c r="BA383" s="163"/>
    </row>
    <row r="384" ht="12.0" customHeight="1">
      <c r="A384" s="88" t="str">
        <f>'Parâmetros'!$A$19</f>
        <v>Rel. Básico PJ</v>
      </c>
      <c r="B384" s="146"/>
      <c r="C384" s="146"/>
      <c r="D384" s="146"/>
      <c r="E384" s="149"/>
      <c r="F384" s="151"/>
      <c r="G384" s="151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53"/>
      <c r="AC384" s="146"/>
      <c r="AD384" s="151"/>
      <c r="AE384" s="151"/>
      <c r="AF384" s="151"/>
      <c r="AG384" s="151"/>
      <c r="AH384" s="151"/>
      <c r="AI384" s="151"/>
      <c r="AJ384" s="146"/>
      <c r="AK384" s="155"/>
      <c r="AL384" s="151"/>
      <c r="AM384" s="151"/>
      <c r="AN384" s="151"/>
      <c r="AO384" s="151"/>
      <c r="AP384" s="151"/>
      <c r="AQ384" s="157"/>
      <c r="AR384" s="151"/>
      <c r="AS384" s="159"/>
      <c r="AT384" s="160" t="str">
        <f>Calculo!AQ384</f>
        <v>N/A</v>
      </c>
      <c r="AU384" s="161" t="str">
        <f>Calculo!AV384</f>
        <v>N/A</v>
      </c>
      <c r="AV384" s="162" t="str">
        <f>Calculo!AW384</f>
        <v>N/A</v>
      </c>
      <c r="AW384" s="161" t="b">
        <f>Calculo!AX384</f>
        <v>0</v>
      </c>
      <c r="AX384" s="161" t="str">
        <f>Calculo!K384</f>
        <v>N/A</v>
      </c>
      <c r="AY384" s="161" t="str">
        <f>Calculo!AY384</f>
        <v>N/A</v>
      </c>
      <c r="AZ384" s="161" t="str">
        <f>Calculo!AZ384</f>
        <v>N/A</v>
      </c>
      <c r="BA384" s="163"/>
    </row>
    <row r="385" ht="12.0" customHeight="1">
      <c r="A385" s="88" t="str">
        <f>'Parâmetros'!$A$19</f>
        <v>Rel. Básico PJ</v>
      </c>
      <c r="B385" s="146"/>
      <c r="C385" s="146"/>
      <c r="D385" s="146"/>
      <c r="E385" s="149"/>
      <c r="F385" s="151"/>
      <c r="G385" s="151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53"/>
      <c r="AC385" s="146"/>
      <c r="AD385" s="151"/>
      <c r="AE385" s="151"/>
      <c r="AF385" s="151"/>
      <c r="AG385" s="151"/>
      <c r="AH385" s="151"/>
      <c r="AI385" s="151"/>
      <c r="AJ385" s="146"/>
      <c r="AK385" s="155"/>
      <c r="AL385" s="151"/>
      <c r="AM385" s="151"/>
      <c r="AN385" s="151"/>
      <c r="AO385" s="151"/>
      <c r="AP385" s="151"/>
      <c r="AQ385" s="157"/>
      <c r="AR385" s="151"/>
      <c r="AS385" s="159"/>
      <c r="AT385" s="160" t="str">
        <f>Calculo!AQ385</f>
        <v>N/A</v>
      </c>
      <c r="AU385" s="161" t="str">
        <f>Calculo!AV385</f>
        <v>N/A</v>
      </c>
      <c r="AV385" s="162" t="str">
        <f>Calculo!AW385</f>
        <v>N/A</v>
      </c>
      <c r="AW385" s="161" t="b">
        <f>Calculo!AX385</f>
        <v>0</v>
      </c>
      <c r="AX385" s="161" t="str">
        <f>Calculo!K385</f>
        <v>N/A</v>
      </c>
      <c r="AY385" s="161" t="str">
        <f>Calculo!AY385</f>
        <v>N/A</v>
      </c>
      <c r="AZ385" s="161" t="str">
        <f>Calculo!AZ385</f>
        <v>N/A</v>
      </c>
      <c r="BA385" s="163"/>
    </row>
    <row r="386" ht="12.0" customHeight="1">
      <c r="A386" s="88" t="str">
        <f>'Parâmetros'!$A$19</f>
        <v>Rel. Básico PJ</v>
      </c>
      <c r="B386" s="146"/>
      <c r="C386" s="146"/>
      <c r="D386" s="146"/>
      <c r="E386" s="149"/>
      <c r="F386" s="151"/>
      <c r="G386" s="151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53"/>
      <c r="AC386" s="146"/>
      <c r="AD386" s="151"/>
      <c r="AE386" s="151"/>
      <c r="AF386" s="151"/>
      <c r="AG386" s="151"/>
      <c r="AH386" s="151"/>
      <c r="AI386" s="151"/>
      <c r="AJ386" s="146"/>
      <c r="AK386" s="155"/>
      <c r="AL386" s="151"/>
      <c r="AM386" s="151"/>
      <c r="AN386" s="151"/>
      <c r="AO386" s="151"/>
      <c r="AP386" s="151"/>
      <c r="AQ386" s="157"/>
      <c r="AR386" s="151"/>
      <c r="AS386" s="159"/>
      <c r="AT386" s="160" t="str">
        <f>Calculo!AQ386</f>
        <v>N/A</v>
      </c>
      <c r="AU386" s="161" t="str">
        <f>Calculo!AV386</f>
        <v>N/A</v>
      </c>
      <c r="AV386" s="162" t="str">
        <f>Calculo!AW386</f>
        <v>N/A</v>
      </c>
      <c r="AW386" s="161" t="b">
        <f>Calculo!AX386</f>
        <v>0</v>
      </c>
      <c r="AX386" s="161" t="str">
        <f>Calculo!K386</f>
        <v>N/A</v>
      </c>
      <c r="AY386" s="161" t="str">
        <f>Calculo!AY386</f>
        <v>N/A</v>
      </c>
      <c r="AZ386" s="161" t="str">
        <f>Calculo!AZ386</f>
        <v>N/A</v>
      </c>
      <c r="BA386" s="163"/>
    </row>
    <row r="387" ht="12.0" customHeight="1">
      <c r="A387" s="88" t="str">
        <f>'Parâmetros'!$A$19</f>
        <v>Rel. Básico PJ</v>
      </c>
      <c r="B387" s="146"/>
      <c r="C387" s="146"/>
      <c r="D387" s="146"/>
      <c r="E387" s="149"/>
      <c r="F387" s="151"/>
      <c r="G387" s="151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53"/>
      <c r="AC387" s="146"/>
      <c r="AD387" s="151"/>
      <c r="AE387" s="151"/>
      <c r="AF387" s="151"/>
      <c r="AG387" s="151"/>
      <c r="AH387" s="151"/>
      <c r="AI387" s="151"/>
      <c r="AJ387" s="146"/>
      <c r="AK387" s="155"/>
      <c r="AL387" s="151"/>
      <c r="AM387" s="151"/>
      <c r="AN387" s="151"/>
      <c r="AO387" s="151"/>
      <c r="AP387" s="151"/>
      <c r="AQ387" s="157"/>
      <c r="AR387" s="151"/>
      <c r="AS387" s="159"/>
      <c r="AT387" s="160" t="str">
        <f>Calculo!AQ387</f>
        <v>N/A</v>
      </c>
      <c r="AU387" s="161" t="str">
        <f>Calculo!AV387</f>
        <v>N/A</v>
      </c>
      <c r="AV387" s="162" t="str">
        <f>Calculo!AW387</f>
        <v>N/A</v>
      </c>
      <c r="AW387" s="161" t="b">
        <f>Calculo!AX387</f>
        <v>0</v>
      </c>
      <c r="AX387" s="161" t="str">
        <f>Calculo!K387</f>
        <v>N/A</v>
      </c>
      <c r="AY387" s="161" t="str">
        <f>Calculo!AY387</f>
        <v>N/A</v>
      </c>
      <c r="AZ387" s="161" t="str">
        <f>Calculo!AZ387</f>
        <v>N/A</v>
      </c>
      <c r="BA387" s="163"/>
    </row>
    <row r="388" ht="12.0" customHeight="1">
      <c r="A388" s="88" t="str">
        <f>'Parâmetros'!$A$19</f>
        <v>Rel. Básico PJ</v>
      </c>
      <c r="B388" s="146"/>
      <c r="C388" s="146"/>
      <c r="D388" s="146"/>
      <c r="E388" s="149"/>
      <c r="F388" s="151"/>
      <c r="G388" s="151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53"/>
      <c r="AC388" s="146"/>
      <c r="AD388" s="151"/>
      <c r="AE388" s="151"/>
      <c r="AF388" s="151"/>
      <c r="AG388" s="151"/>
      <c r="AH388" s="151"/>
      <c r="AI388" s="151"/>
      <c r="AJ388" s="146"/>
      <c r="AK388" s="155"/>
      <c r="AL388" s="151"/>
      <c r="AM388" s="151"/>
      <c r="AN388" s="151"/>
      <c r="AO388" s="151"/>
      <c r="AP388" s="151"/>
      <c r="AQ388" s="157"/>
      <c r="AR388" s="151"/>
      <c r="AS388" s="159"/>
      <c r="AT388" s="160" t="str">
        <f>Calculo!AQ388</f>
        <v>N/A</v>
      </c>
      <c r="AU388" s="161" t="str">
        <f>Calculo!AV388</f>
        <v>N/A</v>
      </c>
      <c r="AV388" s="162" t="str">
        <f>Calculo!AW388</f>
        <v>N/A</v>
      </c>
      <c r="AW388" s="161" t="b">
        <f>Calculo!AX388</f>
        <v>0</v>
      </c>
      <c r="AX388" s="161" t="str">
        <f>Calculo!K388</f>
        <v>N/A</v>
      </c>
      <c r="AY388" s="161" t="str">
        <f>Calculo!AY388</f>
        <v>N/A</v>
      </c>
      <c r="AZ388" s="161" t="str">
        <f>Calculo!AZ388</f>
        <v>N/A</v>
      </c>
      <c r="BA388" s="163"/>
    </row>
    <row r="389" ht="12.0" customHeight="1">
      <c r="A389" s="88" t="str">
        <f>'Parâmetros'!$A$19</f>
        <v>Rel. Básico PJ</v>
      </c>
      <c r="B389" s="146"/>
      <c r="C389" s="146"/>
      <c r="D389" s="146"/>
      <c r="E389" s="149"/>
      <c r="F389" s="151"/>
      <c r="G389" s="151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53"/>
      <c r="AC389" s="146"/>
      <c r="AD389" s="151"/>
      <c r="AE389" s="151"/>
      <c r="AF389" s="151"/>
      <c r="AG389" s="151"/>
      <c r="AH389" s="151"/>
      <c r="AI389" s="151"/>
      <c r="AJ389" s="146"/>
      <c r="AK389" s="155"/>
      <c r="AL389" s="151"/>
      <c r="AM389" s="151"/>
      <c r="AN389" s="151"/>
      <c r="AO389" s="151"/>
      <c r="AP389" s="151"/>
      <c r="AQ389" s="157"/>
      <c r="AR389" s="151"/>
      <c r="AS389" s="159"/>
      <c r="AT389" s="160" t="str">
        <f>Calculo!AQ389</f>
        <v>N/A</v>
      </c>
      <c r="AU389" s="161" t="str">
        <f>Calculo!AV389</f>
        <v>N/A</v>
      </c>
      <c r="AV389" s="162" t="str">
        <f>Calculo!AW389</f>
        <v>N/A</v>
      </c>
      <c r="AW389" s="161" t="b">
        <f>Calculo!AX389</f>
        <v>0</v>
      </c>
      <c r="AX389" s="161" t="str">
        <f>Calculo!K389</f>
        <v>N/A</v>
      </c>
      <c r="AY389" s="161" t="str">
        <f>Calculo!AY389</f>
        <v>N/A</v>
      </c>
      <c r="AZ389" s="161" t="str">
        <f>Calculo!AZ389</f>
        <v>N/A</v>
      </c>
      <c r="BA389" s="163"/>
    </row>
    <row r="390" ht="12.0" customHeight="1">
      <c r="A390" s="88" t="str">
        <f>'Parâmetros'!$A$19</f>
        <v>Rel. Básico PJ</v>
      </c>
      <c r="B390" s="146"/>
      <c r="C390" s="146"/>
      <c r="D390" s="146"/>
      <c r="E390" s="149"/>
      <c r="F390" s="151"/>
      <c r="G390" s="151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53"/>
      <c r="AC390" s="146"/>
      <c r="AD390" s="151"/>
      <c r="AE390" s="151"/>
      <c r="AF390" s="151"/>
      <c r="AG390" s="151"/>
      <c r="AH390" s="151"/>
      <c r="AI390" s="151"/>
      <c r="AJ390" s="146"/>
      <c r="AK390" s="155"/>
      <c r="AL390" s="151"/>
      <c r="AM390" s="151"/>
      <c r="AN390" s="151"/>
      <c r="AO390" s="151"/>
      <c r="AP390" s="151"/>
      <c r="AQ390" s="157"/>
      <c r="AR390" s="151"/>
      <c r="AS390" s="159"/>
      <c r="AT390" s="160" t="str">
        <f>Calculo!AQ390</f>
        <v>N/A</v>
      </c>
      <c r="AU390" s="161" t="str">
        <f>Calculo!AV390</f>
        <v>N/A</v>
      </c>
      <c r="AV390" s="162" t="str">
        <f>Calculo!AW390</f>
        <v>N/A</v>
      </c>
      <c r="AW390" s="161" t="b">
        <f>Calculo!AX390</f>
        <v>0</v>
      </c>
      <c r="AX390" s="161" t="str">
        <f>Calculo!K390</f>
        <v>N/A</v>
      </c>
      <c r="AY390" s="161" t="str">
        <f>Calculo!AY390</f>
        <v>N/A</v>
      </c>
      <c r="AZ390" s="161" t="str">
        <f>Calculo!AZ390</f>
        <v>N/A</v>
      </c>
      <c r="BA390" s="163"/>
    </row>
    <row r="391" ht="12.0" customHeight="1">
      <c r="A391" s="88" t="str">
        <f>'Parâmetros'!$A$19</f>
        <v>Rel. Básico PJ</v>
      </c>
      <c r="B391" s="146"/>
      <c r="C391" s="146"/>
      <c r="D391" s="146"/>
      <c r="E391" s="149"/>
      <c r="F391" s="151"/>
      <c r="G391" s="151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53"/>
      <c r="AC391" s="146"/>
      <c r="AD391" s="151"/>
      <c r="AE391" s="151"/>
      <c r="AF391" s="151"/>
      <c r="AG391" s="151"/>
      <c r="AH391" s="151"/>
      <c r="AI391" s="151"/>
      <c r="AJ391" s="146"/>
      <c r="AK391" s="155"/>
      <c r="AL391" s="151"/>
      <c r="AM391" s="151"/>
      <c r="AN391" s="151"/>
      <c r="AO391" s="151"/>
      <c r="AP391" s="151"/>
      <c r="AQ391" s="157"/>
      <c r="AR391" s="151"/>
      <c r="AS391" s="159"/>
      <c r="AT391" s="160" t="str">
        <f>Calculo!AQ391</f>
        <v>N/A</v>
      </c>
      <c r="AU391" s="161" t="str">
        <f>Calculo!AV391</f>
        <v>N/A</v>
      </c>
      <c r="AV391" s="162" t="str">
        <f>Calculo!AW391</f>
        <v>N/A</v>
      </c>
      <c r="AW391" s="161" t="b">
        <f>Calculo!AX391</f>
        <v>0</v>
      </c>
      <c r="AX391" s="161" t="str">
        <f>Calculo!K391</f>
        <v>N/A</v>
      </c>
      <c r="AY391" s="161" t="str">
        <f>Calculo!AY391</f>
        <v>N/A</v>
      </c>
      <c r="AZ391" s="161" t="str">
        <f>Calculo!AZ391</f>
        <v>N/A</v>
      </c>
      <c r="BA391" s="163"/>
    </row>
    <row r="392" ht="12.0" customHeight="1">
      <c r="A392" s="88" t="str">
        <f>'Parâmetros'!$A$19</f>
        <v>Rel. Básico PJ</v>
      </c>
      <c r="B392" s="146"/>
      <c r="C392" s="146"/>
      <c r="D392" s="146"/>
      <c r="E392" s="149"/>
      <c r="F392" s="151"/>
      <c r="G392" s="151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53"/>
      <c r="AC392" s="146"/>
      <c r="AD392" s="151"/>
      <c r="AE392" s="151"/>
      <c r="AF392" s="151"/>
      <c r="AG392" s="151"/>
      <c r="AH392" s="151"/>
      <c r="AI392" s="151"/>
      <c r="AJ392" s="146"/>
      <c r="AK392" s="155"/>
      <c r="AL392" s="151"/>
      <c r="AM392" s="151"/>
      <c r="AN392" s="151"/>
      <c r="AO392" s="151"/>
      <c r="AP392" s="151"/>
      <c r="AQ392" s="157"/>
      <c r="AR392" s="151"/>
      <c r="AS392" s="159"/>
      <c r="AT392" s="160" t="str">
        <f>Calculo!AQ392</f>
        <v>N/A</v>
      </c>
      <c r="AU392" s="161" t="str">
        <f>Calculo!AV392</f>
        <v>N/A</v>
      </c>
      <c r="AV392" s="162" t="str">
        <f>Calculo!AW392</f>
        <v>N/A</v>
      </c>
      <c r="AW392" s="161" t="b">
        <f>Calculo!AX392</f>
        <v>0</v>
      </c>
      <c r="AX392" s="161" t="str">
        <f>Calculo!K392</f>
        <v>N/A</v>
      </c>
      <c r="AY392" s="161" t="str">
        <f>Calculo!AY392</f>
        <v>N/A</v>
      </c>
      <c r="AZ392" s="161" t="str">
        <f>Calculo!AZ392</f>
        <v>N/A</v>
      </c>
      <c r="BA392" s="163"/>
    </row>
    <row r="393" ht="12.0" customHeight="1">
      <c r="A393" s="88" t="str">
        <f>'Parâmetros'!$A$19</f>
        <v>Rel. Básico PJ</v>
      </c>
      <c r="B393" s="146"/>
      <c r="C393" s="146"/>
      <c r="D393" s="146"/>
      <c r="E393" s="149"/>
      <c r="F393" s="151"/>
      <c r="G393" s="151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53"/>
      <c r="AC393" s="146"/>
      <c r="AD393" s="151"/>
      <c r="AE393" s="151"/>
      <c r="AF393" s="151"/>
      <c r="AG393" s="151"/>
      <c r="AH393" s="151"/>
      <c r="AI393" s="151"/>
      <c r="AJ393" s="146"/>
      <c r="AK393" s="155"/>
      <c r="AL393" s="151"/>
      <c r="AM393" s="151"/>
      <c r="AN393" s="151"/>
      <c r="AO393" s="151"/>
      <c r="AP393" s="151"/>
      <c r="AQ393" s="157"/>
      <c r="AR393" s="151"/>
      <c r="AS393" s="159"/>
      <c r="AT393" s="160" t="str">
        <f>Calculo!AQ393</f>
        <v>N/A</v>
      </c>
      <c r="AU393" s="161" t="str">
        <f>Calculo!AV393</f>
        <v>N/A</v>
      </c>
      <c r="AV393" s="162" t="str">
        <f>Calculo!AW393</f>
        <v>N/A</v>
      </c>
      <c r="AW393" s="161" t="b">
        <f>Calculo!AX393</f>
        <v>0</v>
      </c>
      <c r="AX393" s="161" t="str">
        <f>Calculo!K393</f>
        <v>N/A</v>
      </c>
      <c r="AY393" s="161" t="str">
        <f>Calculo!AY393</f>
        <v>N/A</v>
      </c>
      <c r="AZ393" s="161" t="str">
        <f>Calculo!AZ393</f>
        <v>N/A</v>
      </c>
      <c r="BA393" s="163"/>
    </row>
    <row r="394" ht="12.0" customHeight="1">
      <c r="A394" s="88" t="str">
        <f>'Parâmetros'!$A$19</f>
        <v>Rel. Básico PJ</v>
      </c>
      <c r="B394" s="146"/>
      <c r="C394" s="146"/>
      <c r="D394" s="146"/>
      <c r="E394" s="149"/>
      <c r="F394" s="151"/>
      <c r="G394" s="151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53"/>
      <c r="AC394" s="146"/>
      <c r="AD394" s="151"/>
      <c r="AE394" s="151"/>
      <c r="AF394" s="151"/>
      <c r="AG394" s="151"/>
      <c r="AH394" s="151"/>
      <c r="AI394" s="151"/>
      <c r="AJ394" s="146"/>
      <c r="AK394" s="155"/>
      <c r="AL394" s="151"/>
      <c r="AM394" s="151"/>
      <c r="AN394" s="151"/>
      <c r="AO394" s="151"/>
      <c r="AP394" s="151"/>
      <c r="AQ394" s="157"/>
      <c r="AR394" s="151"/>
      <c r="AS394" s="159"/>
      <c r="AT394" s="160" t="str">
        <f>Calculo!AQ394</f>
        <v>N/A</v>
      </c>
      <c r="AU394" s="161" t="str">
        <f>Calculo!AV394</f>
        <v>N/A</v>
      </c>
      <c r="AV394" s="162" t="str">
        <f>Calculo!AW394</f>
        <v>N/A</v>
      </c>
      <c r="AW394" s="161" t="b">
        <f>Calculo!AX394</f>
        <v>0</v>
      </c>
      <c r="AX394" s="161" t="str">
        <f>Calculo!K394</f>
        <v>N/A</v>
      </c>
      <c r="AY394" s="161" t="str">
        <f>Calculo!AY394</f>
        <v>N/A</v>
      </c>
      <c r="AZ394" s="161" t="str">
        <f>Calculo!AZ394</f>
        <v>N/A</v>
      </c>
      <c r="BA394" s="163"/>
    </row>
    <row r="395" ht="12.0" customHeight="1">
      <c r="A395" s="88" t="str">
        <f>'Parâmetros'!$A$19</f>
        <v>Rel. Básico PJ</v>
      </c>
      <c r="B395" s="146"/>
      <c r="C395" s="146"/>
      <c r="D395" s="146"/>
      <c r="E395" s="149"/>
      <c r="F395" s="151"/>
      <c r="G395" s="151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53"/>
      <c r="AC395" s="146"/>
      <c r="AD395" s="151"/>
      <c r="AE395" s="151"/>
      <c r="AF395" s="151"/>
      <c r="AG395" s="151"/>
      <c r="AH395" s="151"/>
      <c r="AI395" s="151"/>
      <c r="AJ395" s="146"/>
      <c r="AK395" s="155"/>
      <c r="AL395" s="151"/>
      <c r="AM395" s="151"/>
      <c r="AN395" s="151"/>
      <c r="AO395" s="151"/>
      <c r="AP395" s="151"/>
      <c r="AQ395" s="157"/>
      <c r="AR395" s="151"/>
      <c r="AS395" s="159"/>
      <c r="AT395" s="160" t="str">
        <f>Calculo!AQ395</f>
        <v>N/A</v>
      </c>
      <c r="AU395" s="161" t="str">
        <f>Calculo!AV395</f>
        <v>N/A</v>
      </c>
      <c r="AV395" s="162" t="str">
        <f>Calculo!AW395</f>
        <v>N/A</v>
      </c>
      <c r="AW395" s="161" t="b">
        <f>Calculo!AX395</f>
        <v>0</v>
      </c>
      <c r="AX395" s="161" t="str">
        <f>Calculo!K395</f>
        <v>N/A</v>
      </c>
      <c r="AY395" s="161" t="str">
        <f>Calculo!AY395</f>
        <v>N/A</v>
      </c>
      <c r="AZ395" s="161" t="str">
        <f>Calculo!AZ395</f>
        <v>N/A</v>
      </c>
      <c r="BA395" s="163"/>
    </row>
    <row r="396" ht="12.0" customHeight="1">
      <c r="A396" s="88" t="str">
        <f>'Parâmetros'!$A$19</f>
        <v>Rel. Básico PJ</v>
      </c>
      <c r="B396" s="146"/>
      <c r="C396" s="146"/>
      <c r="D396" s="146"/>
      <c r="E396" s="149"/>
      <c r="F396" s="151"/>
      <c r="G396" s="151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53"/>
      <c r="AC396" s="146"/>
      <c r="AD396" s="151"/>
      <c r="AE396" s="151"/>
      <c r="AF396" s="151"/>
      <c r="AG396" s="151"/>
      <c r="AH396" s="151"/>
      <c r="AI396" s="151"/>
      <c r="AJ396" s="146"/>
      <c r="AK396" s="155"/>
      <c r="AL396" s="151"/>
      <c r="AM396" s="151"/>
      <c r="AN396" s="151"/>
      <c r="AO396" s="151"/>
      <c r="AP396" s="151"/>
      <c r="AQ396" s="157"/>
      <c r="AR396" s="151"/>
      <c r="AS396" s="159"/>
      <c r="AT396" s="160" t="str">
        <f>Calculo!AQ396</f>
        <v>N/A</v>
      </c>
      <c r="AU396" s="161" t="str">
        <f>Calculo!AV396</f>
        <v>N/A</v>
      </c>
      <c r="AV396" s="162" t="str">
        <f>Calculo!AW396</f>
        <v>N/A</v>
      </c>
      <c r="AW396" s="161" t="b">
        <f>Calculo!AX396</f>
        <v>0</v>
      </c>
      <c r="AX396" s="161" t="str">
        <f>Calculo!K396</f>
        <v>N/A</v>
      </c>
      <c r="AY396" s="161" t="str">
        <f>Calculo!AY396</f>
        <v>N/A</v>
      </c>
      <c r="AZ396" s="161" t="str">
        <f>Calculo!AZ396</f>
        <v>N/A</v>
      </c>
      <c r="BA396" s="163"/>
    </row>
    <row r="397" ht="12.0" customHeight="1">
      <c r="A397" s="88" t="str">
        <f>'Parâmetros'!$A$19</f>
        <v>Rel. Básico PJ</v>
      </c>
      <c r="B397" s="146"/>
      <c r="C397" s="146"/>
      <c r="D397" s="146"/>
      <c r="E397" s="149"/>
      <c r="F397" s="151"/>
      <c r="G397" s="151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53"/>
      <c r="AC397" s="146"/>
      <c r="AD397" s="151"/>
      <c r="AE397" s="151"/>
      <c r="AF397" s="151"/>
      <c r="AG397" s="151"/>
      <c r="AH397" s="151"/>
      <c r="AI397" s="151"/>
      <c r="AJ397" s="146"/>
      <c r="AK397" s="155"/>
      <c r="AL397" s="151"/>
      <c r="AM397" s="151"/>
      <c r="AN397" s="151"/>
      <c r="AO397" s="151"/>
      <c r="AP397" s="151"/>
      <c r="AQ397" s="157"/>
      <c r="AR397" s="151"/>
      <c r="AS397" s="159"/>
      <c r="AT397" s="160" t="str">
        <f>Calculo!AQ397</f>
        <v>N/A</v>
      </c>
      <c r="AU397" s="161" t="str">
        <f>Calculo!AV397</f>
        <v>N/A</v>
      </c>
      <c r="AV397" s="162" t="str">
        <f>Calculo!AW397</f>
        <v>N/A</v>
      </c>
      <c r="AW397" s="161" t="b">
        <f>Calculo!AX397</f>
        <v>0</v>
      </c>
      <c r="AX397" s="161" t="str">
        <f>Calculo!K397</f>
        <v>N/A</v>
      </c>
      <c r="AY397" s="161" t="str">
        <f>Calculo!AY397</f>
        <v>N/A</v>
      </c>
      <c r="AZ397" s="161" t="str">
        <f>Calculo!AZ397</f>
        <v>N/A</v>
      </c>
      <c r="BA397" s="163"/>
    </row>
    <row r="398" ht="12.0" customHeight="1">
      <c r="A398" s="88" t="str">
        <f>'Parâmetros'!$A$19</f>
        <v>Rel. Básico PJ</v>
      </c>
      <c r="B398" s="146"/>
      <c r="C398" s="146"/>
      <c r="D398" s="146"/>
      <c r="E398" s="149"/>
      <c r="F398" s="151"/>
      <c r="G398" s="151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53"/>
      <c r="AC398" s="146"/>
      <c r="AD398" s="151"/>
      <c r="AE398" s="151"/>
      <c r="AF398" s="151"/>
      <c r="AG398" s="151"/>
      <c r="AH398" s="151"/>
      <c r="AI398" s="151"/>
      <c r="AJ398" s="146"/>
      <c r="AK398" s="155"/>
      <c r="AL398" s="151"/>
      <c r="AM398" s="151"/>
      <c r="AN398" s="151"/>
      <c r="AO398" s="151"/>
      <c r="AP398" s="151"/>
      <c r="AQ398" s="157"/>
      <c r="AR398" s="151"/>
      <c r="AS398" s="159"/>
      <c r="AT398" s="160" t="str">
        <f>Calculo!AQ398</f>
        <v>N/A</v>
      </c>
      <c r="AU398" s="161" t="str">
        <f>Calculo!AV398</f>
        <v>N/A</v>
      </c>
      <c r="AV398" s="162" t="str">
        <f>Calculo!AW398</f>
        <v>N/A</v>
      </c>
      <c r="AW398" s="161" t="b">
        <f>Calculo!AX398</f>
        <v>0</v>
      </c>
      <c r="AX398" s="161" t="str">
        <f>Calculo!K398</f>
        <v>N/A</v>
      </c>
      <c r="AY398" s="161" t="str">
        <f>Calculo!AY398</f>
        <v>N/A</v>
      </c>
      <c r="AZ398" s="161" t="str">
        <f>Calculo!AZ398</f>
        <v>N/A</v>
      </c>
      <c r="BA398" s="163"/>
    </row>
    <row r="399" ht="12.0" customHeight="1">
      <c r="A399" s="88" t="str">
        <f>'Parâmetros'!$A$19</f>
        <v>Rel. Básico PJ</v>
      </c>
      <c r="B399" s="146"/>
      <c r="C399" s="146"/>
      <c r="D399" s="146"/>
      <c r="E399" s="149"/>
      <c r="F399" s="151"/>
      <c r="G399" s="151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53"/>
      <c r="AC399" s="146"/>
      <c r="AD399" s="151"/>
      <c r="AE399" s="151"/>
      <c r="AF399" s="151"/>
      <c r="AG399" s="151"/>
      <c r="AH399" s="151"/>
      <c r="AI399" s="151"/>
      <c r="AJ399" s="146"/>
      <c r="AK399" s="155"/>
      <c r="AL399" s="151"/>
      <c r="AM399" s="151"/>
      <c r="AN399" s="151"/>
      <c r="AO399" s="151"/>
      <c r="AP399" s="151"/>
      <c r="AQ399" s="157"/>
      <c r="AR399" s="151"/>
      <c r="AS399" s="159"/>
      <c r="AT399" s="160" t="str">
        <f>Calculo!AQ399</f>
        <v>N/A</v>
      </c>
      <c r="AU399" s="161" t="str">
        <f>Calculo!AV399</f>
        <v>N/A</v>
      </c>
      <c r="AV399" s="162" t="str">
        <f>Calculo!AW399</f>
        <v>N/A</v>
      </c>
      <c r="AW399" s="161" t="b">
        <f>Calculo!AX399</f>
        <v>0</v>
      </c>
      <c r="AX399" s="161" t="str">
        <f>Calculo!K399</f>
        <v>N/A</v>
      </c>
      <c r="AY399" s="161" t="str">
        <f>Calculo!AY399</f>
        <v>N/A</v>
      </c>
      <c r="AZ399" s="161" t="str">
        <f>Calculo!AZ399</f>
        <v>N/A</v>
      </c>
      <c r="BA399" s="163"/>
    </row>
    <row r="400" ht="12.0" customHeight="1">
      <c r="A400" s="88" t="str">
        <f>'Parâmetros'!$A$19</f>
        <v>Rel. Básico PJ</v>
      </c>
      <c r="B400" s="146"/>
      <c r="C400" s="146"/>
      <c r="D400" s="146"/>
      <c r="E400" s="149"/>
      <c r="F400" s="151"/>
      <c r="G400" s="151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53"/>
      <c r="AC400" s="146"/>
      <c r="AD400" s="151"/>
      <c r="AE400" s="151"/>
      <c r="AF400" s="151"/>
      <c r="AG400" s="151"/>
      <c r="AH400" s="151"/>
      <c r="AI400" s="151"/>
      <c r="AJ400" s="146"/>
      <c r="AK400" s="155"/>
      <c r="AL400" s="151"/>
      <c r="AM400" s="151"/>
      <c r="AN400" s="151"/>
      <c r="AO400" s="151"/>
      <c r="AP400" s="151"/>
      <c r="AQ400" s="157"/>
      <c r="AR400" s="151"/>
      <c r="AS400" s="159"/>
      <c r="AT400" s="160" t="str">
        <f>Calculo!AQ400</f>
        <v>N/A</v>
      </c>
      <c r="AU400" s="161" t="str">
        <f>Calculo!AV400</f>
        <v>N/A</v>
      </c>
      <c r="AV400" s="162" t="str">
        <f>Calculo!AW400</f>
        <v>N/A</v>
      </c>
      <c r="AW400" s="161" t="b">
        <f>Calculo!AX400</f>
        <v>0</v>
      </c>
      <c r="AX400" s="161" t="str">
        <f>Calculo!K400</f>
        <v>N/A</v>
      </c>
      <c r="AY400" s="161" t="str">
        <f>Calculo!AY400</f>
        <v>N/A</v>
      </c>
      <c r="AZ400" s="161" t="str">
        <f>Calculo!AZ400</f>
        <v>N/A</v>
      </c>
      <c r="BA400" s="163"/>
    </row>
    <row r="401" ht="12.0" customHeight="1">
      <c r="A401" s="88" t="str">
        <f>'Parâmetros'!$A$19</f>
        <v>Rel. Básico PJ</v>
      </c>
      <c r="B401" s="146"/>
      <c r="C401" s="146"/>
      <c r="D401" s="146"/>
      <c r="E401" s="149"/>
      <c r="F401" s="151"/>
      <c r="G401" s="151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53"/>
      <c r="AC401" s="146"/>
      <c r="AD401" s="151"/>
      <c r="AE401" s="151"/>
      <c r="AF401" s="151"/>
      <c r="AG401" s="151"/>
      <c r="AH401" s="151"/>
      <c r="AI401" s="151"/>
      <c r="AJ401" s="146"/>
      <c r="AK401" s="155"/>
      <c r="AL401" s="151"/>
      <c r="AM401" s="151"/>
      <c r="AN401" s="151"/>
      <c r="AO401" s="151"/>
      <c r="AP401" s="151"/>
      <c r="AQ401" s="157"/>
      <c r="AR401" s="151"/>
      <c r="AS401" s="159"/>
      <c r="AT401" s="160" t="str">
        <f>Calculo!AQ401</f>
        <v>N/A</v>
      </c>
      <c r="AU401" s="161" t="str">
        <f>Calculo!AV401</f>
        <v>N/A</v>
      </c>
      <c r="AV401" s="162" t="str">
        <f>Calculo!AW401</f>
        <v>N/A</v>
      </c>
      <c r="AW401" s="161" t="b">
        <f>Calculo!AX401</f>
        <v>0</v>
      </c>
      <c r="AX401" s="161" t="str">
        <f>Calculo!K401</f>
        <v>N/A</v>
      </c>
      <c r="AY401" s="161" t="str">
        <f>Calculo!AY401</f>
        <v>N/A</v>
      </c>
      <c r="AZ401" s="161" t="str">
        <f>Calculo!AZ401</f>
        <v>N/A</v>
      </c>
      <c r="BA401" s="163"/>
    </row>
    <row r="402" ht="12.0" customHeight="1">
      <c r="A402" s="88" t="str">
        <f>'Parâmetros'!$A$19</f>
        <v>Rel. Básico PJ</v>
      </c>
      <c r="B402" s="146"/>
      <c r="C402" s="146"/>
      <c r="D402" s="146"/>
      <c r="E402" s="149"/>
      <c r="F402" s="151"/>
      <c r="G402" s="151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53"/>
      <c r="AC402" s="146"/>
      <c r="AD402" s="151"/>
      <c r="AE402" s="151"/>
      <c r="AF402" s="151"/>
      <c r="AG402" s="151"/>
      <c r="AH402" s="151"/>
      <c r="AI402" s="151"/>
      <c r="AJ402" s="146"/>
      <c r="AK402" s="155"/>
      <c r="AL402" s="151"/>
      <c r="AM402" s="151"/>
      <c r="AN402" s="151"/>
      <c r="AO402" s="151"/>
      <c r="AP402" s="151"/>
      <c r="AQ402" s="157"/>
      <c r="AR402" s="151"/>
      <c r="AS402" s="159"/>
      <c r="AT402" s="160" t="str">
        <f>Calculo!AQ402</f>
        <v>N/A</v>
      </c>
      <c r="AU402" s="161" t="str">
        <f>Calculo!AV402</f>
        <v>N/A</v>
      </c>
      <c r="AV402" s="162" t="str">
        <f>Calculo!AW402</f>
        <v>N/A</v>
      </c>
      <c r="AW402" s="161" t="b">
        <f>Calculo!AX402</f>
        <v>0</v>
      </c>
      <c r="AX402" s="161" t="str">
        <f>Calculo!K402</f>
        <v>N/A</v>
      </c>
      <c r="AY402" s="161" t="str">
        <f>Calculo!AY402</f>
        <v>N/A</v>
      </c>
      <c r="AZ402" s="161" t="str">
        <f>Calculo!AZ402</f>
        <v>N/A</v>
      </c>
      <c r="BA402" s="163"/>
    </row>
    <row r="403" ht="12.0" customHeight="1">
      <c r="A403" s="88" t="str">
        <f>'Parâmetros'!$A$19</f>
        <v>Rel. Básico PJ</v>
      </c>
      <c r="B403" s="146"/>
      <c r="C403" s="146"/>
      <c r="D403" s="146"/>
      <c r="E403" s="149"/>
      <c r="F403" s="151"/>
      <c r="G403" s="151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53"/>
      <c r="AC403" s="146"/>
      <c r="AD403" s="151"/>
      <c r="AE403" s="151"/>
      <c r="AF403" s="151"/>
      <c r="AG403" s="151"/>
      <c r="AH403" s="151"/>
      <c r="AI403" s="151"/>
      <c r="AJ403" s="146"/>
      <c r="AK403" s="155"/>
      <c r="AL403" s="151"/>
      <c r="AM403" s="151"/>
      <c r="AN403" s="151"/>
      <c r="AO403" s="151"/>
      <c r="AP403" s="151"/>
      <c r="AQ403" s="157"/>
      <c r="AR403" s="151"/>
      <c r="AS403" s="159"/>
      <c r="AT403" s="160" t="str">
        <f>Calculo!AQ403</f>
        <v>N/A</v>
      </c>
      <c r="AU403" s="161" t="str">
        <f>Calculo!AV403</f>
        <v>N/A</v>
      </c>
      <c r="AV403" s="162" t="str">
        <f>Calculo!AW403</f>
        <v>N/A</v>
      </c>
      <c r="AW403" s="161" t="b">
        <f>Calculo!AX403</f>
        <v>0</v>
      </c>
      <c r="AX403" s="161" t="str">
        <f>Calculo!K403</f>
        <v>N/A</v>
      </c>
      <c r="AY403" s="161" t="str">
        <f>Calculo!AY403</f>
        <v>N/A</v>
      </c>
      <c r="AZ403" s="161" t="str">
        <f>Calculo!AZ403</f>
        <v>N/A</v>
      </c>
      <c r="BA403" s="163"/>
    </row>
    <row r="404" ht="12.0" customHeight="1">
      <c r="A404" s="88" t="str">
        <f>'Parâmetros'!$A$19</f>
        <v>Rel. Básico PJ</v>
      </c>
      <c r="B404" s="146"/>
      <c r="C404" s="146"/>
      <c r="D404" s="146"/>
      <c r="E404" s="149"/>
      <c r="F404" s="151"/>
      <c r="G404" s="151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53"/>
      <c r="AC404" s="146"/>
      <c r="AD404" s="151"/>
      <c r="AE404" s="151"/>
      <c r="AF404" s="151"/>
      <c r="AG404" s="151"/>
      <c r="AH404" s="151"/>
      <c r="AI404" s="151"/>
      <c r="AJ404" s="146"/>
      <c r="AK404" s="155"/>
      <c r="AL404" s="151"/>
      <c r="AM404" s="151"/>
      <c r="AN404" s="151"/>
      <c r="AO404" s="151"/>
      <c r="AP404" s="151"/>
      <c r="AQ404" s="157"/>
      <c r="AR404" s="151"/>
      <c r="AS404" s="159"/>
      <c r="AT404" s="160" t="str">
        <f>Calculo!AQ404</f>
        <v>N/A</v>
      </c>
      <c r="AU404" s="161" t="str">
        <f>Calculo!AV404</f>
        <v>N/A</v>
      </c>
      <c r="AV404" s="162" t="str">
        <f>Calculo!AW404</f>
        <v>N/A</v>
      </c>
      <c r="AW404" s="161" t="b">
        <f>Calculo!AX404</f>
        <v>0</v>
      </c>
      <c r="AX404" s="161" t="str">
        <f>Calculo!K404</f>
        <v>N/A</v>
      </c>
      <c r="AY404" s="161" t="str">
        <f>Calculo!AY404</f>
        <v>N/A</v>
      </c>
      <c r="AZ404" s="161" t="str">
        <f>Calculo!AZ404</f>
        <v>N/A</v>
      </c>
      <c r="BA404" s="163"/>
    </row>
    <row r="405" ht="12.0" customHeight="1">
      <c r="A405" s="88" t="str">
        <f>'Parâmetros'!$A$19</f>
        <v>Rel. Básico PJ</v>
      </c>
      <c r="B405" s="146"/>
      <c r="C405" s="146"/>
      <c r="D405" s="146"/>
      <c r="E405" s="149"/>
      <c r="F405" s="151"/>
      <c r="G405" s="151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53"/>
      <c r="AC405" s="146"/>
      <c r="AD405" s="151"/>
      <c r="AE405" s="151"/>
      <c r="AF405" s="151"/>
      <c r="AG405" s="151"/>
      <c r="AH405" s="151"/>
      <c r="AI405" s="151"/>
      <c r="AJ405" s="146"/>
      <c r="AK405" s="155"/>
      <c r="AL405" s="151"/>
      <c r="AM405" s="151"/>
      <c r="AN405" s="151"/>
      <c r="AO405" s="151"/>
      <c r="AP405" s="151"/>
      <c r="AQ405" s="157"/>
      <c r="AR405" s="151"/>
      <c r="AS405" s="159"/>
      <c r="AT405" s="160" t="str">
        <f>Calculo!AQ405</f>
        <v>N/A</v>
      </c>
      <c r="AU405" s="161" t="str">
        <f>Calculo!AV405</f>
        <v>N/A</v>
      </c>
      <c r="AV405" s="162" t="str">
        <f>Calculo!AW405</f>
        <v>N/A</v>
      </c>
      <c r="AW405" s="161" t="b">
        <f>Calculo!AX405</f>
        <v>0</v>
      </c>
      <c r="AX405" s="161" t="str">
        <f>Calculo!K405</f>
        <v>N/A</v>
      </c>
      <c r="AY405" s="161" t="str">
        <f>Calculo!AY405</f>
        <v>N/A</v>
      </c>
      <c r="AZ405" s="161" t="str">
        <f>Calculo!AZ405</f>
        <v>N/A</v>
      </c>
      <c r="BA405" s="163"/>
    </row>
    <row r="406" ht="12.0" customHeight="1">
      <c r="A406" s="88" t="str">
        <f>'Parâmetros'!$A$19</f>
        <v>Rel. Básico PJ</v>
      </c>
      <c r="B406" s="146"/>
      <c r="C406" s="146"/>
      <c r="D406" s="146"/>
      <c r="E406" s="149"/>
      <c r="F406" s="151"/>
      <c r="G406" s="151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53"/>
      <c r="AC406" s="146"/>
      <c r="AD406" s="151"/>
      <c r="AE406" s="151"/>
      <c r="AF406" s="151"/>
      <c r="AG406" s="151"/>
      <c r="AH406" s="151"/>
      <c r="AI406" s="151"/>
      <c r="AJ406" s="146"/>
      <c r="AK406" s="155"/>
      <c r="AL406" s="151"/>
      <c r="AM406" s="151"/>
      <c r="AN406" s="151"/>
      <c r="AO406" s="151"/>
      <c r="AP406" s="151"/>
      <c r="AQ406" s="157"/>
      <c r="AR406" s="151"/>
      <c r="AS406" s="159"/>
      <c r="AT406" s="160" t="str">
        <f>Calculo!AQ406</f>
        <v>N/A</v>
      </c>
      <c r="AU406" s="161" t="str">
        <f>Calculo!AV406</f>
        <v>N/A</v>
      </c>
      <c r="AV406" s="162" t="str">
        <f>Calculo!AW406</f>
        <v>N/A</v>
      </c>
      <c r="AW406" s="161" t="b">
        <f>Calculo!AX406</f>
        <v>0</v>
      </c>
      <c r="AX406" s="161" t="str">
        <f>Calculo!K406</f>
        <v>N/A</v>
      </c>
      <c r="AY406" s="161" t="str">
        <f>Calculo!AY406</f>
        <v>N/A</v>
      </c>
      <c r="AZ406" s="161" t="str">
        <f>Calculo!AZ406</f>
        <v>N/A</v>
      </c>
      <c r="BA406" s="163"/>
    </row>
    <row r="407" ht="12.0" customHeight="1">
      <c r="A407" s="88" t="str">
        <f>'Parâmetros'!$A$19</f>
        <v>Rel. Básico PJ</v>
      </c>
      <c r="B407" s="146"/>
      <c r="C407" s="146"/>
      <c r="D407" s="146"/>
      <c r="E407" s="149"/>
      <c r="F407" s="151"/>
      <c r="G407" s="151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53"/>
      <c r="AC407" s="146"/>
      <c r="AD407" s="151"/>
      <c r="AE407" s="151"/>
      <c r="AF407" s="151"/>
      <c r="AG407" s="151"/>
      <c r="AH407" s="151"/>
      <c r="AI407" s="151"/>
      <c r="AJ407" s="146"/>
      <c r="AK407" s="155"/>
      <c r="AL407" s="151"/>
      <c r="AM407" s="151"/>
      <c r="AN407" s="151"/>
      <c r="AO407" s="151"/>
      <c r="AP407" s="151"/>
      <c r="AQ407" s="157"/>
      <c r="AR407" s="151"/>
      <c r="AS407" s="159"/>
      <c r="AT407" s="160" t="str">
        <f>Calculo!AQ407</f>
        <v>N/A</v>
      </c>
      <c r="AU407" s="161" t="str">
        <f>Calculo!AV407</f>
        <v>N/A</v>
      </c>
      <c r="AV407" s="162" t="str">
        <f>Calculo!AW407</f>
        <v>N/A</v>
      </c>
      <c r="AW407" s="161" t="b">
        <f>Calculo!AX407</f>
        <v>0</v>
      </c>
      <c r="AX407" s="161" t="str">
        <f>Calculo!K407</f>
        <v>N/A</v>
      </c>
      <c r="AY407" s="161" t="str">
        <f>Calculo!AY407</f>
        <v>N/A</v>
      </c>
      <c r="AZ407" s="161" t="str">
        <f>Calculo!AZ407</f>
        <v>N/A</v>
      </c>
      <c r="BA407" s="163"/>
    </row>
    <row r="408" ht="12.0" customHeight="1">
      <c r="A408" s="88" t="str">
        <f>'Parâmetros'!$A$19</f>
        <v>Rel. Básico PJ</v>
      </c>
      <c r="B408" s="146"/>
      <c r="C408" s="146"/>
      <c r="D408" s="146"/>
      <c r="E408" s="149"/>
      <c r="F408" s="151"/>
      <c r="G408" s="151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53"/>
      <c r="AC408" s="146"/>
      <c r="AD408" s="151"/>
      <c r="AE408" s="151"/>
      <c r="AF408" s="151"/>
      <c r="AG408" s="151"/>
      <c r="AH408" s="151"/>
      <c r="AI408" s="151"/>
      <c r="AJ408" s="146"/>
      <c r="AK408" s="155"/>
      <c r="AL408" s="151"/>
      <c r="AM408" s="151"/>
      <c r="AN408" s="151"/>
      <c r="AO408" s="151"/>
      <c r="AP408" s="151"/>
      <c r="AQ408" s="157"/>
      <c r="AR408" s="151"/>
      <c r="AS408" s="159"/>
      <c r="AT408" s="160" t="str">
        <f>Calculo!AQ408</f>
        <v>N/A</v>
      </c>
      <c r="AU408" s="161" t="str">
        <f>Calculo!AV408</f>
        <v>N/A</v>
      </c>
      <c r="AV408" s="162" t="str">
        <f>Calculo!AW408</f>
        <v>N/A</v>
      </c>
      <c r="AW408" s="161" t="b">
        <f>Calculo!AX408</f>
        <v>0</v>
      </c>
      <c r="AX408" s="161" t="str">
        <f>Calculo!K408</f>
        <v>N/A</v>
      </c>
      <c r="AY408" s="161" t="str">
        <f>Calculo!AY408</f>
        <v>N/A</v>
      </c>
      <c r="AZ408" s="161" t="str">
        <f>Calculo!AZ408</f>
        <v>N/A</v>
      </c>
      <c r="BA408" s="163"/>
    </row>
    <row r="409" ht="12.0" customHeight="1">
      <c r="A409" s="88" t="str">
        <f>'Parâmetros'!$A$19</f>
        <v>Rel. Básico PJ</v>
      </c>
      <c r="B409" s="146"/>
      <c r="C409" s="146"/>
      <c r="D409" s="146"/>
      <c r="E409" s="149"/>
      <c r="F409" s="151"/>
      <c r="G409" s="151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53"/>
      <c r="AC409" s="146"/>
      <c r="AD409" s="151"/>
      <c r="AE409" s="151"/>
      <c r="AF409" s="151"/>
      <c r="AG409" s="151"/>
      <c r="AH409" s="151"/>
      <c r="AI409" s="151"/>
      <c r="AJ409" s="146"/>
      <c r="AK409" s="155"/>
      <c r="AL409" s="151"/>
      <c r="AM409" s="151"/>
      <c r="AN409" s="151"/>
      <c r="AO409" s="151"/>
      <c r="AP409" s="151"/>
      <c r="AQ409" s="157"/>
      <c r="AR409" s="151"/>
      <c r="AS409" s="159"/>
      <c r="AT409" s="160" t="str">
        <f>Calculo!AQ409</f>
        <v>N/A</v>
      </c>
      <c r="AU409" s="161" t="str">
        <f>Calculo!AV409</f>
        <v>N/A</v>
      </c>
      <c r="AV409" s="162" t="str">
        <f>Calculo!AW409</f>
        <v>N/A</v>
      </c>
      <c r="AW409" s="161" t="b">
        <f>Calculo!AX409</f>
        <v>0</v>
      </c>
      <c r="AX409" s="161" t="str">
        <f>Calculo!K409</f>
        <v>N/A</v>
      </c>
      <c r="AY409" s="161" t="str">
        <f>Calculo!AY409</f>
        <v>N/A</v>
      </c>
      <c r="AZ409" s="161" t="str">
        <f>Calculo!AZ409</f>
        <v>N/A</v>
      </c>
      <c r="BA409" s="163"/>
    </row>
    <row r="410" ht="12.0" customHeight="1">
      <c r="A410" s="88" t="str">
        <f>'Parâmetros'!$A$19</f>
        <v>Rel. Básico PJ</v>
      </c>
      <c r="B410" s="146"/>
      <c r="C410" s="146"/>
      <c r="D410" s="146"/>
      <c r="E410" s="149"/>
      <c r="F410" s="151"/>
      <c r="G410" s="151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53"/>
      <c r="AC410" s="146"/>
      <c r="AD410" s="151"/>
      <c r="AE410" s="151"/>
      <c r="AF410" s="151"/>
      <c r="AG410" s="151"/>
      <c r="AH410" s="151"/>
      <c r="AI410" s="151"/>
      <c r="AJ410" s="146"/>
      <c r="AK410" s="155"/>
      <c r="AL410" s="151"/>
      <c r="AM410" s="151"/>
      <c r="AN410" s="151"/>
      <c r="AO410" s="151"/>
      <c r="AP410" s="151"/>
      <c r="AQ410" s="157"/>
      <c r="AR410" s="151"/>
      <c r="AS410" s="159"/>
      <c r="AT410" s="160" t="str">
        <f>Calculo!AQ410</f>
        <v>N/A</v>
      </c>
      <c r="AU410" s="161" t="str">
        <f>Calculo!AV410</f>
        <v>N/A</v>
      </c>
      <c r="AV410" s="162" t="str">
        <f>Calculo!AW410</f>
        <v>N/A</v>
      </c>
      <c r="AW410" s="161" t="b">
        <f>Calculo!AX410</f>
        <v>0</v>
      </c>
      <c r="AX410" s="161" t="str">
        <f>Calculo!K410</f>
        <v>N/A</v>
      </c>
      <c r="AY410" s="161" t="str">
        <f>Calculo!AY410</f>
        <v>N/A</v>
      </c>
      <c r="AZ410" s="161" t="str">
        <f>Calculo!AZ410</f>
        <v>N/A</v>
      </c>
      <c r="BA410" s="163"/>
    </row>
    <row r="411" ht="12.0" customHeight="1">
      <c r="A411" s="88" t="str">
        <f>'Parâmetros'!$A$19</f>
        <v>Rel. Básico PJ</v>
      </c>
      <c r="B411" s="146"/>
      <c r="C411" s="146"/>
      <c r="D411" s="146"/>
      <c r="E411" s="149"/>
      <c r="F411" s="151"/>
      <c r="G411" s="151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53"/>
      <c r="AC411" s="146"/>
      <c r="AD411" s="151"/>
      <c r="AE411" s="151"/>
      <c r="AF411" s="151"/>
      <c r="AG411" s="151"/>
      <c r="AH411" s="151"/>
      <c r="AI411" s="151"/>
      <c r="AJ411" s="146"/>
      <c r="AK411" s="155"/>
      <c r="AL411" s="151"/>
      <c r="AM411" s="151"/>
      <c r="AN411" s="151"/>
      <c r="AO411" s="151"/>
      <c r="AP411" s="151"/>
      <c r="AQ411" s="157"/>
      <c r="AR411" s="151"/>
      <c r="AS411" s="159"/>
      <c r="AT411" s="160" t="str">
        <f>Calculo!AQ411</f>
        <v>N/A</v>
      </c>
      <c r="AU411" s="161" t="str">
        <f>Calculo!AV411</f>
        <v>N/A</v>
      </c>
      <c r="AV411" s="162" t="str">
        <f>Calculo!AW411</f>
        <v>N/A</v>
      </c>
      <c r="AW411" s="161" t="b">
        <f>Calculo!AX411</f>
        <v>0</v>
      </c>
      <c r="AX411" s="161" t="str">
        <f>Calculo!K411</f>
        <v>N/A</v>
      </c>
      <c r="AY411" s="161" t="str">
        <f>Calculo!AY411</f>
        <v>N/A</v>
      </c>
      <c r="AZ411" s="161" t="str">
        <f>Calculo!AZ411</f>
        <v>N/A</v>
      </c>
      <c r="BA411" s="163"/>
    </row>
    <row r="412" ht="12.0" customHeight="1">
      <c r="A412" s="88" t="str">
        <f>'Parâmetros'!$A$19</f>
        <v>Rel. Básico PJ</v>
      </c>
      <c r="B412" s="146"/>
      <c r="C412" s="146"/>
      <c r="D412" s="146"/>
      <c r="E412" s="149"/>
      <c r="F412" s="151"/>
      <c r="G412" s="151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53"/>
      <c r="AC412" s="146"/>
      <c r="AD412" s="151"/>
      <c r="AE412" s="151"/>
      <c r="AF412" s="151"/>
      <c r="AG412" s="151"/>
      <c r="AH412" s="151"/>
      <c r="AI412" s="151"/>
      <c r="AJ412" s="146"/>
      <c r="AK412" s="155"/>
      <c r="AL412" s="151"/>
      <c r="AM412" s="151"/>
      <c r="AN412" s="151"/>
      <c r="AO412" s="151"/>
      <c r="AP412" s="151"/>
      <c r="AQ412" s="157"/>
      <c r="AR412" s="151"/>
      <c r="AS412" s="159"/>
      <c r="AT412" s="160" t="str">
        <f>Calculo!AQ412</f>
        <v>N/A</v>
      </c>
      <c r="AU412" s="161" t="str">
        <f>Calculo!AV412</f>
        <v>N/A</v>
      </c>
      <c r="AV412" s="162" t="str">
        <f>Calculo!AW412</f>
        <v>N/A</v>
      </c>
      <c r="AW412" s="161" t="b">
        <f>Calculo!AX412</f>
        <v>0</v>
      </c>
      <c r="AX412" s="161" t="str">
        <f>Calculo!K412</f>
        <v>N/A</v>
      </c>
      <c r="AY412" s="161" t="str">
        <f>Calculo!AY412</f>
        <v>N/A</v>
      </c>
      <c r="AZ412" s="161" t="str">
        <f>Calculo!AZ412</f>
        <v>N/A</v>
      </c>
      <c r="BA412" s="163"/>
    </row>
    <row r="413" ht="12.0" customHeight="1">
      <c r="A413" s="88" t="str">
        <f>'Parâmetros'!$A$19</f>
        <v>Rel. Básico PJ</v>
      </c>
      <c r="B413" s="146"/>
      <c r="C413" s="146"/>
      <c r="D413" s="146"/>
      <c r="E413" s="149"/>
      <c r="F413" s="151"/>
      <c r="G413" s="151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53"/>
      <c r="AC413" s="146"/>
      <c r="AD413" s="151"/>
      <c r="AE413" s="151"/>
      <c r="AF413" s="151"/>
      <c r="AG413" s="151"/>
      <c r="AH413" s="151"/>
      <c r="AI413" s="151"/>
      <c r="AJ413" s="146"/>
      <c r="AK413" s="155"/>
      <c r="AL413" s="151"/>
      <c r="AM413" s="151"/>
      <c r="AN413" s="151"/>
      <c r="AO413" s="151"/>
      <c r="AP413" s="151"/>
      <c r="AQ413" s="157"/>
      <c r="AR413" s="151"/>
      <c r="AS413" s="159"/>
      <c r="AT413" s="160" t="str">
        <f>Calculo!AQ413</f>
        <v>N/A</v>
      </c>
      <c r="AU413" s="161" t="str">
        <f>Calculo!AV413</f>
        <v>N/A</v>
      </c>
      <c r="AV413" s="162" t="str">
        <f>Calculo!AW413</f>
        <v>N/A</v>
      </c>
      <c r="AW413" s="161" t="b">
        <f>Calculo!AX413</f>
        <v>0</v>
      </c>
      <c r="AX413" s="161" t="str">
        <f>Calculo!K413</f>
        <v>N/A</v>
      </c>
      <c r="AY413" s="161" t="str">
        <f>Calculo!AY413</f>
        <v>N/A</v>
      </c>
      <c r="AZ413" s="161" t="str">
        <f>Calculo!AZ413</f>
        <v>N/A</v>
      </c>
      <c r="BA413" s="163"/>
    </row>
    <row r="414" ht="12.0" customHeight="1">
      <c r="A414" s="88" t="str">
        <f>'Parâmetros'!$A$19</f>
        <v>Rel. Básico PJ</v>
      </c>
      <c r="B414" s="146"/>
      <c r="C414" s="146"/>
      <c r="D414" s="146"/>
      <c r="E414" s="149"/>
      <c r="F414" s="151"/>
      <c r="G414" s="151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53"/>
      <c r="AC414" s="146"/>
      <c r="AD414" s="151"/>
      <c r="AE414" s="151"/>
      <c r="AF414" s="151"/>
      <c r="AG414" s="151"/>
      <c r="AH414" s="151"/>
      <c r="AI414" s="151"/>
      <c r="AJ414" s="146"/>
      <c r="AK414" s="155"/>
      <c r="AL414" s="151"/>
      <c r="AM414" s="151"/>
      <c r="AN414" s="151"/>
      <c r="AO414" s="151"/>
      <c r="AP414" s="151"/>
      <c r="AQ414" s="157"/>
      <c r="AR414" s="151"/>
      <c r="AS414" s="159"/>
      <c r="AT414" s="160" t="str">
        <f>Calculo!AQ414</f>
        <v>N/A</v>
      </c>
      <c r="AU414" s="161" t="str">
        <f>Calculo!AV414</f>
        <v>N/A</v>
      </c>
      <c r="AV414" s="162" t="str">
        <f>Calculo!AW414</f>
        <v>N/A</v>
      </c>
      <c r="AW414" s="161" t="b">
        <f>Calculo!AX414</f>
        <v>0</v>
      </c>
      <c r="AX414" s="161" t="str">
        <f>Calculo!K414</f>
        <v>N/A</v>
      </c>
      <c r="AY414" s="161" t="str">
        <f>Calculo!AY414</f>
        <v>N/A</v>
      </c>
      <c r="AZ414" s="161" t="str">
        <f>Calculo!AZ414</f>
        <v>N/A</v>
      </c>
      <c r="BA414" s="163"/>
    </row>
    <row r="415" ht="12.0" customHeight="1">
      <c r="A415" s="88" t="str">
        <f>'Parâmetros'!$A$19</f>
        <v>Rel. Básico PJ</v>
      </c>
      <c r="B415" s="146"/>
      <c r="C415" s="146"/>
      <c r="D415" s="146"/>
      <c r="E415" s="149"/>
      <c r="F415" s="151"/>
      <c r="G415" s="151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53"/>
      <c r="AC415" s="146"/>
      <c r="AD415" s="151"/>
      <c r="AE415" s="151"/>
      <c r="AF415" s="151"/>
      <c r="AG415" s="151"/>
      <c r="AH415" s="151"/>
      <c r="AI415" s="151"/>
      <c r="AJ415" s="146"/>
      <c r="AK415" s="155"/>
      <c r="AL415" s="151"/>
      <c r="AM415" s="151"/>
      <c r="AN415" s="151"/>
      <c r="AO415" s="151"/>
      <c r="AP415" s="151"/>
      <c r="AQ415" s="157"/>
      <c r="AR415" s="151"/>
      <c r="AS415" s="159"/>
      <c r="AT415" s="160" t="str">
        <f>Calculo!AQ415</f>
        <v>N/A</v>
      </c>
      <c r="AU415" s="161" t="str">
        <f>Calculo!AV415</f>
        <v>N/A</v>
      </c>
      <c r="AV415" s="162" t="str">
        <f>Calculo!AW415</f>
        <v>N/A</v>
      </c>
      <c r="AW415" s="161" t="b">
        <f>Calculo!AX415</f>
        <v>0</v>
      </c>
      <c r="AX415" s="161" t="str">
        <f>Calculo!K415</f>
        <v>N/A</v>
      </c>
      <c r="AY415" s="161" t="str">
        <f>Calculo!AY415</f>
        <v>N/A</v>
      </c>
      <c r="AZ415" s="161" t="str">
        <f>Calculo!AZ415</f>
        <v>N/A</v>
      </c>
      <c r="BA415" s="163"/>
    </row>
    <row r="416" ht="12.0" customHeight="1">
      <c r="A416" s="88" t="str">
        <f>'Parâmetros'!$A$19</f>
        <v>Rel. Básico PJ</v>
      </c>
      <c r="B416" s="146"/>
      <c r="C416" s="146"/>
      <c r="D416" s="146"/>
      <c r="E416" s="149"/>
      <c r="F416" s="151"/>
      <c r="G416" s="151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53"/>
      <c r="AC416" s="146"/>
      <c r="AD416" s="151"/>
      <c r="AE416" s="151"/>
      <c r="AF416" s="151"/>
      <c r="AG416" s="151"/>
      <c r="AH416" s="151"/>
      <c r="AI416" s="151"/>
      <c r="AJ416" s="146"/>
      <c r="AK416" s="155"/>
      <c r="AL416" s="151"/>
      <c r="AM416" s="151"/>
      <c r="AN416" s="151"/>
      <c r="AO416" s="151"/>
      <c r="AP416" s="151"/>
      <c r="AQ416" s="157"/>
      <c r="AR416" s="151"/>
      <c r="AS416" s="159"/>
      <c r="AT416" s="160" t="str">
        <f>Calculo!AQ416</f>
        <v>N/A</v>
      </c>
      <c r="AU416" s="161" t="str">
        <f>Calculo!AV416</f>
        <v>N/A</v>
      </c>
      <c r="AV416" s="162" t="str">
        <f>Calculo!AW416</f>
        <v>N/A</v>
      </c>
      <c r="AW416" s="161" t="b">
        <f>Calculo!AX416</f>
        <v>0</v>
      </c>
      <c r="AX416" s="161" t="str">
        <f>Calculo!K416</f>
        <v>N/A</v>
      </c>
      <c r="AY416" s="161" t="str">
        <f>Calculo!AY416</f>
        <v>N/A</v>
      </c>
      <c r="AZ416" s="161" t="str">
        <f>Calculo!AZ416</f>
        <v>N/A</v>
      </c>
      <c r="BA416" s="163"/>
    </row>
    <row r="417" ht="12.0" customHeight="1">
      <c r="A417" s="88" t="str">
        <f>'Parâmetros'!$A$19</f>
        <v>Rel. Básico PJ</v>
      </c>
      <c r="B417" s="146"/>
      <c r="C417" s="146"/>
      <c r="D417" s="146"/>
      <c r="E417" s="149"/>
      <c r="F417" s="151"/>
      <c r="G417" s="151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53"/>
      <c r="AC417" s="146"/>
      <c r="AD417" s="151"/>
      <c r="AE417" s="151"/>
      <c r="AF417" s="151"/>
      <c r="AG417" s="151"/>
      <c r="AH417" s="151"/>
      <c r="AI417" s="151"/>
      <c r="AJ417" s="146"/>
      <c r="AK417" s="155"/>
      <c r="AL417" s="151"/>
      <c r="AM417" s="151"/>
      <c r="AN417" s="151"/>
      <c r="AO417" s="151"/>
      <c r="AP417" s="151"/>
      <c r="AQ417" s="157"/>
      <c r="AR417" s="151"/>
      <c r="AS417" s="159"/>
      <c r="AT417" s="160" t="str">
        <f>Calculo!AQ417</f>
        <v>N/A</v>
      </c>
      <c r="AU417" s="161" t="str">
        <f>Calculo!AV417</f>
        <v>N/A</v>
      </c>
      <c r="AV417" s="162" t="str">
        <f>Calculo!AW417</f>
        <v>N/A</v>
      </c>
      <c r="AW417" s="161" t="b">
        <f>Calculo!AX417</f>
        <v>0</v>
      </c>
      <c r="AX417" s="161" t="str">
        <f>Calculo!K417</f>
        <v>N/A</v>
      </c>
      <c r="AY417" s="161" t="str">
        <f>Calculo!AY417</f>
        <v>N/A</v>
      </c>
      <c r="AZ417" s="161" t="str">
        <f>Calculo!AZ417</f>
        <v>N/A</v>
      </c>
      <c r="BA417" s="163"/>
    </row>
    <row r="418" ht="12.0" customHeight="1">
      <c r="A418" s="88" t="str">
        <f>'Parâmetros'!$A$19</f>
        <v>Rel. Básico PJ</v>
      </c>
      <c r="B418" s="146"/>
      <c r="C418" s="146"/>
      <c r="D418" s="146"/>
      <c r="E418" s="149"/>
      <c r="F418" s="151"/>
      <c r="G418" s="151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53"/>
      <c r="AC418" s="146"/>
      <c r="AD418" s="151"/>
      <c r="AE418" s="151"/>
      <c r="AF418" s="151"/>
      <c r="AG418" s="151"/>
      <c r="AH418" s="151"/>
      <c r="AI418" s="151"/>
      <c r="AJ418" s="146"/>
      <c r="AK418" s="155"/>
      <c r="AL418" s="151"/>
      <c r="AM418" s="151"/>
      <c r="AN418" s="151"/>
      <c r="AO418" s="151"/>
      <c r="AP418" s="151"/>
      <c r="AQ418" s="157"/>
      <c r="AR418" s="151"/>
      <c r="AS418" s="159"/>
      <c r="AT418" s="160" t="str">
        <f>Calculo!AQ418</f>
        <v>N/A</v>
      </c>
      <c r="AU418" s="161" t="str">
        <f>Calculo!AV418</f>
        <v>N/A</v>
      </c>
      <c r="AV418" s="162" t="str">
        <f>Calculo!AW418</f>
        <v>N/A</v>
      </c>
      <c r="AW418" s="161" t="b">
        <f>Calculo!AX418</f>
        <v>0</v>
      </c>
      <c r="AX418" s="161" t="str">
        <f>Calculo!K418</f>
        <v>N/A</v>
      </c>
      <c r="AY418" s="161" t="str">
        <f>Calculo!AY418</f>
        <v>N/A</v>
      </c>
      <c r="AZ418" s="161" t="str">
        <f>Calculo!AZ418</f>
        <v>N/A</v>
      </c>
      <c r="BA418" s="163"/>
    </row>
    <row r="419" ht="12.0" customHeight="1">
      <c r="A419" s="88" t="str">
        <f>'Parâmetros'!$A$19</f>
        <v>Rel. Básico PJ</v>
      </c>
      <c r="B419" s="146"/>
      <c r="C419" s="146"/>
      <c r="D419" s="146"/>
      <c r="E419" s="149"/>
      <c r="F419" s="151"/>
      <c r="G419" s="151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53"/>
      <c r="AC419" s="146"/>
      <c r="AD419" s="151"/>
      <c r="AE419" s="151"/>
      <c r="AF419" s="151"/>
      <c r="AG419" s="151"/>
      <c r="AH419" s="151"/>
      <c r="AI419" s="151"/>
      <c r="AJ419" s="146"/>
      <c r="AK419" s="155"/>
      <c r="AL419" s="151"/>
      <c r="AM419" s="151"/>
      <c r="AN419" s="151"/>
      <c r="AO419" s="151"/>
      <c r="AP419" s="151"/>
      <c r="AQ419" s="157"/>
      <c r="AR419" s="151"/>
      <c r="AS419" s="159"/>
      <c r="AT419" s="160" t="str">
        <f>Calculo!AQ419</f>
        <v>N/A</v>
      </c>
      <c r="AU419" s="161" t="str">
        <f>Calculo!AV419</f>
        <v>N/A</v>
      </c>
      <c r="AV419" s="162" t="str">
        <f>Calculo!AW419</f>
        <v>N/A</v>
      </c>
      <c r="AW419" s="161" t="b">
        <f>Calculo!AX419</f>
        <v>0</v>
      </c>
      <c r="AX419" s="161" t="str">
        <f>Calculo!K419</f>
        <v>N/A</v>
      </c>
      <c r="AY419" s="161" t="str">
        <f>Calculo!AY419</f>
        <v>N/A</v>
      </c>
      <c r="AZ419" s="161" t="str">
        <f>Calculo!AZ419</f>
        <v>N/A</v>
      </c>
      <c r="BA419" s="163"/>
    </row>
    <row r="420" ht="12.0" customHeight="1">
      <c r="A420" s="88" t="str">
        <f>'Parâmetros'!$A$19</f>
        <v>Rel. Básico PJ</v>
      </c>
      <c r="B420" s="146"/>
      <c r="C420" s="146"/>
      <c r="D420" s="146"/>
      <c r="E420" s="149"/>
      <c r="F420" s="151"/>
      <c r="G420" s="151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53"/>
      <c r="AC420" s="146"/>
      <c r="AD420" s="151"/>
      <c r="AE420" s="151"/>
      <c r="AF420" s="151"/>
      <c r="AG420" s="151"/>
      <c r="AH420" s="151"/>
      <c r="AI420" s="151"/>
      <c r="AJ420" s="146"/>
      <c r="AK420" s="155"/>
      <c r="AL420" s="151"/>
      <c r="AM420" s="151"/>
      <c r="AN420" s="151"/>
      <c r="AO420" s="151"/>
      <c r="AP420" s="151"/>
      <c r="AQ420" s="157"/>
      <c r="AR420" s="151"/>
      <c r="AS420" s="159"/>
      <c r="AT420" s="160" t="str">
        <f>Calculo!AQ420</f>
        <v>N/A</v>
      </c>
      <c r="AU420" s="161" t="str">
        <f>Calculo!AV420</f>
        <v>N/A</v>
      </c>
      <c r="AV420" s="162" t="str">
        <f>Calculo!AW420</f>
        <v>N/A</v>
      </c>
      <c r="AW420" s="161" t="b">
        <f>Calculo!AX420</f>
        <v>0</v>
      </c>
      <c r="AX420" s="161" t="str">
        <f>Calculo!K420</f>
        <v>N/A</v>
      </c>
      <c r="AY420" s="161" t="str">
        <f>Calculo!AY420</f>
        <v>N/A</v>
      </c>
      <c r="AZ420" s="161" t="str">
        <f>Calculo!AZ420</f>
        <v>N/A</v>
      </c>
      <c r="BA420" s="163"/>
    </row>
    <row r="421" ht="12.0" customHeight="1">
      <c r="A421" s="88" t="str">
        <f>'Parâmetros'!$A$19</f>
        <v>Rel. Básico PJ</v>
      </c>
      <c r="B421" s="146"/>
      <c r="C421" s="146"/>
      <c r="D421" s="146"/>
      <c r="E421" s="149"/>
      <c r="F421" s="151"/>
      <c r="G421" s="151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53"/>
      <c r="AC421" s="146"/>
      <c r="AD421" s="151"/>
      <c r="AE421" s="151"/>
      <c r="AF421" s="151"/>
      <c r="AG421" s="151"/>
      <c r="AH421" s="151"/>
      <c r="AI421" s="151"/>
      <c r="AJ421" s="146"/>
      <c r="AK421" s="155"/>
      <c r="AL421" s="151"/>
      <c r="AM421" s="151"/>
      <c r="AN421" s="151"/>
      <c r="AO421" s="151"/>
      <c r="AP421" s="151"/>
      <c r="AQ421" s="157"/>
      <c r="AR421" s="151"/>
      <c r="AS421" s="159"/>
      <c r="AT421" s="160" t="str">
        <f>Calculo!AQ421</f>
        <v>N/A</v>
      </c>
      <c r="AU421" s="161" t="str">
        <f>Calculo!AV421</f>
        <v>N/A</v>
      </c>
      <c r="AV421" s="162" t="str">
        <f>Calculo!AW421</f>
        <v>N/A</v>
      </c>
      <c r="AW421" s="161" t="b">
        <f>Calculo!AX421</f>
        <v>0</v>
      </c>
      <c r="AX421" s="161" t="str">
        <f>Calculo!K421</f>
        <v>N/A</v>
      </c>
      <c r="AY421" s="161" t="str">
        <f>Calculo!AY421</f>
        <v>N/A</v>
      </c>
      <c r="AZ421" s="161" t="str">
        <f>Calculo!AZ421</f>
        <v>N/A</v>
      </c>
      <c r="BA421" s="163"/>
    </row>
    <row r="422" ht="12.0" customHeight="1">
      <c r="A422" s="88" t="str">
        <f>'Parâmetros'!$A$19</f>
        <v>Rel. Básico PJ</v>
      </c>
      <c r="B422" s="146"/>
      <c r="C422" s="146"/>
      <c r="D422" s="146"/>
      <c r="E422" s="149"/>
      <c r="F422" s="151"/>
      <c r="G422" s="151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53"/>
      <c r="AC422" s="146"/>
      <c r="AD422" s="151"/>
      <c r="AE422" s="151"/>
      <c r="AF422" s="151"/>
      <c r="AG422" s="151"/>
      <c r="AH422" s="151"/>
      <c r="AI422" s="151"/>
      <c r="AJ422" s="146"/>
      <c r="AK422" s="155"/>
      <c r="AL422" s="151"/>
      <c r="AM422" s="151"/>
      <c r="AN422" s="151"/>
      <c r="AO422" s="151"/>
      <c r="AP422" s="151"/>
      <c r="AQ422" s="157"/>
      <c r="AR422" s="151"/>
      <c r="AS422" s="159"/>
      <c r="AT422" s="160" t="str">
        <f>Calculo!AQ422</f>
        <v>N/A</v>
      </c>
      <c r="AU422" s="161" t="str">
        <f>Calculo!AV422</f>
        <v>N/A</v>
      </c>
      <c r="AV422" s="162" t="str">
        <f>Calculo!AW422</f>
        <v>N/A</v>
      </c>
      <c r="AW422" s="161" t="b">
        <f>Calculo!AX422</f>
        <v>0</v>
      </c>
      <c r="AX422" s="161" t="str">
        <f>Calculo!K422</f>
        <v>N/A</v>
      </c>
      <c r="AY422" s="161" t="str">
        <f>Calculo!AY422</f>
        <v>N/A</v>
      </c>
      <c r="AZ422" s="161" t="str">
        <f>Calculo!AZ422</f>
        <v>N/A</v>
      </c>
      <c r="BA422" s="163"/>
    </row>
    <row r="423" ht="12.0" customHeight="1">
      <c r="A423" s="88" t="str">
        <f>'Parâmetros'!$A$19</f>
        <v>Rel. Básico PJ</v>
      </c>
      <c r="B423" s="146"/>
      <c r="C423" s="146"/>
      <c r="D423" s="146"/>
      <c r="E423" s="149"/>
      <c r="F423" s="151"/>
      <c r="G423" s="151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53"/>
      <c r="AC423" s="146"/>
      <c r="AD423" s="151"/>
      <c r="AE423" s="151"/>
      <c r="AF423" s="151"/>
      <c r="AG423" s="151"/>
      <c r="AH423" s="151"/>
      <c r="AI423" s="151"/>
      <c r="AJ423" s="146"/>
      <c r="AK423" s="155"/>
      <c r="AL423" s="151"/>
      <c r="AM423" s="151"/>
      <c r="AN423" s="151"/>
      <c r="AO423" s="151"/>
      <c r="AP423" s="151"/>
      <c r="AQ423" s="157"/>
      <c r="AR423" s="151"/>
      <c r="AS423" s="159"/>
      <c r="AT423" s="160" t="str">
        <f>Calculo!AQ423</f>
        <v>N/A</v>
      </c>
      <c r="AU423" s="161" t="str">
        <f>Calculo!AV423</f>
        <v>N/A</v>
      </c>
      <c r="AV423" s="162" t="str">
        <f>Calculo!AW423</f>
        <v>N/A</v>
      </c>
      <c r="AW423" s="161" t="b">
        <f>Calculo!AX423</f>
        <v>0</v>
      </c>
      <c r="AX423" s="161" t="str">
        <f>Calculo!K423</f>
        <v>N/A</v>
      </c>
      <c r="AY423" s="161" t="str">
        <f>Calculo!AY423</f>
        <v>N/A</v>
      </c>
      <c r="AZ423" s="161" t="str">
        <f>Calculo!AZ423</f>
        <v>N/A</v>
      </c>
      <c r="BA423" s="163"/>
    </row>
    <row r="424" ht="12.0" customHeight="1">
      <c r="A424" s="88" t="str">
        <f>'Parâmetros'!$A$19</f>
        <v>Rel. Básico PJ</v>
      </c>
      <c r="B424" s="146"/>
      <c r="C424" s="146"/>
      <c r="D424" s="146"/>
      <c r="E424" s="149"/>
      <c r="F424" s="151"/>
      <c r="G424" s="151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53"/>
      <c r="AC424" s="146"/>
      <c r="AD424" s="151"/>
      <c r="AE424" s="151"/>
      <c r="AF424" s="151"/>
      <c r="AG424" s="151"/>
      <c r="AH424" s="151"/>
      <c r="AI424" s="151"/>
      <c r="AJ424" s="146"/>
      <c r="AK424" s="155"/>
      <c r="AL424" s="151"/>
      <c r="AM424" s="151"/>
      <c r="AN424" s="151"/>
      <c r="AO424" s="151"/>
      <c r="AP424" s="151"/>
      <c r="AQ424" s="157"/>
      <c r="AR424" s="151"/>
      <c r="AS424" s="159"/>
      <c r="AT424" s="160" t="str">
        <f>Calculo!AQ424</f>
        <v>N/A</v>
      </c>
      <c r="AU424" s="161" t="str">
        <f>Calculo!AV424</f>
        <v>N/A</v>
      </c>
      <c r="AV424" s="162" t="str">
        <f>Calculo!AW424</f>
        <v>N/A</v>
      </c>
      <c r="AW424" s="161" t="b">
        <f>Calculo!AX424</f>
        <v>0</v>
      </c>
      <c r="AX424" s="161" t="str">
        <f>Calculo!K424</f>
        <v>N/A</v>
      </c>
      <c r="AY424" s="161" t="str">
        <f>Calculo!AY424</f>
        <v>N/A</v>
      </c>
      <c r="AZ424" s="161" t="str">
        <f>Calculo!AZ424</f>
        <v>N/A</v>
      </c>
      <c r="BA424" s="163"/>
    </row>
    <row r="425" ht="12.0" customHeight="1">
      <c r="A425" s="88" t="str">
        <f>'Parâmetros'!$A$19</f>
        <v>Rel. Básico PJ</v>
      </c>
      <c r="B425" s="146"/>
      <c r="C425" s="146"/>
      <c r="D425" s="146"/>
      <c r="E425" s="149"/>
      <c r="F425" s="151"/>
      <c r="G425" s="151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53"/>
      <c r="AC425" s="146"/>
      <c r="AD425" s="151"/>
      <c r="AE425" s="151"/>
      <c r="AF425" s="151"/>
      <c r="AG425" s="151"/>
      <c r="AH425" s="151"/>
      <c r="AI425" s="151"/>
      <c r="AJ425" s="146"/>
      <c r="AK425" s="155"/>
      <c r="AL425" s="151"/>
      <c r="AM425" s="151"/>
      <c r="AN425" s="151"/>
      <c r="AO425" s="151"/>
      <c r="AP425" s="151"/>
      <c r="AQ425" s="157"/>
      <c r="AR425" s="151"/>
      <c r="AS425" s="159"/>
      <c r="AT425" s="160" t="str">
        <f>Calculo!AQ425</f>
        <v>N/A</v>
      </c>
      <c r="AU425" s="161" t="str">
        <f>Calculo!AV425</f>
        <v>N/A</v>
      </c>
      <c r="AV425" s="162" t="str">
        <f>Calculo!AW425</f>
        <v>N/A</v>
      </c>
      <c r="AW425" s="161" t="b">
        <f>Calculo!AX425</f>
        <v>0</v>
      </c>
      <c r="AX425" s="161" t="str">
        <f>Calculo!K425</f>
        <v>N/A</v>
      </c>
      <c r="AY425" s="161" t="str">
        <f>Calculo!AY425</f>
        <v>N/A</v>
      </c>
      <c r="AZ425" s="161" t="str">
        <f>Calculo!AZ425</f>
        <v>N/A</v>
      </c>
      <c r="BA425" s="163"/>
    </row>
    <row r="426" ht="12.0" customHeight="1">
      <c r="A426" s="88" t="str">
        <f>'Parâmetros'!$A$19</f>
        <v>Rel. Básico PJ</v>
      </c>
      <c r="B426" s="146"/>
      <c r="C426" s="146"/>
      <c r="D426" s="146"/>
      <c r="E426" s="149"/>
      <c r="F426" s="151"/>
      <c r="G426" s="151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53"/>
      <c r="AC426" s="146"/>
      <c r="AD426" s="151"/>
      <c r="AE426" s="151"/>
      <c r="AF426" s="151"/>
      <c r="AG426" s="151"/>
      <c r="AH426" s="151"/>
      <c r="AI426" s="151"/>
      <c r="AJ426" s="146"/>
      <c r="AK426" s="155"/>
      <c r="AL426" s="151"/>
      <c r="AM426" s="151"/>
      <c r="AN426" s="151"/>
      <c r="AO426" s="151"/>
      <c r="AP426" s="151"/>
      <c r="AQ426" s="157"/>
      <c r="AR426" s="151"/>
      <c r="AS426" s="159"/>
      <c r="AT426" s="160" t="str">
        <f>Calculo!AQ426</f>
        <v>N/A</v>
      </c>
      <c r="AU426" s="161" t="str">
        <f>Calculo!AV426</f>
        <v>N/A</v>
      </c>
      <c r="AV426" s="162" t="str">
        <f>Calculo!AW426</f>
        <v>N/A</v>
      </c>
      <c r="AW426" s="161" t="b">
        <f>Calculo!AX426</f>
        <v>0</v>
      </c>
      <c r="AX426" s="161" t="str">
        <f>Calculo!K426</f>
        <v>N/A</v>
      </c>
      <c r="AY426" s="161" t="str">
        <f>Calculo!AY426</f>
        <v>N/A</v>
      </c>
      <c r="AZ426" s="161" t="str">
        <f>Calculo!AZ426</f>
        <v>N/A</v>
      </c>
      <c r="BA426" s="163"/>
    </row>
    <row r="427" ht="12.0" customHeight="1">
      <c r="A427" s="88" t="str">
        <f>'Parâmetros'!$A$19</f>
        <v>Rel. Básico PJ</v>
      </c>
      <c r="B427" s="146"/>
      <c r="C427" s="146"/>
      <c r="D427" s="146"/>
      <c r="E427" s="149"/>
      <c r="F427" s="151"/>
      <c r="G427" s="151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53"/>
      <c r="AC427" s="146"/>
      <c r="AD427" s="151"/>
      <c r="AE427" s="151"/>
      <c r="AF427" s="151"/>
      <c r="AG427" s="151"/>
      <c r="AH427" s="151"/>
      <c r="AI427" s="151"/>
      <c r="AJ427" s="146"/>
      <c r="AK427" s="155"/>
      <c r="AL427" s="151"/>
      <c r="AM427" s="151"/>
      <c r="AN427" s="151"/>
      <c r="AO427" s="151"/>
      <c r="AP427" s="151"/>
      <c r="AQ427" s="157"/>
      <c r="AR427" s="151"/>
      <c r="AS427" s="159"/>
      <c r="AT427" s="160" t="str">
        <f>Calculo!AQ427</f>
        <v>N/A</v>
      </c>
      <c r="AU427" s="161" t="str">
        <f>Calculo!AV427</f>
        <v>N/A</v>
      </c>
      <c r="AV427" s="162" t="str">
        <f>Calculo!AW427</f>
        <v>N/A</v>
      </c>
      <c r="AW427" s="161" t="b">
        <f>Calculo!AX427</f>
        <v>0</v>
      </c>
      <c r="AX427" s="161" t="str">
        <f>Calculo!K427</f>
        <v>N/A</v>
      </c>
      <c r="AY427" s="161" t="str">
        <f>Calculo!AY427</f>
        <v>N/A</v>
      </c>
      <c r="AZ427" s="161" t="str">
        <f>Calculo!AZ427</f>
        <v>N/A</v>
      </c>
      <c r="BA427" s="163"/>
    </row>
    <row r="428" ht="12.0" customHeight="1">
      <c r="A428" s="88" t="str">
        <f>'Parâmetros'!$A$19</f>
        <v>Rel. Básico PJ</v>
      </c>
      <c r="B428" s="146"/>
      <c r="C428" s="146"/>
      <c r="D428" s="146"/>
      <c r="E428" s="149"/>
      <c r="F428" s="151"/>
      <c r="G428" s="151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53"/>
      <c r="AC428" s="146"/>
      <c r="AD428" s="151"/>
      <c r="AE428" s="151"/>
      <c r="AF428" s="151"/>
      <c r="AG428" s="151"/>
      <c r="AH428" s="151"/>
      <c r="AI428" s="151"/>
      <c r="AJ428" s="146"/>
      <c r="AK428" s="155"/>
      <c r="AL428" s="151"/>
      <c r="AM428" s="151"/>
      <c r="AN428" s="151"/>
      <c r="AO428" s="151"/>
      <c r="AP428" s="151"/>
      <c r="AQ428" s="157"/>
      <c r="AR428" s="151"/>
      <c r="AS428" s="159"/>
      <c r="AT428" s="160" t="str">
        <f>Calculo!AQ428</f>
        <v>N/A</v>
      </c>
      <c r="AU428" s="161" t="str">
        <f>Calculo!AV428</f>
        <v>N/A</v>
      </c>
      <c r="AV428" s="162" t="str">
        <f>Calculo!AW428</f>
        <v>N/A</v>
      </c>
      <c r="AW428" s="161" t="b">
        <f>Calculo!AX428</f>
        <v>0</v>
      </c>
      <c r="AX428" s="161" t="str">
        <f>Calculo!K428</f>
        <v>N/A</v>
      </c>
      <c r="AY428" s="161" t="str">
        <f>Calculo!AY428</f>
        <v>N/A</v>
      </c>
      <c r="AZ428" s="161" t="str">
        <f>Calculo!AZ428</f>
        <v>N/A</v>
      </c>
      <c r="BA428" s="163"/>
    </row>
    <row r="429" ht="12.0" customHeight="1">
      <c r="A429" s="88" t="str">
        <f>'Parâmetros'!$A$19</f>
        <v>Rel. Básico PJ</v>
      </c>
      <c r="B429" s="146"/>
      <c r="C429" s="146"/>
      <c r="D429" s="146"/>
      <c r="E429" s="149"/>
      <c r="F429" s="151"/>
      <c r="G429" s="151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53"/>
      <c r="AC429" s="146"/>
      <c r="AD429" s="151"/>
      <c r="AE429" s="151"/>
      <c r="AF429" s="151"/>
      <c r="AG429" s="151"/>
      <c r="AH429" s="151"/>
      <c r="AI429" s="151"/>
      <c r="AJ429" s="146"/>
      <c r="AK429" s="155"/>
      <c r="AL429" s="151"/>
      <c r="AM429" s="151"/>
      <c r="AN429" s="151"/>
      <c r="AO429" s="151"/>
      <c r="AP429" s="151"/>
      <c r="AQ429" s="157"/>
      <c r="AR429" s="151"/>
      <c r="AS429" s="159"/>
      <c r="AT429" s="160" t="str">
        <f>Calculo!AQ429</f>
        <v>N/A</v>
      </c>
      <c r="AU429" s="161" t="str">
        <f>Calculo!AV429</f>
        <v>N/A</v>
      </c>
      <c r="AV429" s="162" t="str">
        <f>Calculo!AW429</f>
        <v>N/A</v>
      </c>
      <c r="AW429" s="161" t="b">
        <f>Calculo!AX429</f>
        <v>0</v>
      </c>
      <c r="AX429" s="161" t="str">
        <f>Calculo!K429</f>
        <v>N/A</v>
      </c>
      <c r="AY429" s="161" t="str">
        <f>Calculo!AY429</f>
        <v>N/A</v>
      </c>
      <c r="AZ429" s="161" t="str">
        <f>Calculo!AZ429</f>
        <v>N/A</v>
      </c>
      <c r="BA429" s="163"/>
    </row>
    <row r="430" ht="12.0" customHeight="1">
      <c r="A430" s="88" t="str">
        <f>'Parâmetros'!$A$19</f>
        <v>Rel. Básico PJ</v>
      </c>
      <c r="B430" s="146"/>
      <c r="C430" s="146"/>
      <c r="D430" s="146"/>
      <c r="E430" s="149"/>
      <c r="F430" s="151"/>
      <c r="G430" s="151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53"/>
      <c r="AC430" s="146"/>
      <c r="AD430" s="151"/>
      <c r="AE430" s="151"/>
      <c r="AF430" s="151"/>
      <c r="AG430" s="151"/>
      <c r="AH430" s="151"/>
      <c r="AI430" s="151"/>
      <c r="AJ430" s="146"/>
      <c r="AK430" s="155"/>
      <c r="AL430" s="151"/>
      <c r="AM430" s="151"/>
      <c r="AN430" s="151"/>
      <c r="AO430" s="151"/>
      <c r="AP430" s="151"/>
      <c r="AQ430" s="157"/>
      <c r="AR430" s="151"/>
      <c r="AS430" s="159"/>
      <c r="AT430" s="160" t="str">
        <f>Calculo!AQ430</f>
        <v>N/A</v>
      </c>
      <c r="AU430" s="161" t="str">
        <f>Calculo!AV430</f>
        <v>N/A</v>
      </c>
      <c r="AV430" s="162" t="str">
        <f>Calculo!AW430</f>
        <v>N/A</v>
      </c>
      <c r="AW430" s="161" t="b">
        <f>Calculo!AX430</f>
        <v>0</v>
      </c>
      <c r="AX430" s="161" t="str">
        <f>Calculo!K430</f>
        <v>N/A</v>
      </c>
      <c r="AY430" s="161" t="str">
        <f>Calculo!AY430</f>
        <v>N/A</v>
      </c>
      <c r="AZ430" s="161" t="str">
        <f>Calculo!AZ430</f>
        <v>N/A</v>
      </c>
      <c r="BA430" s="163"/>
    </row>
    <row r="431" ht="12.0" customHeight="1">
      <c r="A431" s="88" t="str">
        <f>'Parâmetros'!$A$19</f>
        <v>Rel. Básico PJ</v>
      </c>
      <c r="B431" s="146"/>
      <c r="C431" s="146"/>
      <c r="D431" s="146"/>
      <c r="E431" s="149"/>
      <c r="F431" s="151"/>
      <c r="G431" s="151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53"/>
      <c r="AC431" s="146"/>
      <c r="AD431" s="151"/>
      <c r="AE431" s="151"/>
      <c r="AF431" s="151"/>
      <c r="AG431" s="151"/>
      <c r="AH431" s="151"/>
      <c r="AI431" s="151"/>
      <c r="AJ431" s="146"/>
      <c r="AK431" s="155"/>
      <c r="AL431" s="151"/>
      <c r="AM431" s="151"/>
      <c r="AN431" s="151"/>
      <c r="AO431" s="151"/>
      <c r="AP431" s="151"/>
      <c r="AQ431" s="157"/>
      <c r="AR431" s="151"/>
      <c r="AS431" s="159"/>
      <c r="AT431" s="160" t="str">
        <f>Calculo!AQ431</f>
        <v>N/A</v>
      </c>
      <c r="AU431" s="161" t="str">
        <f>Calculo!AV431</f>
        <v>N/A</v>
      </c>
      <c r="AV431" s="162" t="str">
        <f>Calculo!AW431</f>
        <v>N/A</v>
      </c>
      <c r="AW431" s="161" t="b">
        <f>Calculo!AX431</f>
        <v>0</v>
      </c>
      <c r="AX431" s="161" t="str">
        <f>Calculo!K431</f>
        <v>N/A</v>
      </c>
      <c r="AY431" s="161" t="str">
        <f>Calculo!AY431</f>
        <v>N/A</v>
      </c>
      <c r="AZ431" s="161" t="str">
        <f>Calculo!AZ431</f>
        <v>N/A</v>
      </c>
      <c r="BA431" s="163"/>
    </row>
    <row r="432" ht="12.0" customHeight="1">
      <c r="A432" s="88" t="str">
        <f>'Parâmetros'!$A$19</f>
        <v>Rel. Básico PJ</v>
      </c>
      <c r="B432" s="146"/>
      <c r="C432" s="146"/>
      <c r="D432" s="146"/>
      <c r="E432" s="149"/>
      <c r="F432" s="151"/>
      <c r="G432" s="151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53"/>
      <c r="AC432" s="146"/>
      <c r="AD432" s="151"/>
      <c r="AE432" s="151"/>
      <c r="AF432" s="151"/>
      <c r="AG432" s="151"/>
      <c r="AH432" s="151"/>
      <c r="AI432" s="151"/>
      <c r="AJ432" s="146"/>
      <c r="AK432" s="155"/>
      <c r="AL432" s="151"/>
      <c r="AM432" s="151"/>
      <c r="AN432" s="151"/>
      <c r="AO432" s="151"/>
      <c r="AP432" s="151"/>
      <c r="AQ432" s="157"/>
      <c r="AR432" s="151"/>
      <c r="AS432" s="159"/>
      <c r="AT432" s="160" t="str">
        <f>Calculo!AQ432</f>
        <v>N/A</v>
      </c>
      <c r="AU432" s="161" t="str">
        <f>Calculo!AV432</f>
        <v>N/A</v>
      </c>
      <c r="AV432" s="162" t="str">
        <f>Calculo!AW432</f>
        <v>N/A</v>
      </c>
      <c r="AW432" s="161" t="b">
        <f>Calculo!AX432</f>
        <v>0</v>
      </c>
      <c r="AX432" s="161" t="str">
        <f>Calculo!K432</f>
        <v>N/A</v>
      </c>
      <c r="AY432" s="161" t="str">
        <f>Calculo!AY432</f>
        <v>N/A</v>
      </c>
      <c r="AZ432" s="161" t="str">
        <f>Calculo!AZ432</f>
        <v>N/A</v>
      </c>
      <c r="BA432" s="163"/>
    </row>
    <row r="433" ht="12.0" customHeight="1">
      <c r="A433" s="88" t="str">
        <f>'Parâmetros'!$A$19</f>
        <v>Rel. Básico PJ</v>
      </c>
      <c r="B433" s="146"/>
      <c r="C433" s="146"/>
      <c r="D433" s="146"/>
      <c r="E433" s="149"/>
      <c r="F433" s="151"/>
      <c r="G433" s="151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53"/>
      <c r="AC433" s="146"/>
      <c r="AD433" s="151"/>
      <c r="AE433" s="151"/>
      <c r="AF433" s="151"/>
      <c r="AG433" s="151"/>
      <c r="AH433" s="151"/>
      <c r="AI433" s="151"/>
      <c r="AJ433" s="146"/>
      <c r="AK433" s="155"/>
      <c r="AL433" s="151"/>
      <c r="AM433" s="151"/>
      <c r="AN433" s="151"/>
      <c r="AO433" s="151"/>
      <c r="AP433" s="151"/>
      <c r="AQ433" s="157"/>
      <c r="AR433" s="151"/>
      <c r="AS433" s="159"/>
      <c r="AT433" s="160" t="str">
        <f>Calculo!AQ433</f>
        <v>N/A</v>
      </c>
      <c r="AU433" s="161" t="str">
        <f>Calculo!AV433</f>
        <v>N/A</v>
      </c>
      <c r="AV433" s="162" t="str">
        <f>Calculo!AW433</f>
        <v>N/A</v>
      </c>
      <c r="AW433" s="161" t="b">
        <f>Calculo!AX433</f>
        <v>0</v>
      </c>
      <c r="AX433" s="161" t="str">
        <f>Calculo!K433</f>
        <v>N/A</v>
      </c>
      <c r="AY433" s="161" t="str">
        <f>Calculo!AY433</f>
        <v>N/A</v>
      </c>
      <c r="AZ433" s="161" t="str">
        <f>Calculo!AZ433</f>
        <v>N/A</v>
      </c>
      <c r="BA433" s="163"/>
    </row>
    <row r="434" ht="12.0" customHeight="1">
      <c r="A434" s="88" t="str">
        <f>'Parâmetros'!$A$19</f>
        <v>Rel. Básico PJ</v>
      </c>
      <c r="B434" s="146"/>
      <c r="C434" s="146"/>
      <c r="D434" s="146"/>
      <c r="E434" s="149"/>
      <c r="F434" s="151"/>
      <c r="G434" s="151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53"/>
      <c r="AC434" s="146"/>
      <c r="AD434" s="151"/>
      <c r="AE434" s="151"/>
      <c r="AF434" s="151"/>
      <c r="AG434" s="151"/>
      <c r="AH434" s="151"/>
      <c r="AI434" s="151"/>
      <c r="AJ434" s="146"/>
      <c r="AK434" s="155"/>
      <c r="AL434" s="151"/>
      <c r="AM434" s="151"/>
      <c r="AN434" s="151"/>
      <c r="AO434" s="151"/>
      <c r="AP434" s="151"/>
      <c r="AQ434" s="157"/>
      <c r="AR434" s="151"/>
      <c r="AS434" s="159"/>
      <c r="AT434" s="160" t="str">
        <f>Calculo!AQ434</f>
        <v>N/A</v>
      </c>
      <c r="AU434" s="161" t="str">
        <f>Calculo!AV434</f>
        <v>N/A</v>
      </c>
      <c r="AV434" s="162" t="str">
        <f>Calculo!AW434</f>
        <v>N/A</v>
      </c>
      <c r="AW434" s="161" t="b">
        <f>Calculo!AX434</f>
        <v>0</v>
      </c>
      <c r="AX434" s="161" t="str">
        <f>Calculo!K434</f>
        <v>N/A</v>
      </c>
      <c r="AY434" s="161" t="str">
        <f>Calculo!AY434</f>
        <v>N/A</v>
      </c>
      <c r="AZ434" s="161" t="str">
        <f>Calculo!AZ434</f>
        <v>N/A</v>
      </c>
      <c r="BA434" s="163"/>
    </row>
    <row r="435" ht="12.0" customHeight="1">
      <c r="A435" s="88" t="str">
        <f>'Parâmetros'!$A$19</f>
        <v>Rel. Básico PJ</v>
      </c>
      <c r="B435" s="146"/>
      <c r="C435" s="146"/>
      <c r="D435" s="146"/>
      <c r="E435" s="149"/>
      <c r="F435" s="151"/>
      <c r="G435" s="151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53"/>
      <c r="AC435" s="146"/>
      <c r="AD435" s="151"/>
      <c r="AE435" s="151"/>
      <c r="AF435" s="151"/>
      <c r="AG435" s="151"/>
      <c r="AH435" s="151"/>
      <c r="AI435" s="151"/>
      <c r="AJ435" s="146"/>
      <c r="AK435" s="155"/>
      <c r="AL435" s="151"/>
      <c r="AM435" s="151"/>
      <c r="AN435" s="151"/>
      <c r="AO435" s="151"/>
      <c r="AP435" s="151"/>
      <c r="AQ435" s="157"/>
      <c r="AR435" s="151"/>
      <c r="AS435" s="159"/>
      <c r="AT435" s="160" t="str">
        <f>Calculo!AQ435</f>
        <v>N/A</v>
      </c>
      <c r="AU435" s="161" t="str">
        <f>Calculo!AV435</f>
        <v>N/A</v>
      </c>
      <c r="AV435" s="162" t="str">
        <f>Calculo!AW435</f>
        <v>N/A</v>
      </c>
      <c r="AW435" s="161" t="b">
        <f>Calculo!AX435</f>
        <v>0</v>
      </c>
      <c r="AX435" s="161" t="str">
        <f>Calculo!K435</f>
        <v>N/A</v>
      </c>
      <c r="AY435" s="161" t="str">
        <f>Calculo!AY435</f>
        <v>N/A</v>
      </c>
      <c r="AZ435" s="161" t="str">
        <f>Calculo!AZ435</f>
        <v>N/A</v>
      </c>
      <c r="BA435" s="163"/>
    </row>
    <row r="436" ht="12.0" customHeight="1">
      <c r="A436" s="88" t="str">
        <f>'Parâmetros'!$A$19</f>
        <v>Rel. Básico PJ</v>
      </c>
      <c r="B436" s="146"/>
      <c r="C436" s="146"/>
      <c r="D436" s="146"/>
      <c r="E436" s="149"/>
      <c r="F436" s="151"/>
      <c r="G436" s="151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53"/>
      <c r="AC436" s="146"/>
      <c r="AD436" s="151"/>
      <c r="AE436" s="151"/>
      <c r="AF436" s="151"/>
      <c r="AG436" s="151"/>
      <c r="AH436" s="151"/>
      <c r="AI436" s="151"/>
      <c r="AJ436" s="146"/>
      <c r="AK436" s="155"/>
      <c r="AL436" s="151"/>
      <c r="AM436" s="151"/>
      <c r="AN436" s="151"/>
      <c r="AO436" s="151"/>
      <c r="AP436" s="151"/>
      <c r="AQ436" s="157"/>
      <c r="AR436" s="151"/>
      <c r="AS436" s="159"/>
      <c r="AT436" s="160" t="str">
        <f>Calculo!AQ436</f>
        <v>N/A</v>
      </c>
      <c r="AU436" s="161" t="str">
        <f>Calculo!AV436</f>
        <v>N/A</v>
      </c>
      <c r="AV436" s="162" t="str">
        <f>Calculo!AW436</f>
        <v>N/A</v>
      </c>
      <c r="AW436" s="161" t="b">
        <f>Calculo!AX436</f>
        <v>0</v>
      </c>
      <c r="AX436" s="161" t="str">
        <f>Calculo!K436</f>
        <v>N/A</v>
      </c>
      <c r="AY436" s="161" t="str">
        <f>Calculo!AY436</f>
        <v>N/A</v>
      </c>
      <c r="AZ436" s="161" t="str">
        <f>Calculo!AZ436</f>
        <v>N/A</v>
      </c>
      <c r="BA436" s="163"/>
    </row>
    <row r="437" ht="12.0" customHeight="1">
      <c r="A437" s="88" t="str">
        <f>'Parâmetros'!$A$19</f>
        <v>Rel. Básico PJ</v>
      </c>
      <c r="B437" s="146"/>
      <c r="C437" s="146"/>
      <c r="D437" s="146"/>
      <c r="E437" s="149"/>
      <c r="F437" s="151"/>
      <c r="G437" s="151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53"/>
      <c r="AC437" s="146"/>
      <c r="AD437" s="151"/>
      <c r="AE437" s="151"/>
      <c r="AF437" s="151"/>
      <c r="AG437" s="151"/>
      <c r="AH437" s="151"/>
      <c r="AI437" s="151"/>
      <c r="AJ437" s="146"/>
      <c r="AK437" s="155"/>
      <c r="AL437" s="151"/>
      <c r="AM437" s="151"/>
      <c r="AN437" s="151"/>
      <c r="AO437" s="151"/>
      <c r="AP437" s="151"/>
      <c r="AQ437" s="157"/>
      <c r="AR437" s="151"/>
      <c r="AS437" s="159"/>
      <c r="AT437" s="160" t="str">
        <f>Calculo!AQ437</f>
        <v>N/A</v>
      </c>
      <c r="AU437" s="161" t="str">
        <f>Calculo!AV437</f>
        <v>N/A</v>
      </c>
      <c r="AV437" s="162" t="str">
        <f>Calculo!AW437</f>
        <v>N/A</v>
      </c>
      <c r="AW437" s="161" t="b">
        <f>Calculo!AX437</f>
        <v>0</v>
      </c>
      <c r="AX437" s="161" t="str">
        <f>Calculo!K437</f>
        <v>N/A</v>
      </c>
      <c r="AY437" s="161" t="str">
        <f>Calculo!AY437</f>
        <v>N/A</v>
      </c>
      <c r="AZ437" s="161" t="str">
        <f>Calculo!AZ437</f>
        <v>N/A</v>
      </c>
      <c r="BA437" s="163"/>
    </row>
    <row r="438" ht="12.0" customHeight="1">
      <c r="A438" s="88" t="str">
        <f>'Parâmetros'!$A$19</f>
        <v>Rel. Básico PJ</v>
      </c>
      <c r="B438" s="146"/>
      <c r="C438" s="146"/>
      <c r="D438" s="146"/>
      <c r="E438" s="149"/>
      <c r="F438" s="151"/>
      <c r="G438" s="151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53"/>
      <c r="AC438" s="146"/>
      <c r="AD438" s="151"/>
      <c r="AE438" s="151"/>
      <c r="AF438" s="151"/>
      <c r="AG438" s="151"/>
      <c r="AH438" s="151"/>
      <c r="AI438" s="151"/>
      <c r="AJ438" s="146"/>
      <c r="AK438" s="155"/>
      <c r="AL438" s="151"/>
      <c r="AM438" s="151"/>
      <c r="AN438" s="151"/>
      <c r="AO438" s="151"/>
      <c r="AP438" s="151"/>
      <c r="AQ438" s="157"/>
      <c r="AR438" s="151"/>
      <c r="AS438" s="159"/>
      <c r="AT438" s="160" t="str">
        <f>Calculo!AQ438</f>
        <v>N/A</v>
      </c>
      <c r="AU438" s="161" t="str">
        <f>Calculo!AV438</f>
        <v>N/A</v>
      </c>
      <c r="AV438" s="162" t="str">
        <f>Calculo!AW438</f>
        <v>N/A</v>
      </c>
      <c r="AW438" s="161" t="b">
        <f>Calculo!AX438</f>
        <v>0</v>
      </c>
      <c r="AX438" s="161" t="str">
        <f>Calculo!K438</f>
        <v>N/A</v>
      </c>
      <c r="AY438" s="161" t="str">
        <f>Calculo!AY438</f>
        <v>N/A</v>
      </c>
      <c r="AZ438" s="161" t="str">
        <f>Calculo!AZ438</f>
        <v>N/A</v>
      </c>
      <c r="BA438" s="163"/>
    </row>
    <row r="439" ht="12.0" customHeight="1">
      <c r="A439" s="88" t="str">
        <f>'Parâmetros'!$A$19</f>
        <v>Rel. Básico PJ</v>
      </c>
      <c r="B439" s="146"/>
      <c r="C439" s="146"/>
      <c r="D439" s="146"/>
      <c r="E439" s="149"/>
      <c r="F439" s="151"/>
      <c r="G439" s="151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53"/>
      <c r="AC439" s="146"/>
      <c r="AD439" s="151"/>
      <c r="AE439" s="151"/>
      <c r="AF439" s="151"/>
      <c r="AG439" s="151"/>
      <c r="AH439" s="151"/>
      <c r="AI439" s="151"/>
      <c r="AJ439" s="146"/>
      <c r="AK439" s="155"/>
      <c r="AL439" s="151"/>
      <c r="AM439" s="151"/>
      <c r="AN439" s="151"/>
      <c r="AO439" s="151"/>
      <c r="AP439" s="151"/>
      <c r="AQ439" s="157"/>
      <c r="AR439" s="151"/>
      <c r="AS439" s="159"/>
      <c r="AT439" s="160" t="str">
        <f>Calculo!AQ439</f>
        <v>N/A</v>
      </c>
      <c r="AU439" s="161" t="str">
        <f>Calculo!AV439</f>
        <v>N/A</v>
      </c>
      <c r="AV439" s="162" t="str">
        <f>Calculo!AW439</f>
        <v>N/A</v>
      </c>
      <c r="AW439" s="161" t="b">
        <f>Calculo!AX439</f>
        <v>0</v>
      </c>
      <c r="AX439" s="161" t="str">
        <f>Calculo!K439</f>
        <v>N/A</v>
      </c>
      <c r="AY439" s="161" t="str">
        <f>Calculo!AY439</f>
        <v>N/A</v>
      </c>
      <c r="AZ439" s="161" t="str">
        <f>Calculo!AZ439</f>
        <v>N/A</v>
      </c>
      <c r="BA439" s="163"/>
    </row>
    <row r="440" ht="12.0" customHeight="1">
      <c r="A440" s="88" t="str">
        <f>'Parâmetros'!$A$19</f>
        <v>Rel. Básico PJ</v>
      </c>
      <c r="B440" s="146"/>
      <c r="C440" s="146"/>
      <c r="D440" s="146"/>
      <c r="E440" s="149"/>
      <c r="F440" s="151"/>
      <c r="G440" s="151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53"/>
      <c r="AC440" s="146"/>
      <c r="AD440" s="151"/>
      <c r="AE440" s="151"/>
      <c r="AF440" s="151"/>
      <c r="AG440" s="151"/>
      <c r="AH440" s="151"/>
      <c r="AI440" s="151"/>
      <c r="AJ440" s="146"/>
      <c r="AK440" s="155"/>
      <c r="AL440" s="151"/>
      <c r="AM440" s="151"/>
      <c r="AN440" s="151"/>
      <c r="AO440" s="151"/>
      <c r="AP440" s="151"/>
      <c r="AQ440" s="157"/>
      <c r="AR440" s="151"/>
      <c r="AS440" s="159"/>
      <c r="AT440" s="160" t="str">
        <f>Calculo!AQ440</f>
        <v>N/A</v>
      </c>
      <c r="AU440" s="161" t="str">
        <f>Calculo!AV440</f>
        <v>N/A</v>
      </c>
      <c r="AV440" s="162" t="str">
        <f>Calculo!AW440</f>
        <v>N/A</v>
      </c>
      <c r="AW440" s="161" t="b">
        <f>Calculo!AX440</f>
        <v>0</v>
      </c>
      <c r="AX440" s="161" t="str">
        <f>Calculo!K440</f>
        <v>N/A</v>
      </c>
      <c r="AY440" s="161" t="str">
        <f>Calculo!AY440</f>
        <v>N/A</v>
      </c>
      <c r="AZ440" s="161" t="str">
        <f>Calculo!AZ440</f>
        <v>N/A</v>
      </c>
      <c r="BA440" s="163"/>
    </row>
    <row r="441" ht="12.0" customHeight="1">
      <c r="A441" s="88" t="str">
        <f>'Parâmetros'!$A$19</f>
        <v>Rel. Básico PJ</v>
      </c>
      <c r="B441" s="146"/>
      <c r="C441" s="146"/>
      <c r="D441" s="146"/>
      <c r="E441" s="149"/>
      <c r="F441" s="151"/>
      <c r="G441" s="151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53"/>
      <c r="AC441" s="146"/>
      <c r="AD441" s="151"/>
      <c r="AE441" s="151"/>
      <c r="AF441" s="151"/>
      <c r="AG441" s="151"/>
      <c r="AH441" s="151"/>
      <c r="AI441" s="151"/>
      <c r="AJ441" s="146"/>
      <c r="AK441" s="155"/>
      <c r="AL441" s="151"/>
      <c r="AM441" s="151"/>
      <c r="AN441" s="151"/>
      <c r="AO441" s="151"/>
      <c r="AP441" s="151"/>
      <c r="AQ441" s="157"/>
      <c r="AR441" s="151"/>
      <c r="AS441" s="159"/>
      <c r="AT441" s="160" t="str">
        <f>Calculo!AQ441</f>
        <v>N/A</v>
      </c>
      <c r="AU441" s="161" t="str">
        <f>Calculo!AV441</f>
        <v>N/A</v>
      </c>
      <c r="AV441" s="162" t="str">
        <f>Calculo!AW441</f>
        <v>N/A</v>
      </c>
      <c r="AW441" s="161" t="b">
        <f>Calculo!AX441</f>
        <v>0</v>
      </c>
      <c r="AX441" s="161" t="str">
        <f>Calculo!K441</f>
        <v>N/A</v>
      </c>
      <c r="AY441" s="161" t="str">
        <f>Calculo!AY441</f>
        <v>N/A</v>
      </c>
      <c r="AZ441" s="161" t="str">
        <f>Calculo!AZ441</f>
        <v>N/A</v>
      </c>
      <c r="BA441" s="163"/>
    </row>
    <row r="442" ht="12.0" customHeight="1">
      <c r="A442" s="88" t="str">
        <f>'Parâmetros'!$A$19</f>
        <v>Rel. Básico PJ</v>
      </c>
      <c r="B442" s="146"/>
      <c r="C442" s="146"/>
      <c r="D442" s="146"/>
      <c r="E442" s="149"/>
      <c r="F442" s="151"/>
      <c r="G442" s="151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53"/>
      <c r="AC442" s="146"/>
      <c r="AD442" s="151"/>
      <c r="AE442" s="151"/>
      <c r="AF442" s="151"/>
      <c r="AG442" s="151"/>
      <c r="AH442" s="151"/>
      <c r="AI442" s="151"/>
      <c r="AJ442" s="146"/>
      <c r="AK442" s="155"/>
      <c r="AL442" s="151"/>
      <c r="AM442" s="151"/>
      <c r="AN442" s="151"/>
      <c r="AO442" s="151"/>
      <c r="AP442" s="151"/>
      <c r="AQ442" s="157"/>
      <c r="AR442" s="151"/>
      <c r="AS442" s="159"/>
      <c r="AT442" s="160" t="str">
        <f>Calculo!AQ442</f>
        <v>N/A</v>
      </c>
      <c r="AU442" s="161" t="str">
        <f>Calculo!AV442</f>
        <v>N/A</v>
      </c>
      <c r="AV442" s="162" t="str">
        <f>Calculo!AW442</f>
        <v>N/A</v>
      </c>
      <c r="AW442" s="161" t="b">
        <f>Calculo!AX442</f>
        <v>0</v>
      </c>
      <c r="AX442" s="161" t="str">
        <f>Calculo!K442</f>
        <v>N/A</v>
      </c>
      <c r="AY442" s="161" t="str">
        <f>Calculo!AY442</f>
        <v>N/A</v>
      </c>
      <c r="AZ442" s="161" t="str">
        <f>Calculo!AZ442</f>
        <v>N/A</v>
      </c>
      <c r="BA442" s="163"/>
    </row>
    <row r="443" ht="12.0" customHeight="1">
      <c r="A443" s="88" t="str">
        <f>'Parâmetros'!$A$19</f>
        <v>Rel. Básico PJ</v>
      </c>
      <c r="B443" s="146"/>
      <c r="C443" s="146"/>
      <c r="D443" s="146"/>
      <c r="E443" s="149"/>
      <c r="F443" s="151"/>
      <c r="G443" s="151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53"/>
      <c r="AC443" s="146"/>
      <c r="AD443" s="151"/>
      <c r="AE443" s="151"/>
      <c r="AF443" s="151"/>
      <c r="AG443" s="151"/>
      <c r="AH443" s="151"/>
      <c r="AI443" s="151"/>
      <c r="AJ443" s="146"/>
      <c r="AK443" s="155"/>
      <c r="AL443" s="151"/>
      <c r="AM443" s="151"/>
      <c r="AN443" s="151"/>
      <c r="AO443" s="151"/>
      <c r="AP443" s="151"/>
      <c r="AQ443" s="157"/>
      <c r="AR443" s="151"/>
      <c r="AS443" s="159"/>
      <c r="AT443" s="160" t="str">
        <f>Calculo!AQ443</f>
        <v>N/A</v>
      </c>
      <c r="AU443" s="161" t="str">
        <f>Calculo!AV443</f>
        <v>N/A</v>
      </c>
      <c r="AV443" s="162" t="str">
        <f>Calculo!AW443</f>
        <v>N/A</v>
      </c>
      <c r="AW443" s="161" t="b">
        <f>Calculo!AX443</f>
        <v>0</v>
      </c>
      <c r="AX443" s="161" t="str">
        <f>Calculo!K443</f>
        <v>N/A</v>
      </c>
      <c r="AY443" s="161" t="str">
        <f>Calculo!AY443</f>
        <v>N/A</v>
      </c>
      <c r="AZ443" s="161" t="str">
        <f>Calculo!AZ443</f>
        <v>N/A</v>
      </c>
      <c r="BA443" s="163"/>
    </row>
    <row r="444" ht="12.0" customHeight="1">
      <c r="A444" s="88" t="str">
        <f>'Parâmetros'!$A$19</f>
        <v>Rel. Básico PJ</v>
      </c>
      <c r="B444" s="146"/>
      <c r="C444" s="146"/>
      <c r="D444" s="146"/>
      <c r="E444" s="149"/>
      <c r="F444" s="151"/>
      <c r="G444" s="151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53"/>
      <c r="AC444" s="146"/>
      <c r="AD444" s="151"/>
      <c r="AE444" s="151"/>
      <c r="AF444" s="151"/>
      <c r="AG444" s="151"/>
      <c r="AH444" s="151"/>
      <c r="AI444" s="151"/>
      <c r="AJ444" s="146"/>
      <c r="AK444" s="155"/>
      <c r="AL444" s="151"/>
      <c r="AM444" s="151"/>
      <c r="AN444" s="151"/>
      <c r="AO444" s="151"/>
      <c r="AP444" s="151"/>
      <c r="AQ444" s="157"/>
      <c r="AR444" s="151"/>
      <c r="AS444" s="159"/>
      <c r="AT444" s="160" t="str">
        <f>Calculo!AQ444</f>
        <v>N/A</v>
      </c>
      <c r="AU444" s="161" t="str">
        <f>Calculo!AV444</f>
        <v>N/A</v>
      </c>
      <c r="AV444" s="162" t="str">
        <f>Calculo!AW444</f>
        <v>N/A</v>
      </c>
      <c r="AW444" s="161" t="b">
        <f>Calculo!AX444</f>
        <v>0</v>
      </c>
      <c r="AX444" s="161" t="str">
        <f>Calculo!K444</f>
        <v>N/A</v>
      </c>
      <c r="AY444" s="161" t="str">
        <f>Calculo!AY444</f>
        <v>N/A</v>
      </c>
      <c r="AZ444" s="161" t="str">
        <f>Calculo!AZ444</f>
        <v>N/A</v>
      </c>
      <c r="BA444" s="163"/>
    </row>
    <row r="445" ht="12.0" customHeight="1">
      <c r="A445" s="88" t="str">
        <f>'Parâmetros'!$A$19</f>
        <v>Rel. Básico PJ</v>
      </c>
      <c r="B445" s="146"/>
      <c r="C445" s="146"/>
      <c r="D445" s="146"/>
      <c r="E445" s="149"/>
      <c r="F445" s="151"/>
      <c r="G445" s="151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53"/>
      <c r="AC445" s="146"/>
      <c r="AD445" s="151"/>
      <c r="AE445" s="151"/>
      <c r="AF445" s="151"/>
      <c r="AG445" s="151"/>
      <c r="AH445" s="151"/>
      <c r="AI445" s="151"/>
      <c r="AJ445" s="146"/>
      <c r="AK445" s="155"/>
      <c r="AL445" s="151"/>
      <c r="AM445" s="151"/>
      <c r="AN445" s="151"/>
      <c r="AO445" s="151"/>
      <c r="AP445" s="151"/>
      <c r="AQ445" s="157"/>
      <c r="AR445" s="151"/>
      <c r="AS445" s="159"/>
      <c r="AT445" s="160" t="str">
        <f>Calculo!AQ445</f>
        <v>N/A</v>
      </c>
      <c r="AU445" s="161" t="str">
        <f>Calculo!AV445</f>
        <v>N/A</v>
      </c>
      <c r="AV445" s="162" t="str">
        <f>Calculo!AW445</f>
        <v>N/A</v>
      </c>
      <c r="AW445" s="161" t="b">
        <f>Calculo!AX445</f>
        <v>0</v>
      </c>
      <c r="AX445" s="161" t="str">
        <f>Calculo!K445</f>
        <v>N/A</v>
      </c>
      <c r="AY445" s="161" t="str">
        <f>Calculo!AY445</f>
        <v>N/A</v>
      </c>
      <c r="AZ445" s="161" t="str">
        <f>Calculo!AZ445</f>
        <v>N/A</v>
      </c>
      <c r="BA445" s="163"/>
    </row>
    <row r="446" ht="12.0" customHeight="1">
      <c r="A446" s="88" t="str">
        <f>'Parâmetros'!$A$19</f>
        <v>Rel. Básico PJ</v>
      </c>
      <c r="B446" s="146"/>
      <c r="C446" s="146"/>
      <c r="D446" s="146"/>
      <c r="E446" s="149"/>
      <c r="F446" s="151"/>
      <c r="G446" s="151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53"/>
      <c r="AC446" s="146"/>
      <c r="AD446" s="151"/>
      <c r="AE446" s="151"/>
      <c r="AF446" s="151"/>
      <c r="AG446" s="151"/>
      <c r="AH446" s="151"/>
      <c r="AI446" s="151"/>
      <c r="AJ446" s="146"/>
      <c r="AK446" s="155"/>
      <c r="AL446" s="151"/>
      <c r="AM446" s="151"/>
      <c r="AN446" s="151"/>
      <c r="AO446" s="151"/>
      <c r="AP446" s="151"/>
      <c r="AQ446" s="157"/>
      <c r="AR446" s="151"/>
      <c r="AS446" s="159"/>
      <c r="AT446" s="160" t="str">
        <f>Calculo!AQ446</f>
        <v>N/A</v>
      </c>
      <c r="AU446" s="161" t="str">
        <f>Calculo!AV446</f>
        <v>N/A</v>
      </c>
      <c r="AV446" s="162" t="str">
        <f>Calculo!AW446</f>
        <v>N/A</v>
      </c>
      <c r="AW446" s="161" t="b">
        <f>Calculo!AX446</f>
        <v>0</v>
      </c>
      <c r="AX446" s="161" t="str">
        <f>Calculo!K446</f>
        <v>N/A</v>
      </c>
      <c r="AY446" s="161" t="str">
        <f>Calculo!AY446</f>
        <v>N/A</v>
      </c>
      <c r="AZ446" s="161" t="str">
        <f>Calculo!AZ446</f>
        <v>N/A</v>
      </c>
      <c r="BA446" s="163"/>
    </row>
    <row r="447" ht="12.0" customHeight="1">
      <c r="A447" s="88" t="str">
        <f>'Parâmetros'!$A$19</f>
        <v>Rel. Básico PJ</v>
      </c>
      <c r="B447" s="146"/>
      <c r="C447" s="146"/>
      <c r="D447" s="146"/>
      <c r="E447" s="149"/>
      <c r="F447" s="151"/>
      <c r="G447" s="151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53"/>
      <c r="AC447" s="146"/>
      <c r="AD447" s="151"/>
      <c r="AE447" s="151"/>
      <c r="AF447" s="151"/>
      <c r="AG447" s="151"/>
      <c r="AH447" s="151"/>
      <c r="AI447" s="151"/>
      <c r="AJ447" s="146"/>
      <c r="AK447" s="155"/>
      <c r="AL447" s="151"/>
      <c r="AM447" s="151"/>
      <c r="AN447" s="151"/>
      <c r="AO447" s="151"/>
      <c r="AP447" s="151"/>
      <c r="AQ447" s="157"/>
      <c r="AR447" s="151"/>
      <c r="AS447" s="159"/>
      <c r="AT447" s="160" t="str">
        <f>Calculo!AQ447</f>
        <v>N/A</v>
      </c>
      <c r="AU447" s="161" t="str">
        <f>Calculo!AV447</f>
        <v>N/A</v>
      </c>
      <c r="AV447" s="162" t="str">
        <f>Calculo!AW447</f>
        <v>N/A</v>
      </c>
      <c r="AW447" s="161" t="b">
        <f>Calculo!AX447</f>
        <v>0</v>
      </c>
      <c r="AX447" s="161" t="str">
        <f>Calculo!K447</f>
        <v>N/A</v>
      </c>
      <c r="AY447" s="161" t="str">
        <f>Calculo!AY447</f>
        <v>N/A</v>
      </c>
      <c r="AZ447" s="161" t="str">
        <f>Calculo!AZ447</f>
        <v>N/A</v>
      </c>
      <c r="BA447" s="163"/>
    </row>
    <row r="448" ht="12.0" customHeight="1">
      <c r="A448" s="88" t="str">
        <f>'Parâmetros'!$A$19</f>
        <v>Rel. Básico PJ</v>
      </c>
      <c r="B448" s="146"/>
      <c r="C448" s="146"/>
      <c r="D448" s="146"/>
      <c r="E448" s="149"/>
      <c r="F448" s="151"/>
      <c r="G448" s="151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53"/>
      <c r="AC448" s="146"/>
      <c r="AD448" s="151"/>
      <c r="AE448" s="151"/>
      <c r="AF448" s="151"/>
      <c r="AG448" s="151"/>
      <c r="AH448" s="151"/>
      <c r="AI448" s="151"/>
      <c r="AJ448" s="146"/>
      <c r="AK448" s="155"/>
      <c r="AL448" s="151"/>
      <c r="AM448" s="151"/>
      <c r="AN448" s="151"/>
      <c r="AO448" s="151"/>
      <c r="AP448" s="151"/>
      <c r="AQ448" s="157"/>
      <c r="AR448" s="151"/>
      <c r="AS448" s="159"/>
      <c r="AT448" s="160" t="str">
        <f>Calculo!AQ448</f>
        <v>N/A</v>
      </c>
      <c r="AU448" s="161" t="str">
        <f>Calculo!AV448</f>
        <v>N/A</v>
      </c>
      <c r="AV448" s="162" t="str">
        <f>Calculo!AW448</f>
        <v>N/A</v>
      </c>
      <c r="AW448" s="161" t="b">
        <f>Calculo!AX448</f>
        <v>0</v>
      </c>
      <c r="AX448" s="161" t="str">
        <f>Calculo!K448</f>
        <v>N/A</v>
      </c>
      <c r="AY448" s="161" t="str">
        <f>Calculo!AY448</f>
        <v>N/A</v>
      </c>
      <c r="AZ448" s="161" t="str">
        <f>Calculo!AZ448</f>
        <v>N/A</v>
      </c>
      <c r="BA448" s="163"/>
    </row>
    <row r="449" ht="12.0" customHeight="1">
      <c r="A449" s="88" t="str">
        <f>'Parâmetros'!$A$19</f>
        <v>Rel. Básico PJ</v>
      </c>
      <c r="B449" s="146"/>
      <c r="C449" s="146"/>
      <c r="D449" s="146"/>
      <c r="E449" s="149"/>
      <c r="F449" s="151"/>
      <c r="G449" s="151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53"/>
      <c r="AC449" s="146"/>
      <c r="AD449" s="151"/>
      <c r="AE449" s="151"/>
      <c r="AF449" s="151"/>
      <c r="AG449" s="151"/>
      <c r="AH449" s="151"/>
      <c r="AI449" s="151"/>
      <c r="AJ449" s="146"/>
      <c r="AK449" s="155"/>
      <c r="AL449" s="151"/>
      <c r="AM449" s="151"/>
      <c r="AN449" s="151"/>
      <c r="AO449" s="151"/>
      <c r="AP449" s="151"/>
      <c r="AQ449" s="157"/>
      <c r="AR449" s="151"/>
      <c r="AS449" s="159"/>
      <c r="AT449" s="160" t="str">
        <f>Calculo!AQ449</f>
        <v>N/A</v>
      </c>
      <c r="AU449" s="161" t="str">
        <f>Calculo!AV449</f>
        <v>N/A</v>
      </c>
      <c r="AV449" s="162" t="str">
        <f>Calculo!AW449</f>
        <v>N/A</v>
      </c>
      <c r="AW449" s="161" t="b">
        <f>Calculo!AX449</f>
        <v>0</v>
      </c>
      <c r="AX449" s="161" t="str">
        <f>Calculo!K449</f>
        <v>N/A</v>
      </c>
      <c r="AY449" s="161" t="str">
        <f>Calculo!AY449</f>
        <v>N/A</v>
      </c>
      <c r="AZ449" s="161" t="str">
        <f>Calculo!AZ449</f>
        <v>N/A</v>
      </c>
      <c r="BA449" s="163"/>
    </row>
    <row r="450" ht="12.0" customHeight="1">
      <c r="A450" s="88" t="str">
        <f>'Parâmetros'!$A$19</f>
        <v>Rel. Básico PJ</v>
      </c>
      <c r="B450" s="146"/>
      <c r="C450" s="146"/>
      <c r="D450" s="146"/>
      <c r="E450" s="149"/>
      <c r="F450" s="151"/>
      <c r="G450" s="151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53"/>
      <c r="AC450" s="146"/>
      <c r="AD450" s="151"/>
      <c r="AE450" s="151"/>
      <c r="AF450" s="151"/>
      <c r="AG450" s="151"/>
      <c r="AH450" s="151"/>
      <c r="AI450" s="151"/>
      <c r="AJ450" s="146"/>
      <c r="AK450" s="155"/>
      <c r="AL450" s="151"/>
      <c r="AM450" s="151"/>
      <c r="AN450" s="151"/>
      <c r="AO450" s="151"/>
      <c r="AP450" s="151"/>
      <c r="AQ450" s="157"/>
      <c r="AR450" s="151"/>
      <c r="AS450" s="159"/>
      <c r="AT450" s="160" t="str">
        <f>Calculo!AQ450</f>
        <v>N/A</v>
      </c>
      <c r="AU450" s="161" t="str">
        <f>Calculo!AV450</f>
        <v>N/A</v>
      </c>
      <c r="AV450" s="162" t="str">
        <f>Calculo!AW450</f>
        <v>N/A</v>
      </c>
      <c r="AW450" s="161" t="b">
        <f>Calculo!AX450</f>
        <v>0</v>
      </c>
      <c r="AX450" s="161" t="str">
        <f>Calculo!K450</f>
        <v>N/A</v>
      </c>
      <c r="AY450" s="161" t="str">
        <f>Calculo!AY450</f>
        <v>N/A</v>
      </c>
      <c r="AZ450" s="161" t="str">
        <f>Calculo!AZ450</f>
        <v>N/A</v>
      </c>
      <c r="BA450" s="163"/>
    </row>
    <row r="451" ht="12.0" customHeight="1">
      <c r="A451" s="88" t="str">
        <f>'Parâmetros'!$A$19</f>
        <v>Rel. Básico PJ</v>
      </c>
      <c r="B451" s="146"/>
      <c r="C451" s="146"/>
      <c r="D451" s="146"/>
      <c r="E451" s="149"/>
      <c r="F451" s="151"/>
      <c r="G451" s="151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53"/>
      <c r="AC451" s="146"/>
      <c r="AD451" s="151"/>
      <c r="AE451" s="151"/>
      <c r="AF451" s="151"/>
      <c r="AG451" s="151"/>
      <c r="AH451" s="151"/>
      <c r="AI451" s="151"/>
      <c r="AJ451" s="146"/>
      <c r="AK451" s="155"/>
      <c r="AL451" s="151"/>
      <c r="AM451" s="151"/>
      <c r="AN451" s="151"/>
      <c r="AO451" s="151"/>
      <c r="AP451" s="151"/>
      <c r="AQ451" s="157"/>
      <c r="AR451" s="151"/>
      <c r="AS451" s="159"/>
      <c r="AT451" s="160" t="str">
        <f>Calculo!AQ451</f>
        <v>N/A</v>
      </c>
      <c r="AU451" s="161" t="str">
        <f>Calculo!AV451</f>
        <v>N/A</v>
      </c>
      <c r="AV451" s="162" t="str">
        <f>Calculo!AW451</f>
        <v>N/A</v>
      </c>
      <c r="AW451" s="161" t="b">
        <f>Calculo!AX451</f>
        <v>0</v>
      </c>
      <c r="AX451" s="161" t="str">
        <f>Calculo!K451</f>
        <v>N/A</v>
      </c>
      <c r="AY451" s="161" t="str">
        <f>Calculo!AY451</f>
        <v>N/A</v>
      </c>
      <c r="AZ451" s="161" t="str">
        <f>Calculo!AZ451</f>
        <v>N/A</v>
      </c>
      <c r="BA451" s="163"/>
    </row>
    <row r="452" ht="12.0" customHeight="1">
      <c r="A452" s="163"/>
      <c r="B452" s="163"/>
      <c r="C452" s="163"/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9"/>
      <c r="AE452" s="163"/>
      <c r="AF452" s="163"/>
      <c r="AG452" s="163"/>
      <c r="AH452" s="163"/>
      <c r="AI452" s="163"/>
      <c r="AJ452" s="163"/>
      <c r="AK452" s="163"/>
      <c r="AL452" s="163"/>
      <c r="AM452" s="163"/>
      <c r="AN452" s="163"/>
      <c r="AO452" s="163"/>
      <c r="AP452" s="163"/>
      <c r="AQ452" s="163"/>
      <c r="AR452" s="163"/>
      <c r="AS452" s="163"/>
      <c r="AT452" s="163"/>
      <c r="AU452" s="163"/>
      <c r="AV452" s="163"/>
      <c r="AW452" s="163"/>
      <c r="AX452" s="163"/>
      <c r="AY452" s="170"/>
      <c r="AZ452" s="170"/>
      <c r="BA452" s="163"/>
    </row>
    <row r="453" ht="12.0" customHeight="1">
      <c r="A453" s="163"/>
      <c r="B453" s="163"/>
      <c r="C453" s="163"/>
      <c r="D453" s="163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9"/>
      <c r="AE453" s="163"/>
      <c r="AF453" s="163"/>
      <c r="AG453" s="163"/>
      <c r="AH453" s="163"/>
      <c r="AI453" s="163"/>
      <c r="AJ453" s="163"/>
      <c r="AK453" s="163"/>
      <c r="AL453" s="163"/>
      <c r="AM453" s="163"/>
      <c r="AN453" s="163"/>
      <c r="AO453" s="163"/>
      <c r="AP453" s="163"/>
      <c r="AQ453" s="163"/>
      <c r="AR453" s="163"/>
      <c r="AS453" s="163"/>
      <c r="AT453" s="163"/>
      <c r="AU453" s="163"/>
      <c r="AV453" s="163"/>
      <c r="AW453" s="163"/>
      <c r="AX453" s="163"/>
      <c r="AY453" s="170"/>
      <c r="AZ453" s="170"/>
      <c r="BA453" s="163"/>
    </row>
    <row r="454" ht="12.0" customHeight="1">
      <c r="A454" s="163"/>
      <c r="B454" s="163"/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9"/>
      <c r="AE454" s="163"/>
      <c r="AF454" s="163"/>
      <c r="AG454" s="163"/>
      <c r="AH454" s="163"/>
      <c r="AI454" s="163"/>
      <c r="AJ454" s="163"/>
      <c r="AK454" s="163"/>
      <c r="AL454" s="163"/>
      <c r="AM454" s="163"/>
      <c r="AN454" s="163"/>
      <c r="AO454" s="163"/>
      <c r="AP454" s="163"/>
      <c r="AQ454" s="163"/>
      <c r="AR454" s="163"/>
      <c r="AS454" s="163"/>
      <c r="AT454" s="163"/>
      <c r="AU454" s="163"/>
      <c r="AV454" s="163"/>
      <c r="AW454" s="163"/>
      <c r="AX454" s="163"/>
      <c r="AY454" s="170"/>
      <c r="AZ454" s="170"/>
      <c r="BA454" s="163"/>
    </row>
    <row r="455" ht="12.0" customHeight="1">
      <c r="A455" s="163"/>
      <c r="B455" s="163"/>
      <c r="C455" s="163"/>
      <c r="D455" s="163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9"/>
      <c r="AE455" s="163"/>
      <c r="AF455" s="163"/>
      <c r="AG455" s="163"/>
      <c r="AH455" s="163"/>
      <c r="AI455" s="163"/>
      <c r="AJ455" s="163"/>
      <c r="AK455" s="163"/>
      <c r="AL455" s="163"/>
      <c r="AM455" s="163"/>
      <c r="AN455" s="163"/>
      <c r="AO455" s="163"/>
      <c r="AP455" s="163"/>
      <c r="AQ455" s="163"/>
      <c r="AR455" s="163"/>
      <c r="AS455" s="163"/>
      <c r="AT455" s="163"/>
      <c r="AU455" s="163"/>
      <c r="AV455" s="163"/>
      <c r="AW455" s="163"/>
      <c r="AX455" s="163"/>
      <c r="AY455" s="170"/>
      <c r="AZ455" s="170"/>
      <c r="BA455" s="163"/>
    </row>
    <row r="456" ht="12.0" customHeight="1">
      <c r="A456" s="163"/>
      <c r="B456" s="163"/>
      <c r="C456" s="163"/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9"/>
      <c r="AE456" s="163"/>
      <c r="AF456" s="163"/>
      <c r="AG456" s="163"/>
      <c r="AH456" s="163"/>
      <c r="AI456" s="163"/>
      <c r="AJ456" s="163"/>
      <c r="AK456" s="163"/>
      <c r="AL456" s="163"/>
      <c r="AM456" s="163"/>
      <c r="AN456" s="163"/>
      <c r="AO456" s="163"/>
      <c r="AP456" s="163"/>
      <c r="AQ456" s="163"/>
      <c r="AR456" s="163"/>
      <c r="AS456" s="163"/>
      <c r="AT456" s="163"/>
      <c r="AU456" s="163"/>
      <c r="AV456" s="163"/>
      <c r="AW456" s="163"/>
      <c r="AX456" s="163"/>
      <c r="AY456" s="170"/>
      <c r="AZ456" s="170"/>
      <c r="BA456" s="163"/>
    </row>
    <row r="457" ht="12.0" customHeight="1">
      <c r="A457" s="163"/>
      <c r="B457" s="163"/>
      <c r="C457" s="163"/>
      <c r="D457" s="163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9"/>
      <c r="AE457" s="163"/>
      <c r="AF457" s="163"/>
      <c r="AG457" s="163"/>
      <c r="AH457" s="163"/>
      <c r="AI457" s="163"/>
      <c r="AJ457" s="163"/>
      <c r="AK457" s="163"/>
      <c r="AL457" s="163"/>
      <c r="AM457" s="163"/>
      <c r="AN457" s="163"/>
      <c r="AO457" s="163"/>
      <c r="AP457" s="163"/>
      <c r="AQ457" s="163"/>
      <c r="AR457" s="163"/>
      <c r="AS457" s="163"/>
      <c r="AT457" s="163"/>
      <c r="AU457" s="163"/>
      <c r="AV457" s="163"/>
      <c r="AW457" s="163"/>
      <c r="AX457" s="163"/>
      <c r="AY457" s="170"/>
      <c r="AZ457" s="170"/>
      <c r="BA457" s="163"/>
    </row>
    <row r="458" ht="12.0" customHeight="1">
      <c r="A458" s="163"/>
      <c r="B458" s="163"/>
      <c r="C458" s="163"/>
      <c r="D458" s="163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9"/>
      <c r="AE458" s="163"/>
      <c r="AF458" s="163"/>
      <c r="AG458" s="163"/>
      <c r="AH458" s="163"/>
      <c r="AI458" s="163"/>
      <c r="AJ458" s="163"/>
      <c r="AK458" s="163"/>
      <c r="AL458" s="163"/>
      <c r="AM458" s="163"/>
      <c r="AN458" s="163"/>
      <c r="AO458" s="163"/>
      <c r="AP458" s="163"/>
      <c r="AQ458" s="163"/>
      <c r="AR458" s="163"/>
      <c r="AS458" s="163"/>
      <c r="AT458" s="163"/>
      <c r="AU458" s="163"/>
      <c r="AV458" s="163"/>
      <c r="AW458" s="163"/>
      <c r="AX458" s="163"/>
      <c r="AY458" s="170"/>
      <c r="AZ458" s="170"/>
      <c r="BA458" s="163"/>
    </row>
    <row r="459" ht="12.0" customHeight="1">
      <c r="A459" s="163"/>
      <c r="B459" s="163"/>
      <c r="C459" s="163"/>
      <c r="D459" s="163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9"/>
      <c r="AE459" s="163"/>
      <c r="AF459" s="163"/>
      <c r="AG459" s="163"/>
      <c r="AH459" s="163"/>
      <c r="AI459" s="163"/>
      <c r="AJ459" s="163"/>
      <c r="AK459" s="163"/>
      <c r="AL459" s="163"/>
      <c r="AM459" s="163"/>
      <c r="AN459" s="163"/>
      <c r="AO459" s="163"/>
      <c r="AP459" s="163"/>
      <c r="AQ459" s="163"/>
      <c r="AR459" s="163"/>
      <c r="AS459" s="163"/>
      <c r="AT459" s="163"/>
      <c r="AU459" s="163"/>
      <c r="AV459" s="163"/>
      <c r="AW459" s="163"/>
      <c r="AX459" s="163"/>
      <c r="AY459" s="170"/>
      <c r="AZ459" s="170"/>
      <c r="BA459" s="163"/>
    </row>
    <row r="460" ht="12.0" customHeight="1">
      <c r="A460" s="163"/>
      <c r="B460" s="163"/>
      <c r="C460" s="163"/>
      <c r="D460" s="163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9"/>
      <c r="AE460" s="163"/>
      <c r="AF460" s="163"/>
      <c r="AG460" s="163"/>
      <c r="AH460" s="163"/>
      <c r="AI460" s="163"/>
      <c r="AJ460" s="163"/>
      <c r="AK460" s="163"/>
      <c r="AL460" s="163"/>
      <c r="AM460" s="163"/>
      <c r="AN460" s="163"/>
      <c r="AO460" s="163"/>
      <c r="AP460" s="163"/>
      <c r="AQ460" s="163"/>
      <c r="AR460" s="163"/>
      <c r="AS460" s="163"/>
      <c r="AT460" s="163"/>
      <c r="AU460" s="163"/>
      <c r="AV460" s="163"/>
      <c r="AW460" s="163"/>
      <c r="AX460" s="163"/>
      <c r="AY460" s="170"/>
      <c r="AZ460" s="170"/>
      <c r="BA460" s="163"/>
    </row>
    <row r="461" ht="12.0" customHeight="1">
      <c r="A461" s="163"/>
      <c r="B461" s="163"/>
      <c r="C461" s="163"/>
      <c r="D461" s="163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9"/>
      <c r="AE461" s="163"/>
      <c r="AF461" s="163"/>
      <c r="AG461" s="163"/>
      <c r="AH461" s="163"/>
      <c r="AI461" s="163"/>
      <c r="AJ461" s="163"/>
      <c r="AK461" s="163"/>
      <c r="AL461" s="163"/>
      <c r="AM461" s="163"/>
      <c r="AN461" s="163"/>
      <c r="AO461" s="163"/>
      <c r="AP461" s="163"/>
      <c r="AQ461" s="163"/>
      <c r="AR461" s="163"/>
      <c r="AS461" s="163"/>
      <c r="AT461" s="163"/>
      <c r="AU461" s="163"/>
      <c r="AV461" s="163"/>
      <c r="AW461" s="163"/>
      <c r="AX461" s="163"/>
      <c r="AY461" s="170"/>
      <c r="AZ461" s="170"/>
      <c r="BA461" s="163"/>
    </row>
    <row r="462" ht="12.0" customHeight="1">
      <c r="A462" s="163"/>
      <c r="B462" s="163"/>
      <c r="C462" s="163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9"/>
      <c r="AE462" s="163"/>
      <c r="AF462" s="163"/>
      <c r="AG462" s="163"/>
      <c r="AH462" s="163"/>
      <c r="AI462" s="163"/>
      <c r="AJ462" s="163"/>
      <c r="AK462" s="163"/>
      <c r="AL462" s="163"/>
      <c r="AM462" s="163"/>
      <c r="AN462" s="163"/>
      <c r="AO462" s="163"/>
      <c r="AP462" s="163"/>
      <c r="AQ462" s="163"/>
      <c r="AR462" s="163"/>
      <c r="AS462" s="163"/>
      <c r="AT462" s="163"/>
      <c r="AU462" s="163"/>
      <c r="AV462" s="163"/>
      <c r="AW462" s="163"/>
      <c r="AX462" s="163"/>
      <c r="AY462" s="170"/>
      <c r="AZ462" s="170"/>
      <c r="BA462" s="163"/>
    </row>
    <row r="463" ht="12.0" customHeight="1">
      <c r="A463" s="163"/>
      <c r="B463" s="163"/>
      <c r="C463" s="163"/>
      <c r="D463" s="163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9"/>
      <c r="AE463" s="163"/>
      <c r="AF463" s="163"/>
      <c r="AG463" s="163"/>
      <c r="AH463" s="163"/>
      <c r="AI463" s="163"/>
      <c r="AJ463" s="163"/>
      <c r="AK463" s="163"/>
      <c r="AL463" s="163"/>
      <c r="AM463" s="163"/>
      <c r="AN463" s="163"/>
      <c r="AO463" s="163"/>
      <c r="AP463" s="163"/>
      <c r="AQ463" s="163"/>
      <c r="AR463" s="163"/>
      <c r="AS463" s="163"/>
      <c r="AT463" s="163"/>
      <c r="AU463" s="163"/>
      <c r="AV463" s="163"/>
      <c r="AW463" s="163"/>
      <c r="AX463" s="163"/>
      <c r="AY463" s="170"/>
      <c r="AZ463" s="170"/>
      <c r="BA463" s="163"/>
    </row>
    <row r="464" ht="12.0" customHeight="1">
      <c r="A464" s="163"/>
      <c r="B464" s="163"/>
      <c r="C464" s="163"/>
      <c r="D464" s="163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9"/>
      <c r="AE464" s="163"/>
      <c r="AF464" s="163"/>
      <c r="AG464" s="163"/>
      <c r="AH464" s="163"/>
      <c r="AI464" s="163"/>
      <c r="AJ464" s="163"/>
      <c r="AK464" s="163"/>
      <c r="AL464" s="163"/>
      <c r="AM464" s="163"/>
      <c r="AN464" s="163"/>
      <c r="AO464" s="163"/>
      <c r="AP464" s="163"/>
      <c r="AQ464" s="163"/>
      <c r="AR464" s="163"/>
      <c r="AS464" s="163"/>
      <c r="AT464" s="163"/>
      <c r="AU464" s="163"/>
      <c r="AV464" s="163"/>
      <c r="AW464" s="163"/>
      <c r="AX464" s="163"/>
      <c r="AY464" s="170"/>
      <c r="AZ464" s="170"/>
      <c r="BA464" s="163"/>
    </row>
    <row r="465" ht="12.0" customHeight="1">
      <c r="A465" s="163"/>
      <c r="B465" s="163"/>
      <c r="C465" s="163"/>
      <c r="D465" s="163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9"/>
      <c r="AE465" s="163"/>
      <c r="AF465" s="163"/>
      <c r="AG465" s="163"/>
      <c r="AH465" s="163"/>
      <c r="AI465" s="163"/>
      <c r="AJ465" s="163"/>
      <c r="AK465" s="163"/>
      <c r="AL465" s="163"/>
      <c r="AM465" s="163"/>
      <c r="AN465" s="163"/>
      <c r="AO465" s="163"/>
      <c r="AP465" s="163"/>
      <c r="AQ465" s="163"/>
      <c r="AR465" s="163"/>
      <c r="AS465" s="163"/>
      <c r="AT465" s="163"/>
      <c r="AU465" s="163"/>
      <c r="AV465" s="163"/>
      <c r="AW465" s="163"/>
      <c r="AX465" s="163"/>
      <c r="AY465" s="170"/>
      <c r="AZ465" s="170"/>
      <c r="BA465" s="163"/>
    </row>
    <row r="466" ht="12.0" customHeight="1">
      <c r="A466" s="163"/>
      <c r="B466" s="163"/>
      <c r="C466" s="163"/>
      <c r="D466" s="163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9"/>
      <c r="AE466" s="163"/>
      <c r="AF466" s="163"/>
      <c r="AG466" s="163"/>
      <c r="AH466" s="163"/>
      <c r="AI466" s="163"/>
      <c r="AJ466" s="163"/>
      <c r="AK466" s="163"/>
      <c r="AL466" s="163"/>
      <c r="AM466" s="163"/>
      <c r="AN466" s="163"/>
      <c r="AO466" s="163"/>
      <c r="AP466" s="163"/>
      <c r="AQ466" s="163"/>
      <c r="AR466" s="163"/>
      <c r="AS466" s="163"/>
      <c r="AT466" s="163"/>
      <c r="AU466" s="163"/>
      <c r="AV466" s="163"/>
      <c r="AW466" s="163"/>
      <c r="AX466" s="163"/>
      <c r="AY466" s="170"/>
      <c r="AZ466" s="170"/>
      <c r="BA466" s="163"/>
    </row>
    <row r="467" ht="12.0" customHeight="1">
      <c r="A467" s="163"/>
      <c r="B467" s="163"/>
      <c r="C467" s="163"/>
      <c r="D467" s="163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9"/>
      <c r="AE467" s="163"/>
      <c r="AF467" s="163"/>
      <c r="AG467" s="163"/>
      <c r="AH467" s="163"/>
      <c r="AI467" s="163"/>
      <c r="AJ467" s="163"/>
      <c r="AK467" s="163"/>
      <c r="AL467" s="163"/>
      <c r="AM467" s="163"/>
      <c r="AN467" s="163"/>
      <c r="AO467" s="163"/>
      <c r="AP467" s="163"/>
      <c r="AQ467" s="163"/>
      <c r="AR467" s="163"/>
      <c r="AS467" s="163"/>
      <c r="AT467" s="163"/>
      <c r="AU467" s="163"/>
      <c r="AV467" s="163"/>
      <c r="AW467" s="163"/>
      <c r="AX467" s="163"/>
      <c r="AY467" s="170"/>
      <c r="AZ467" s="170"/>
      <c r="BA467" s="163"/>
    </row>
    <row r="468" ht="12.0" customHeight="1">
      <c r="A468" s="163"/>
      <c r="B468" s="163"/>
      <c r="C468" s="163"/>
      <c r="D468" s="163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9"/>
      <c r="AE468" s="163"/>
      <c r="AF468" s="163"/>
      <c r="AG468" s="163"/>
      <c r="AH468" s="163"/>
      <c r="AI468" s="163"/>
      <c r="AJ468" s="163"/>
      <c r="AK468" s="163"/>
      <c r="AL468" s="163"/>
      <c r="AM468" s="163"/>
      <c r="AN468" s="163"/>
      <c r="AO468" s="163"/>
      <c r="AP468" s="163"/>
      <c r="AQ468" s="163"/>
      <c r="AR468" s="163"/>
      <c r="AS468" s="163"/>
      <c r="AT468" s="163"/>
      <c r="AU468" s="163"/>
      <c r="AV468" s="163"/>
      <c r="AW468" s="163"/>
      <c r="AX468" s="163"/>
      <c r="AY468" s="170"/>
      <c r="AZ468" s="170"/>
      <c r="BA468" s="163"/>
    </row>
    <row r="469" ht="12.0" customHeight="1">
      <c r="A469" s="163"/>
      <c r="B469" s="163"/>
      <c r="C469" s="163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9"/>
      <c r="AE469" s="163"/>
      <c r="AF469" s="163"/>
      <c r="AG469" s="163"/>
      <c r="AH469" s="163"/>
      <c r="AI469" s="163"/>
      <c r="AJ469" s="163"/>
      <c r="AK469" s="163"/>
      <c r="AL469" s="163"/>
      <c r="AM469" s="163"/>
      <c r="AN469" s="163"/>
      <c r="AO469" s="163"/>
      <c r="AP469" s="163"/>
      <c r="AQ469" s="163"/>
      <c r="AR469" s="163"/>
      <c r="AS469" s="163"/>
      <c r="AT469" s="163"/>
      <c r="AU469" s="163"/>
      <c r="AV469" s="163"/>
      <c r="AW469" s="163"/>
      <c r="AX469" s="163"/>
      <c r="AY469" s="170"/>
      <c r="AZ469" s="170"/>
      <c r="BA469" s="163"/>
    </row>
    <row r="470" ht="12.0" customHeight="1">
      <c r="A470" s="163"/>
      <c r="B470" s="163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9"/>
      <c r="AE470" s="163"/>
      <c r="AF470" s="163"/>
      <c r="AG470" s="163"/>
      <c r="AH470" s="163"/>
      <c r="AI470" s="163"/>
      <c r="AJ470" s="163"/>
      <c r="AK470" s="163"/>
      <c r="AL470" s="163"/>
      <c r="AM470" s="163"/>
      <c r="AN470" s="163"/>
      <c r="AO470" s="163"/>
      <c r="AP470" s="163"/>
      <c r="AQ470" s="163"/>
      <c r="AR470" s="163"/>
      <c r="AS470" s="163"/>
      <c r="AT470" s="163"/>
      <c r="AU470" s="163"/>
      <c r="AV470" s="163"/>
      <c r="AW470" s="163"/>
      <c r="AX470" s="163"/>
      <c r="AY470" s="170"/>
      <c r="AZ470" s="170"/>
      <c r="BA470" s="163"/>
    </row>
    <row r="471" ht="12.0" customHeight="1">
      <c r="A471" s="163"/>
      <c r="B471" s="163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9"/>
      <c r="AE471" s="163"/>
      <c r="AF471" s="163"/>
      <c r="AG471" s="163"/>
      <c r="AH471" s="163"/>
      <c r="AI471" s="163"/>
      <c r="AJ471" s="163"/>
      <c r="AK471" s="163"/>
      <c r="AL471" s="163"/>
      <c r="AM471" s="163"/>
      <c r="AN471" s="163"/>
      <c r="AO471" s="163"/>
      <c r="AP471" s="163"/>
      <c r="AQ471" s="163"/>
      <c r="AR471" s="163"/>
      <c r="AS471" s="163"/>
      <c r="AT471" s="163"/>
      <c r="AU471" s="163"/>
      <c r="AV471" s="163"/>
      <c r="AW471" s="163"/>
      <c r="AX471" s="163"/>
      <c r="AY471" s="170"/>
      <c r="AZ471" s="170"/>
      <c r="BA471" s="163"/>
    </row>
    <row r="472" ht="12.0" customHeight="1">
      <c r="A472" s="163"/>
      <c r="B472" s="163"/>
      <c r="C472" s="163"/>
      <c r="D472" s="163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9"/>
      <c r="AE472" s="163"/>
      <c r="AF472" s="163"/>
      <c r="AG472" s="163"/>
      <c r="AH472" s="163"/>
      <c r="AI472" s="163"/>
      <c r="AJ472" s="163"/>
      <c r="AK472" s="163"/>
      <c r="AL472" s="163"/>
      <c r="AM472" s="163"/>
      <c r="AN472" s="163"/>
      <c r="AO472" s="163"/>
      <c r="AP472" s="163"/>
      <c r="AQ472" s="163"/>
      <c r="AR472" s="163"/>
      <c r="AS472" s="163"/>
      <c r="AT472" s="163"/>
      <c r="AU472" s="163"/>
      <c r="AV472" s="163"/>
      <c r="AW472" s="163"/>
      <c r="AX472" s="163"/>
      <c r="AY472" s="170"/>
      <c r="AZ472" s="170"/>
      <c r="BA472" s="163"/>
    </row>
    <row r="473" ht="12.0" customHeight="1">
      <c r="A473" s="163"/>
      <c r="B473" s="163"/>
      <c r="C473" s="163"/>
      <c r="D473" s="163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9"/>
      <c r="AE473" s="163"/>
      <c r="AF473" s="163"/>
      <c r="AG473" s="163"/>
      <c r="AH473" s="163"/>
      <c r="AI473" s="163"/>
      <c r="AJ473" s="163"/>
      <c r="AK473" s="163"/>
      <c r="AL473" s="163"/>
      <c r="AM473" s="163"/>
      <c r="AN473" s="163"/>
      <c r="AO473" s="163"/>
      <c r="AP473" s="163"/>
      <c r="AQ473" s="163"/>
      <c r="AR473" s="163"/>
      <c r="AS473" s="163"/>
      <c r="AT473" s="163"/>
      <c r="AU473" s="163"/>
      <c r="AV473" s="163"/>
      <c r="AW473" s="163"/>
      <c r="AX473" s="163"/>
      <c r="AY473" s="170"/>
      <c r="AZ473" s="170"/>
      <c r="BA473" s="163"/>
    </row>
    <row r="474" ht="12.0" customHeight="1">
      <c r="A474" s="163"/>
      <c r="B474" s="163"/>
      <c r="C474" s="163"/>
      <c r="D474" s="163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9"/>
      <c r="AE474" s="163"/>
      <c r="AF474" s="163"/>
      <c r="AG474" s="163"/>
      <c r="AH474" s="163"/>
      <c r="AI474" s="163"/>
      <c r="AJ474" s="163"/>
      <c r="AK474" s="163"/>
      <c r="AL474" s="163"/>
      <c r="AM474" s="163"/>
      <c r="AN474" s="163"/>
      <c r="AO474" s="163"/>
      <c r="AP474" s="163"/>
      <c r="AQ474" s="163"/>
      <c r="AR474" s="163"/>
      <c r="AS474" s="163"/>
      <c r="AT474" s="163"/>
      <c r="AU474" s="163"/>
      <c r="AV474" s="163"/>
      <c r="AW474" s="163"/>
      <c r="AX474" s="163"/>
      <c r="AY474" s="170"/>
      <c r="AZ474" s="170"/>
      <c r="BA474" s="163"/>
    </row>
    <row r="475" ht="12.0" customHeight="1">
      <c r="A475" s="163"/>
      <c r="B475" s="163"/>
      <c r="C475" s="163"/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9"/>
      <c r="AE475" s="163"/>
      <c r="AF475" s="163"/>
      <c r="AG475" s="163"/>
      <c r="AH475" s="163"/>
      <c r="AI475" s="163"/>
      <c r="AJ475" s="163"/>
      <c r="AK475" s="163"/>
      <c r="AL475" s="163"/>
      <c r="AM475" s="163"/>
      <c r="AN475" s="163"/>
      <c r="AO475" s="163"/>
      <c r="AP475" s="163"/>
      <c r="AQ475" s="163"/>
      <c r="AR475" s="163"/>
      <c r="AS475" s="163"/>
      <c r="AT475" s="163"/>
      <c r="AU475" s="163"/>
      <c r="AV475" s="163"/>
      <c r="AW475" s="163"/>
      <c r="AX475" s="163"/>
      <c r="AY475" s="170"/>
      <c r="AZ475" s="170"/>
      <c r="BA475" s="163"/>
    </row>
    <row r="476" ht="12.0" customHeight="1">
      <c r="A476" s="163"/>
      <c r="B476" s="163"/>
      <c r="C476" s="163"/>
      <c r="D476" s="163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9"/>
      <c r="AE476" s="163"/>
      <c r="AF476" s="163"/>
      <c r="AG476" s="163"/>
      <c r="AH476" s="163"/>
      <c r="AI476" s="163"/>
      <c r="AJ476" s="163"/>
      <c r="AK476" s="163"/>
      <c r="AL476" s="163"/>
      <c r="AM476" s="163"/>
      <c r="AN476" s="163"/>
      <c r="AO476" s="163"/>
      <c r="AP476" s="163"/>
      <c r="AQ476" s="163"/>
      <c r="AR476" s="163"/>
      <c r="AS476" s="163"/>
      <c r="AT476" s="163"/>
      <c r="AU476" s="163"/>
      <c r="AV476" s="163"/>
      <c r="AW476" s="163"/>
      <c r="AX476" s="163"/>
      <c r="AY476" s="170"/>
      <c r="AZ476" s="170"/>
      <c r="BA476" s="163"/>
    </row>
    <row r="477" ht="12.0" customHeight="1">
      <c r="A477" s="163"/>
      <c r="B477" s="163"/>
      <c r="C477" s="163"/>
      <c r="D477" s="163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9"/>
      <c r="AE477" s="163"/>
      <c r="AF477" s="163"/>
      <c r="AG477" s="163"/>
      <c r="AH477" s="163"/>
      <c r="AI477" s="163"/>
      <c r="AJ477" s="163"/>
      <c r="AK477" s="163"/>
      <c r="AL477" s="163"/>
      <c r="AM477" s="163"/>
      <c r="AN477" s="163"/>
      <c r="AO477" s="163"/>
      <c r="AP477" s="163"/>
      <c r="AQ477" s="163"/>
      <c r="AR477" s="163"/>
      <c r="AS477" s="163"/>
      <c r="AT477" s="163"/>
      <c r="AU477" s="163"/>
      <c r="AV477" s="163"/>
      <c r="AW477" s="163"/>
      <c r="AX477" s="163"/>
      <c r="AY477" s="170"/>
      <c r="AZ477" s="170"/>
      <c r="BA477" s="163"/>
    </row>
    <row r="478" ht="12.0" customHeight="1">
      <c r="A478" s="163"/>
      <c r="B478" s="163"/>
      <c r="C478" s="163"/>
      <c r="D478" s="163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9"/>
      <c r="AE478" s="163"/>
      <c r="AF478" s="163"/>
      <c r="AG478" s="163"/>
      <c r="AH478" s="163"/>
      <c r="AI478" s="163"/>
      <c r="AJ478" s="163"/>
      <c r="AK478" s="163"/>
      <c r="AL478" s="163"/>
      <c r="AM478" s="163"/>
      <c r="AN478" s="163"/>
      <c r="AO478" s="163"/>
      <c r="AP478" s="163"/>
      <c r="AQ478" s="163"/>
      <c r="AR478" s="163"/>
      <c r="AS478" s="163"/>
      <c r="AT478" s="163"/>
      <c r="AU478" s="163"/>
      <c r="AV478" s="163"/>
      <c r="AW478" s="163"/>
      <c r="AX478" s="163"/>
      <c r="AY478" s="170"/>
      <c r="AZ478" s="170"/>
      <c r="BA478" s="163"/>
    </row>
    <row r="479" ht="12.0" customHeight="1">
      <c r="A479" s="163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9"/>
      <c r="AE479" s="163"/>
      <c r="AF479" s="163"/>
      <c r="AG479" s="163"/>
      <c r="AH479" s="163"/>
      <c r="AI479" s="163"/>
      <c r="AJ479" s="163"/>
      <c r="AK479" s="163"/>
      <c r="AL479" s="163"/>
      <c r="AM479" s="163"/>
      <c r="AN479" s="163"/>
      <c r="AO479" s="163"/>
      <c r="AP479" s="163"/>
      <c r="AQ479" s="163"/>
      <c r="AR479" s="163"/>
      <c r="AS479" s="163"/>
      <c r="AT479" s="163"/>
      <c r="AU479" s="163"/>
      <c r="AV479" s="163"/>
      <c r="AW479" s="163"/>
      <c r="AX479" s="163"/>
      <c r="AY479" s="170"/>
      <c r="AZ479" s="170"/>
      <c r="BA479" s="163"/>
    </row>
    <row r="480" ht="12.0" customHeight="1">
      <c r="A480" s="163"/>
      <c r="B480" s="163"/>
      <c r="C480" s="163"/>
      <c r="D480" s="163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9"/>
      <c r="AE480" s="163"/>
      <c r="AF480" s="163"/>
      <c r="AG480" s="163"/>
      <c r="AH480" s="163"/>
      <c r="AI480" s="163"/>
      <c r="AJ480" s="163"/>
      <c r="AK480" s="163"/>
      <c r="AL480" s="163"/>
      <c r="AM480" s="163"/>
      <c r="AN480" s="163"/>
      <c r="AO480" s="163"/>
      <c r="AP480" s="163"/>
      <c r="AQ480" s="163"/>
      <c r="AR480" s="163"/>
      <c r="AS480" s="163"/>
      <c r="AT480" s="163"/>
      <c r="AU480" s="163"/>
      <c r="AV480" s="163"/>
      <c r="AW480" s="163"/>
      <c r="AX480" s="163"/>
      <c r="AY480" s="170"/>
      <c r="AZ480" s="170"/>
      <c r="BA480" s="163"/>
    </row>
    <row r="481" ht="12.0" customHeight="1">
      <c r="A481" s="163"/>
      <c r="B481" s="163"/>
      <c r="C481" s="163"/>
      <c r="D481" s="163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9"/>
      <c r="AE481" s="163"/>
      <c r="AF481" s="163"/>
      <c r="AG481" s="163"/>
      <c r="AH481" s="163"/>
      <c r="AI481" s="163"/>
      <c r="AJ481" s="163"/>
      <c r="AK481" s="163"/>
      <c r="AL481" s="163"/>
      <c r="AM481" s="163"/>
      <c r="AN481" s="163"/>
      <c r="AO481" s="163"/>
      <c r="AP481" s="163"/>
      <c r="AQ481" s="163"/>
      <c r="AR481" s="163"/>
      <c r="AS481" s="163"/>
      <c r="AT481" s="163"/>
      <c r="AU481" s="163"/>
      <c r="AV481" s="163"/>
      <c r="AW481" s="163"/>
      <c r="AX481" s="163"/>
      <c r="AY481" s="170"/>
      <c r="AZ481" s="170"/>
      <c r="BA481" s="163"/>
    </row>
    <row r="482" ht="12.0" customHeight="1">
      <c r="A482" s="163"/>
      <c r="B482" s="163"/>
      <c r="C482" s="163"/>
      <c r="D482" s="163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9"/>
      <c r="AE482" s="163"/>
      <c r="AF482" s="163"/>
      <c r="AG482" s="163"/>
      <c r="AH482" s="163"/>
      <c r="AI482" s="163"/>
      <c r="AJ482" s="163"/>
      <c r="AK482" s="163"/>
      <c r="AL482" s="163"/>
      <c r="AM482" s="163"/>
      <c r="AN482" s="163"/>
      <c r="AO482" s="163"/>
      <c r="AP482" s="163"/>
      <c r="AQ482" s="163"/>
      <c r="AR482" s="163"/>
      <c r="AS482" s="163"/>
      <c r="AT482" s="163"/>
      <c r="AU482" s="163"/>
      <c r="AV482" s="163"/>
      <c r="AW482" s="163"/>
      <c r="AX482" s="163"/>
      <c r="AY482" s="170"/>
      <c r="AZ482" s="170"/>
      <c r="BA482" s="163"/>
    </row>
    <row r="483" ht="12.0" customHeight="1">
      <c r="A483" s="163"/>
      <c r="B483" s="163"/>
      <c r="C483" s="163"/>
      <c r="D483" s="163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9"/>
      <c r="AE483" s="163"/>
      <c r="AF483" s="163"/>
      <c r="AG483" s="163"/>
      <c r="AH483" s="163"/>
      <c r="AI483" s="163"/>
      <c r="AJ483" s="163"/>
      <c r="AK483" s="163"/>
      <c r="AL483" s="163"/>
      <c r="AM483" s="163"/>
      <c r="AN483" s="163"/>
      <c r="AO483" s="163"/>
      <c r="AP483" s="163"/>
      <c r="AQ483" s="163"/>
      <c r="AR483" s="163"/>
      <c r="AS483" s="163"/>
      <c r="AT483" s="163"/>
      <c r="AU483" s="163"/>
      <c r="AV483" s="163"/>
      <c r="AW483" s="163"/>
      <c r="AX483" s="163"/>
      <c r="AY483" s="170"/>
      <c r="AZ483" s="170"/>
      <c r="BA483" s="163"/>
    </row>
    <row r="484" ht="12.0" customHeight="1">
      <c r="A484" s="163"/>
      <c r="B484" s="163"/>
      <c r="C484" s="163"/>
      <c r="D484" s="163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9"/>
      <c r="AE484" s="163"/>
      <c r="AF484" s="163"/>
      <c r="AG484" s="163"/>
      <c r="AH484" s="163"/>
      <c r="AI484" s="163"/>
      <c r="AJ484" s="163"/>
      <c r="AK484" s="163"/>
      <c r="AL484" s="163"/>
      <c r="AM484" s="163"/>
      <c r="AN484" s="163"/>
      <c r="AO484" s="163"/>
      <c r="AP484" s="163"/>
      <c r="AQ484" s="163"/>
      <c r="AR484" s="163"/>
      <c r="AS484" s="163"/>
      <c r="AT484" s="163"/>
      <c r="AU484" s="163"/>
      <c r="AV484" s="163"/>
      <c r="AW484" s="163"/>
      <c r="AX484" s="163"/>
      <c r="AY484" s="170"/>
      <c r="AZ484" s="170"/>
      <c r="BA484" s="163"/>
    </row>
    <row r="485" ht="12.0" customHeight="1">
      <c r="A485" s="163"/>
      <c r="B485" s="163"/>
      <c r="C485" s="163"/>
      <c r="D485" s="163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9"/>
      <c r="AE485" s="163"/>
      <c r="AF485" s="163"/>
      <c r="AG485" s="163"/>
      <c r="AH485" s="163"/>
      <c r="AI485" s="163"/>
      <c r="AJ485" s="163"/>
      <c r="AK485" s="163"/>
      <c r="AL485" s="163"/>
      <c r="AM485" s="163"/>
      <c r="AN485" s="163"/>
      <c r="AO485" s="163"/>
      <c r="AP485" s="163"/>
      <c r="AQ485" s="163"/>
      <c r="AR485" s="163"/>
      <c r="AS485" s="163"/>
      <c r="AT485" s="163"/>
      <c r="AU485" s="163"/>
      <c r="AV485" s="163"/>
      <c r="AW485" s="163"/>
      <c r="AX485" s="163"/>
      <c r="AY485" s="170"/>
      <c r="AZ485" s="170"/>
      <c r="BA485" s="163"/>
    </row>
    <row r="486" ht="12.0" customHeight="1">
      <c r="A486" s="163"/>
      <c r="B486" s="163"/>
      <c r="C486" s="163"/>
      <c r="D486" s="163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9"/>
      <c r="AE486" s="163"/>
      <c r="AF486" s="163"/>
      <c r="AG486" s="163"/>
      <c r="AH486" s="163"/>
      <c r="AI486" s="163"/>
      <c r="AJ486" s="163"/>
      <c r="AK486" s="163"/>
      <c r="AL486" s="163"/>
      <c r="AM486" s="163"/>
      <c r="AN486" s="163"/>
      <c r="AO486" s="163"/>
      <c r="AP486" s="163"/>
      <c r="AQ486" s="163"/>
      <c r="AR486" s="163"/>
      <c r="AS486" s="163"/>
      <c r="AT486" s="163"/>
      <c r="AU486" s="163"/>
      <c r="AV486" s="163"/>
      <c r="AW486" s="163"/>
      <c r="AX486" s="163"/>
      <c r="AY486" s="170"/>
      <c r="AZ486" s="170"/>
      <c r="BA486" s="163"/>
    </row>
    <row r="487" ht="12.0" customHeight="1">
      <c r="A487" s="163"/>
      <c r="B487" s="163"/>
      <c r="C487" s="163"/>
      <c r="D487" s="163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9"/>
      <c r="AE487" s="163"/>
      <c r="AF487" s="163"/>
      <c r="AG487" s="163"/>
      <c r="AH487" s="163"/>
      <c r="AI487" s="163"/>
      <c r="AJ487" s="163"/>
      <c r="AK487" s="163"/>
      <c r="AL487" s="163"/>
      <c r="AM487" s="163"/>
      <c r="AN487" s="163"/>
      <c r="AO487" s="163"/>
      <c r="AP487" s="163"/>
      <c r="AQ487" s="163"/>
      <c r="AR487" s="163"/>
      <c r="AS487" s="163"/>
      <c r="AT487" s="163"/>
      <c r="AU487" s="163"/>
      <c r="AV487" s="163"/>
      <c r="AW487" s="163"/>
      <c r="AX487" s="163"/>
      <c r="AY487" s="170"/>
      <c r="AZ487" s="170"/>
      <c r="BA487" s="163"/>
    </row>
    <row r="488" ht="12.0" customHeight="1">
      <c r="A488" s="163"/>
      <c r="B488" s="163"/>
      <c r="C488" s="163"/>
      <c r="D488" s="163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9"/>
      <c r="AE488" s="163"/>
      <c r="AF488" s="163"/>
      <c r="AG488" s="163"/>
      <c r="AH488" s="163"/>
      <c r="AI488" s="163"/>
      <c r="AJ488" s="163"/>
      <c r="AK488" s="163"/>
      <c r="AL488" s="163"/>
      <c r="AM488" s="163"/>
      <c r="AN488" s="163"/>
      <c r="AO488" s="163"/>
      <c r="AP488" s="163"/>
      <c r="AQ488" s="163"/>
      <c r="AR488" s="163"/>
      <c r="AS488" s="163"/>
      <c r="AT488" s="163"/>
      <c r="AU488" s="163"/>
      <c r="AV488" s="163"/>
      <c r="AW488" s="163"/>
      <c r="AX488" s="163"/>
      <c r="AY488" s="170"/>
      <c r="AZ488" s="170"/>
      <c r="BA488" s="163"/>
    </row>
    <row r="489" ht="12.0" customHeight="1">
      <c r="A489" s="163"/>
      <c r="B489" s="163"/>
      <c r="C489" s="163"/>
      <c r="D489" s="163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9"/>
      <c r="AE489" s="163"/>
      <c r="AF489" s="163"/>
      <c r="AG489" s="163"/>
      <c r="AH489" s="163"/>
      <c r="AI489" s="163"/>
      <c r="AJ489" s="163"/>
      <c r="AK489" s="163"/>
      <c r="AL489" s="163"/>
      <c r="AM489" s="163"/>
      <c r="AN489" s="163"/>
      <c r="AO489" s="163"/>
      <c r="AP489" s="163"/>
      <c r="AQ489" s="163"/>
      <c r="AR489" s="163"/>
      <c r="AS489" s="163"/>
      <c r="AT489" s="163"/>
      <c r="AU489" s="163"/>
      <c r="AV489" s="163"/>
      <c r="AW489" s="163"/>
      <c r="AX489" s="163"/>
      <c r="AY489" s="170"/>
      <c r="AZ489" s="170"/>
      <c r="BA489" s="163"/>
    </row>
    <row r="490" ht="12.0" customHeight="1">
      <c r="A490" s="163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9"/>
      <c r="AE490" s="163"/>
      <c r="AF490" s="163"/>
      <c r="AG490" s="163"/>
      <c r="AH490" s="163"/>
      <c r="AI490" s="163"/>
      <c r="AJ490" s="163"/>
      <c r="AK490" s="163"/>
      <c r="AL490" s="163"/>
      <c r="AM490" s="163"/>
      <c r="AN490" s="163"/>
      <c r="AO490" s="163"/>
      <c r="AP490" s="163"/>
      <c r="AQ490" s="163"/>
      <c r="AR490" s="163"/>
      <c r="AS490" s="163"/>
      <c r="AT490" s="163"/>
      <c r="AU490" s="163"/>
      <c r="AV490" s="163"/>
      <c r="AW490" s="163"/>
      <c r="AX490" s="163"/>
      <c r="AY490" s="170"/>
      <c r="AZ490" s="170"/>
      <c r="BA490" s="163"/>
    </row>
    <row r="491" ht="12.0" customHeight="1">
      <c r="A491" s="163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9"/>
      <c r="AE491" s="163"/>
      <c r="AF491" s="163"/>
      <c r="AG491" s="163"/>
      <c r="AH491" s="163"/>
      <c r="AI491" s="163"/>
      <c r="AJ491" s="163"/>
      <c r="AK491" s="163"/>
      <c r="AL491" s="163"/>
      <c r="AM491" s="163"/>
      <c r="AN491" s="163"/>
      <c r="AO491" s="163"/>
      <c r="AP491" s="163"/>
      <c r="AQ491" s="163"/>
      <c r="AR491" s="163"/>
      <c r="AS491" s="163"/>
      <c r="AT491" s="163"/>
      <c r="AU491" s="163"/>
      <c r="AV491" s="163"/>
      <c r="AW491" s="163"/>
      <c r="AX491" s="163"/>
      <c r="AY491" s="170"/>
      <c r="AZ491" s="170"/>
      <c r="BA491" s="163"/>
    </row>
    <row r="492" ht="12.0" customHeight="1">
      <c r="A492" s="163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9"/>
      <c r="AE492" s="163"/>
      <c r="AF492" s="163"/>
      <c r="AG492" s="163"/>
      <c r="AH492" s="163"/>
      <c r="AI492" s="163"/>
      <c r="AJ492" s="163"/>
      <c r="AK492" s="163"/>
      <c r="AL492" s="163"/>
      <c r="AM492" s="163"/>
      <c r="AN492" s="163"/>
      <c r="AO492" s="163"/>
      <c r="AP492" s="163"/>
      <c r="AQ492" s="163"/>
      <c r="AR492" s="163"/>
      <c r="AS492" s="163"/>
      <c r="AT492" s="163"/>
      <c r="AU492" s="163"/>
      <c r="AV492" s="163"/>
      <c r="AW492" s="163"/>
      <c r="AX492" s="163"/>
      <c r="AY492" s="170"/>
      <c r="AZ492" s="170"/>
      <c r="BA492" s="163"/>
    </row>
    <row r="493" ht="12.0" customHeight="1">
      <c r="A493" s="163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9"/>
      <c r="AE493" s="163"/>
      <c r="AF493" s="163"/>
      <c r="AG493" s="163"/>
      <c r="AH493" s="163"/>
      <c r="AI493" s="163"/>
      <c r="AJ493" s="163"/>
      <c r="AK493" s="163"/>
      <c r="AL493" s="163"/>
      <c r="AM493" s="163"/>
      <c r="AN493" s="163"/>
      <c r="AO493" s="163"/>
      <c r="AP493" s="163"/>
      <c r="AQ493" s="163"/>
      <c r="AR493" s="163"/>
      <c r="AS493" s="163"/>
      <c r="AT493" s="163"/>
      <c r="AU493" s="163"/>
      <c r="AV493" s="163"/>
      <c r="AW493" s="163"/>
      <c r="AX493" s="163"/>
      <c r="AY493" s="170"/>
      <c r="AZ493" s="170"/>
      <c r="BA493" s="163"/>
    </row>
    <row r="494" ht="12.0" customHeight="1">
      <c r="A494" s="163"/>
      <c r="B494" s="163"/>
      <c r="C494" s="163"/>
      <c r="D494" s="163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9"/>
      <c r="AE494" s="163"/>
      <c r="AF494" s="163"/>
      <c r="AG494" s="163"/>
      <c r="AH494" s="163"/>
      <c r="AI494" s="163"/>
      <c r="AJ494" s="163"/>
      <c r="AK494" s="163"/>
      <c r="AL494" s="163"/>
      <c r="AM494" s="163"/>
      <c r="AN494" s="163"/>
      <c r="AO494" s="163"/>
      <c r="AP494" s="163"/>
      <c r="AQ494" s="163"/>
      <c r="AR494" s="163"/>
      <c r="AS494" s="163"/>
      <c r="AT494" s="163"/>
      <c r="AU494" s="163"/>
      <c r="AV494" s="163"/>
      <c r="AW494" s="163"/>
      <c r="AX494" s="163"/>
      <c r="AY494" s="170"/>
      <c r="AZ494" s="170"/>
      <c r="BA494" s="163"/>
    </row>
    <row r="495" ht="12.0" customHeight="1">
      <c r="A495" s="163"/>
      <c r="B495" s="163"/>
      <c r="C495" s="163"/>
      <c r="D495" s="163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9"/>
      <c r="AE495" s="163"/>
      <c r="AF495" s="163"/>
      <c r="AG495" s="163"/>
      <c r="AH495" s="163"/>
      <c r="AI495" s="163"/>
      <c r="AJ495" s="163"/>
      <c r="AK495" s="163"/>
      <c r="AL495" s="163"/>
      <c r="AM495" s="163"/>
      <c r="AN495" s="163"/>
      <c r="AO495" s="163"/>
      <c r="AP495" s="163"/>
      <c r="AQ495" s="163"/>
      <c r="AR495" s="163"/>
      <c r="AS495" s="163"/>
      <c r="AT495" s="163"/>
      <c r="AU495" s="163"/>
      <c r="AV495" s="163"/>
      <c r="AW495" s="163"/>
      <c r="AX495" s="163"/>
      <c r="AY495" s="170"/>
      <c r="AZ495" s="170"/>
      <c r="BA495" s="163"/>
    </row>
    <row r="496" ht="12.0" customHeight="1">
      <c r="A496" s="163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9"/>
      <c r="AE496" s="163"/>
      <c r="AF496" s="163"/>
      <c r="AG496" s="163"/>
      <c r="AH496" s="163"/>
      <c r="AI496" s="163"/>
      <c r="AJ496" s="163"/>
      <c r="AK496" s="163"/>
      <c r="AL496" s="163"/>
      <c r="AM496" s="163"/>
      <c r="AN496" s="163"/>
      <c r="AO496" s="163"/>
      <c r="AP496" s="163"/>
      <c r="AQ496" s="163"/>
      <c r="AR496" s="163"/>
      <c r="AS496" s="163"/>
      <c r="AT496" s="163"/>
      <c r="AU496" s="163"/>
      <c r="AV496" s="163"/>
      <c r="AW496" s="163"/>
      <c r="AX496" s="163"/>
      <c r="AY496" s="170"/>
      <c r="AZ496" s="170"/>
      <c r="BA496" s="163"/>
    </row>
  </sheetData>
  <conditionalFormatting sqref="AT1:AT451">
    <cfRule type="cellIs" dxfId="0" priority="1" operator="lessThan">
      <formula>9</formula>
    </cfRule>
  </conditionalFormatting>
  <conditionalFormatting sqref="AT1:AT451">
    <cfRule type="cellIs" dxfId="0" priority="2" operator="greaterThan">
      <formula>15</formula>
    </cfRule>
  </conditionalFormatting>
  <conditionalFormatting sqref="G1:G496">
    <cfRule type="cellIs" dxfId="0" priority="3" operator="equal">
      <formula>"ACIMA"</formula>
    </cfRule>
  </conditionalFormatting>
  <conditionalFormatting sqref="AW1:AW496">
    <cfRule type="containsText" dxfId="1" priority="4" operator="containsText" text="PED COMPRA">
      <formula>NOT(ISERROR(SEARCH(("PED COMPRA"),(AW1))))</formula>
    </cfRule>
  </conditionalFormatting>
  <conditionalFormatting sqref="AX1:BA496">
    <cfRule type="containsText" dxfId="1" priority="5" operator="containsText" text="CONTRATO">
      <formula>NOT(ISERROR(SEARCH(("CONTRATO"),(AX1))))</formula>
    </cfRule>
  </conditionalFormatting>
  <conditionalFormatting sqref="AX1:BA496">
    <cfRule type="containsText" dxfId="1" priority="6" operator="containsText" text="PED COMPRA">
      <formula>NOT(ISERROR(SEARCH(("PED COMPRA"),(AX1))))</formula>
    </cfRule>
  </conditionalFormatting>
  <conditionalFormatting sqref="AY1:AY496">
    <cfRule type="containsText" dxfId="2" priority="7" operator="containsText" text="CHECAGEM">
      <formula>NOT(ISERROR(SEARCH(("CHECAGEM"),(AY1))))</formula>
    </cfRule>
  </conditionalFormatting>
  <hyperlinks>
    <hyperlink r:id="rId1" ref="O1"/>
    <hyperlink r:id="rId2" ref="P1"/>
    <hyperlink r:id="rId3" ref="Q1"/>
    <hyperlink r:id="rId4" ref="U1"/>
    <hyperlink r:id="rId5" ref="AE1"/>
    <hyperlink r:id="rId6" ref="AK1"/>
    <hyperlink r:id="rId7" ref="AN1"/>
  </hyperlinks>
  <printOptions/>
  <pageMargins bottom="0.7875" footer="0.0" header="0.0" left="0.511805555555555" right="0.511805555555555" top="0.7875"/>
  <pageSetup paperSize="9" orientation="portrait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112.14"/>
  </cols>
  <sheetData>
    <row r="1">
      <c r="A1" s="10">
        <v>1414.0</v>
      </c>
      <c r="B1" s="14" t="s">
        <v>18</v>
      </c>
    </row>
    <row r="2">
      <c r="A2" s="18" t="s">
        <v>20</v>
      </c>
      <c r="B2" s="22" t="s">
        <v>24</v>
      </c>
    </row>
    <row r="3">
      <c r="A3" s="26" t="s">
        <v>1</v>
      </c>
      <c r="B3" s="30" t="s">
        <v>30</v>
      </c>
      <c r="C3" s="38" t="s">
        <v>33</v>
      </c>
    </row>
    <row r="4">
      <c r="A4" s="26" t="s">
        <v>2</v>
      </c>
      <c r="B4" s="30" t="s">
        <v>43</v>
      </c>
    </row>
    <row r="5">
      <c r="A5" s="40" t="s">
        <v>3</v>
      </c>
      <c r="B5" s="30" t="s">
        <v>44</v>
      </c>
    </row>
    <row r="6">
      <c r="A6" s="44" t="s">
        <v>5</v>
      </c>
      <c r="B6" s="30" t="s">
        <v>46</v>
      </c>
    </row>
    <row r="7">
      <c r="A7" s="48" t="s">
        <v>31</v>
      </c>
      <c r="B7" s="30" t="s">
        <v>49</v>
      </c>
    </row>
    <row r="8">
      <c r="A8" s="26" t="s">
        <v>6</v>
      </c>
      <c r="B8" s="30" t="s">
        <v>50</v>
      </c>
    </row>
    <row r="9">
      <c r="A9" s="26" t="s">
        <v>7</v>
      </c>
      <c r="B9" s="30" t="s">
        <v>51</v>
      </c>
    </row>
    <row r="10">
      <c r="A10" s="26" t="s">
        <v>34</v>
      </c>
      <c r="B10" s="30" t="s">
        <v>52</v>
      </c>
    </row>
    <row r="11">
      <c r="A11" s="26" t="s">
        <v>35</v>
      </c>
      <c r="B11" s="30" t="s">
        <v>53</v>
      </c>
    </row>
    <row r="12">
      <c r="A12" s="54" t="s">
        <v>36</v>
      </c>
      <c r="B12" s="30" t="s">
        <v>59</v>
      </c>
    </row>
    <row r="13">
      <c r="A13" s="26" t="s">
        <v>37</v>
      </c>
      <c r="B13" s="30" t="s">
        <v>60</v>
      </c>
    </row>
    <row r="14">
      <c r="A14" s="54" t="s">
        <v>17</v>
      </c>
      <c r="B14" s="30" t="s">
        <v>62</v>
      </c>
    </row>
    <row r="15">
      <c r="A15" s="59" t="s">
        <v>19</v>
      </c>
      <c r="B15" s="30" t="s">
        <v>64</v>
      </c>
    </row>
    <row r="16">
      <c r="A16" s="59" t="s">
        <v>23</v>
      </c>
      <c r="B16" s="65" t="s">
        <v>65</v>
      </c>
    </row>
    <row r="17">
      <c r="A17" s="69" t="s">
        <v>11</v>
      </c>
      <c r="B17" s="30" t="s">
        <v>70</v>
      </c>
    </row>
    <row r="18">
      <c r="A18" s="73" t="s">
        <v>58</v>
      </c>
      <c r="B18" s="30" t="s">
        <v>73</v>
      </c>
    </row>
    <row r="19">
      <c r="A19" s="77" t="s">
        <v>13</v>
      </c>
      <c r="B19" s="30" t="s">
        <v>75</v>
      </c>
    </row>
    <row r="20">
      <c r="A20" s="83" t="s">
        <v>14</v>
      </c>
      <c r="B20" s="22" t="s">
        <v>81</v>
      </c>
    </row>
    <row r="21">
      <c r="A21" s="83" t="s">
        <v>15</v>
      </c>
      <c r="B21" s="30" t="s">
        <v>82</v>
      </c>
    </row>
    <row r="22">
      <c r="A22" s="83" t="s">
        <v>27</v>
      </c>
      <c r="B22" s="30" t="s">
        <v>84</v>
      </c>
    </row>
    <row r="23">
      <c r="A23" s="87" t="s">
        <v>28</v>
      </c>
      <c r="B23" s="30" t="s">
        <v>91</v>
      </c>
    </row>
    <row r="24">
      <c r="A24" s="90" t="s">
        <v>29</v>
      </c>
      <c r="B24" s="30" t="s">
        <v>97</v>
      </c>
    </row>
    <row r="25">
      <c r="A25" s="87" t="s">
        <v>32</v>
      </c>
      <c r="B25" s="30" t="s">
        <v>98</v>
      </c>
    </row>
    <row r="26">
      <c r="A26" s="87" t="s">
        <v>38</v>
      </c>
      <c r="B26" s="30" t="s">
        <v>99</v>
      </c>
    </row>
    <row r="27">
      <c r="A27" s="95" t="s">
        <v>100</v>
      </c>
      <c r="B27" s="100" t="s">
        <v>105</v>
      </c>
    </row>
    <row r="28">
      <c r="A28" s="103" t="s">
        <v>39</v>
      </c>
      <c r="B28" s="30" t="s">
        <v>109</v>
      </c>
    </row>
    <row r="29">
      <c r="A29" s="107" t="s">
        <v>4</v>
      </c>
      <c r="B29" s="30" t="s">
        <v>111</v>
      </c>
    </row>
    <row r="30">
      <c r="A30" s="18" t="s">
        <v>85</v>
      </c>
      <c r="B30" s="30" t="s">
        <v>112</v>
      </c>
    </row>
    <row r="31">
      <c r="A31" s="110" t="s">
        <v>61</v>
      </c>
      <c r="B31" s="30" t="s">
        <v>114</v>
      </c>
    </row>
    <row r="32">
      <c r="A32" s="113" t="s">
        <v>101</v>
      </c>
      <c r="B32" s="30" t="s">
        <v>116</v>
      </c>
    </row>
    <row r="33">
      <c r="A33" s="117" t="s">
        <v>117</v>
      </c>
      <c r="B33" s="30" t="s">
        <v>118</v>
      </c>
      <c r="C33" s="121" t="s">
        <v>119</v>
      </c>
    </row>
    <row r="34">
      <c r="A34" s="123" t="s">
        <v>54</v>
      </c>
      <c r="B34" s="38" t="s">
        <v>122</v>
      </c>
      <c r="C34" s="30" t="s">
        <v>33</v>
      </c>
    </row>
    <row r="35">
      <c r="A35" s="123" t="s">
        <v>42</v>
      </c>
      <c r="B35" s="38" t="s">
        <v>122</v>
      </c>
    </row>
    <row r="36">
      <c r="A36" s="113" t="s">
        <v>45</v>
      </c>
      <c r="B36" s="30" t="s">
        <v>123</v>
      </c>
    </row>
    <row r="37">
      <c r="A37" s="126" t="s">
        <v>56</v>
      </c>
      <c r="B37" s="30" t="s">
        <v>125</v>
      </c>
    </row>
    <row r="38">
      <c r="A38" s="129" t="s">
        <v>126</v>
      </c>
      <c r="B38" s="132" t="s">
        <v>128</v>
      </c>
    </row>
    <row r="39">
      <c r="A39" s="134" t="s">
        <v>67</v>
      </c>
      <c r="B39" s="30" t="s">
        <v>131</v>
      </c>
    </row>
    <row r="40">
      <c r="A40" s="136" t="s">
        <v>68</v>
      </c>
      <c r="B40" s="30" t="s">
        <v>133</v>
      </c>
    </row>
    <row r="41">
      <c r="A41" s="138" t="s">
        <v>134</v>
      </c>
      <c r="B41" s="100" t="s">
        <v>135</v>
      </c>
    </row>
    <row r="42">
      <c r="A42" s="144" t="s">
        <v>124</v>
      </c>
      <c r="B42" s="30" t="s">
        <v>139</v>
      </c>
    </row>
    <row r="43">
      <c r="A43" s="145" t="s">
        <v>127</v>
      </c>
      <c r="B43" s="30" t="s">
        <v>141</v>
      </c>
    </row>
    <row r="44">
      <c r="A44" s="148" t="s">
        <v>129</v>
      </c>
      <c r="B44" s="30" t="s">
        <v>144</v>
      </c>
    </row>
    <row r="45">
      <c r="A45" s="148" t="s">
        <v>130</v>
      </c>
      <c r="B45" s="30" t="s">
        <v>145</v>
      </c>
    </row>
    <row r="46">
      <c r="A46" s="150" t="s">
        <v>132</v>
      </c>
      <c r="B46" s="30" t="s">
        <v>146</v>
      </c>
    </row>
    <row r="47">
      <c r="A47" s="152" t="s">
        <v>71</v>
      </c>
      <c r="B47" s="30" t="s">
        <v>149</v>
      </c>
    </row>
    <row r="48">
      <c r="A48" s="152" t="s">
        <v>79</v>
      </c>
    </row>
    <row r="49">
      <c r="A49" s="154" t="s">
        <v>83</v>
      </c>
      <c r="B49" s="30" t="s">
        <v>152</v>
      </c>
    </row>
    <row r="50">
      <c r="A50" s="154" t="s">
        <v>136</v>
      </c>
      <c r="B50" s="30" t="s">
        <v>153</v>
      </c>
    </row>
    <row r="51">
      <c r="A51" s="154" t="s">
        <v>137</v>
      </c>
      <c r="B51" s="30" t="s">
        <v>154</v>
      </c>
    </row>
    <row r="52">
      <c r="A52" s="156"/>
    </row>
    <row r="53">
      <c r="A53" s="158" t="s">
        <v>157</v>
      </c>
    </row>
    <row r="54">
      <c r="A54" s="158" t="s">
        <v>159</v>
      </c>
    </row>
    <row r="55">
      <c r="A55" s="156"/>
    </row>
    <row r="56">
      <c r="A56" s="156"/>
    </row>
    <row r="57">
      <c r="A57" s="156"/>
    </row>
    <row r="58">
      <c r="A58" s="156"/>
    </row>
    <row r="59">
      <c r="A59" s="156"/>
    </row>
    <row r="60">
      <c r="A60" s="156"/>
    </row>
    <row r="61">
      <c r="A61" s="156"/>
    </row>
    <row r="62">
      <c r="A62" s="156"/>
    </row>
    <row r="63">
      <c r="A63" s="156"/>
    </row>
    <row r="64">
      <c r="A64" s="156"/>
    </row>
    <row r="65">
      <c r="A65" s="158" t="s">
        <v>160</v>
      </c>
    </row>
    <row r="66">
      <c r="A66" s="158" t="s">
        <v>161</v>
      </c>
    </row>
    <row r="67">
      <c r="A67" s="158" t="s">
        <v>162</v>
      </c>
    </row>
    <row r="68">
      <c r="A68" s="158" t="s">
        <v>163</v>
      </c>
    </row>
    <row r="69">
      <c r="A69" s="156"/>
    </row>
    <row r="70">
      <c r="A70" s="156"/>
    </row>
    <row r="71">
      <c r="A71" s="156"/>
    </row>
    <row r="72">
      <c r="A72" s="156"/>
    </row>
    <row r="73">
      <c r="A73" s="156"/>
    </row>
    <row r="74">
      <c r="A74" s="156"/>
    </row>
    <row r="75">
      <c r="A75" s="156"/>
    </row>
    <row r="76">
      <c r="A76" s="156"/>
    </row>
    <row r="77">
      <c r="A77" s="156"/>
    </row>
    <row r="78">
      <c r="A78" s="156"/>
    </row>
    <row r="79">
      <c r="A79" s="156"/>
    </row>
    <row r="80">
      <c r="A80" s="156"/>
    </row>
    <row r="81">
      <c r="A81" s="156"/>
    </row>
    <row r="82">
      <c r="A82" s="156"/>
    </row>
    <row r="83">
      <c r="A83" s="156"/>
    </row>
    <row r="84">
      <c r="A84" s="156"/>
    </row>
    <row r="85">
      <c r="A85" s="156"/>
    </row>
    <row r="86">
      <c r="A86" s="156"/>
    </row>
    <row r="87">
      <c r="A87" s="156"/>
    </row>
    <row r="88">
      <c r="A88" s="156"/>
    </row>
    <row r="89">
      <c r="A89" s="156"/>
    </row>
    <row r="90">
      <c r="A90" s="156"/>
    </row>
    <row r="91">
      <c r="A91" s="156"/>
    </row>
    <row r="92">
      <c r="A92" s="156"/>
    </row>
    <row r="93">
      <c r="A93" s="156"/>
    </row>
    <row r="94">
      <c r="A94" s="156"/>
    </row>
    <row r="95">
      <c r="A95" s="156"/>
    </row>
    <row r="96">
      <c r="A96" s="156"/>
    </row>
    <row r="97">
      <c r="A97" s="156"/>
    </row>
    <row r="98">
      <c r="A98" s="156"/>
    </row>
    <row r="99">
      <c r="A99" s="156"/>
    </row>
    <row r="100">
      <c r="A100" s="156"/>
    </row>
    <row r="101">
      <c r="A101" s="156"/>
    </row>
    <row r="102">
      <c r="A102" s="156"/>
    </row>
    <row r="103">
      <c r="A103" s="156"/>
    </row>
    <row r="104">
      <c r="A104" s="156"/>
    </row>
    <row r="105">
      <c r="A105" s="156"/>
    </row>
    <row r="106">
      <c r="A106" s="156"/>
    </row>
    <row r="107">
      <c r="A107" s="156"/>
    </row>
    <row r="108">
      <c r="A108" s="156"/>
    </row>
    <row r="109">
      <c r="A109" s="156"/>
    </row>
    <row r="110">
      <c r="A110" s="156"/>
    </row>
    <row r="111">
      <c r="A111" s="156"/>
    </row>
    <row r="112">
      <c r="A112" s="156"/>
    </row>
    <row r="113">
      <c r="A113" s="156"/>
    </row>
    <row r="114">
      <c r="A114" s="156"/>
    </row>
    <row r="115">
      <c r="A115" s="156"/>
    </row>
    <row r="116">
      <c r="A116" s="156"/>
    </row>
    <row r="117">
      <c r="A117" s="156"/>
    </row>
    <row r="118">
      <c r="A118" s="156"/>
    </row>
    <row r="119">
      <c r="A119" s="156"/>
    </row>
    <row r="120">
      <c r="A120" s="156"/>
    </row>
    <row r="121">
      <c r="A121" s="156"/>
    </row>
    <row r="122">
      <c r="A122" s="156"/>
    </row>
    <row r="123">
      <c r="A123" s="156"/>
    </row>
    <row r="124">
      <c r="A124" s="156"/>
    </row>
    <row r="125">
      <c r="A125" s="156"/>
    </row>
    <row r="126">
      <c r="A126" s="156"/>
    </row>
    <row r="127">
      <c r="A127" s="156"/>
    </row>
    <row r="128">
      <c r="A128" s="156"/>
    </row>
    <row r="129">
      <c r="A129" s="156"/>
    </row>
    <row r="130">
      <c r="A130" s="156"/>
    </row>
    <row r="131">
      <c r="A131" s="156"/>
    </row>
    <row r="132">
      <c r="A132" s="156"/>
    </row>
    <row r="133">
      <c r="A133" s="156"/>
    </row>
    <row r="134">
      <c r="A134" s="156"/>
    </row>
    <row r="135">
      <c r="A135" s="156"/>
    </row>
    <row r="136">
      <c r="A136" s="156"/>
    </row>
    <row r="137">
      <c r="A137" s="156"/>
    </row>
    <row r="138">
      <c r="A138" s="156"/>
    </row>
    <row r="139">
      <c r="A139" s="156"/>
    </row>
    <row r="140">
      <c r="A140" s="156"/>
    </row>
    <row r="141">
      <c r="A141" s="156"/>
    </row>
    <row r="142">
      <c r="A142" s="156"/>
    </row>
    <row r="143">
      <c r="A143" s="156"/>
    </row>
    <row r="144">
      <c r="A144" s="156"/>
    </row>
    <row r="145">
      <c r="A145" s="156"/>
    </row>
    <row r="146">
      <c r="A146" s="156"/>
    </row>
    <row r="147">
      <c r="A147" s="156"/>
    </row>
    <row r="148">
      <c r="A148" s="156"/>
    </row>
    <row r="149">
      <c r="A149" s="156"/>
    </row>
    <row r="150">
      <c r="A150" s="156"/>
    </row>
    <row r="151">
      <c r="A151" s="156"/>
    </row>
    <row r="152">
      <c r="A152" s="156"/>
    </row>
    <row r="153">
      <c r="A153" s="156"/>
    </row>
    <row r="154">
      <c r="A154" s="156"/>
    </row>
    <row r="155">
      <c r="A155" s="156"/>
    </row>
    <row r="156">
      <c r="A156" s="156"/>
    </row>
    <row r="157">
      <c r="A157" s="156"/>
    </row>
    <row r="158">
      <c r="A158" s="156"/>
    </row>
    <row r="159">
      <c r="A159" s="156"/>
    </row>
    <row r="160">
      <c r="A160" s="156"/>
    </row>
    <row r="161">
      <c r="A161" s="156"/>
    </row>
    <row r="162">
      <c r="A162" s="156"/>
    </row>
    <row r="163">
      <c r="A163" s="156"/>
    </row>
    <row r="164">
      <c r="A164" s="156"/>
    </row>
    <row r="165">
      <c r="A165" s="156"/>
    </row>
    <row r="166">
      <c r="A166" s="156"/>
    </row>
    <row r="167">
      <c r="A167" s="156"/>
    </row>
    <row r="168">
      <c r="A168" s="156"/>
    </row>
    <row r="169">
      <c r="A169" s="156"/>
    </row>
    <row r="170">
      <c r="A170" s="156"/>
    </row>
    <row r="171">
      <c r="A171" s="156"/>
    </row>
    <row r="172">
      <c r="A172" s="156"/>
    </row>
    <row r="173">
      <c r="A173" s="156"/>
    </row>
    <row r="174">
      <c r="A174" s="156"/>
    </row>
    <row r="175">
      <c r="A175" s="156"/>
    </row>
    <row r="176">
      <c r="A176" s="156"/>
    </row>
    <row r="177">
      <c r="A177" s="156"/>
    </row>
    <row r="178">
      <c r="A178" s="156"/>
    </row>
    <row r="179">
      <c r="A179" s="156"/>
    </row>
    <row r="180">
      <c r="A180" s="156"/>
    </row>
    <row r="181">
      <c r="A181" s="156"/>
    </row>
    <row r="182">
      <c r="A182" s="156"/>
    </row>
    <row r="183">
      <c r="A183" s="156"/>
    </row>
    <row r="184">
      <c r="A184" s="156"/>
    </row>
    <row r="185">
      <c r="A185" s="156"/>
    </row>
    <row r="186">
      <c r="A186" s="156"/>
    </row>
    <row r="187">
      <c r="A187" s="156"/>
    </row>
    <row r="188">
      <c r="A188" s="156"/>
    </row>
    <row r="189">
      <c r="A189" s="156"/>
    </row>
    <row r="190">
      <c r="A190" s="156"/>
    </row>
    <row r="191">
      <c r="A191" s="156"/>
    </row>
    <row r="192">
      <c r="A192" s="156"/>
    </row>
    <row r="193">
      <c r="A193" s="156"/>
    </row>
    <row r="194">
      <c r="A194" s="156"/>
    </row>
    <row r="195">
      <c r="A195" s="156"/>
    </row>
    <row r="196">
      <c r="A196" s="156"/>
    </row>
    <row r="197">
      <c r="A197" s="156"/>
    </row>
    <row r="198">
      <c r="A198" s="156"/>
    </row>
    <row r="199">
      <c r="A199" s="156"/>
    </row>
    <row r="200">
      <c r="A200" s="156"/>
    </row>
    <row r="201">
      <c r="A201" s="156"/>
    </row>
    <row r="202">
      <c r="A202" s="156"/>
    </row>
    <row r="203">
      <c r="A203" s="156"/>
    </row>
    <row r="204">
      <c r="A204" s="156"/>
    </row>
    <row r="205">
      <c r="A205" s="156"/>
    </row>
    <row r="206">
      <c r="A206" s="156"/>
    </row>
    <row r="207">
      <c r="A207" s="156"/>
    </row>
    <row r="208">
      <c r="A208" s="156"/>
    </row>
    <row r="209">
      <c r="A209" s="156"/>
    </row>
    <row r="210">
      <c r="A210" s="156"/>
    </row>
    <row r="211">
      <c r="A211" s="156"/>
    </row>
    <row r="212">
      <c r="A212" s="156"/>
    </row>
    <row r="213">
      <c r="A213" s="156"/>
    </row>
    <row r="214">
      <c r="A214" s="156"/>
    </row>
    <row r="215">
      <c r="A215" s="156"/>
    </row>
    <row r="216">
      <c r="A216" s="156"/>
    </row>
    <row r="217">
      <c r="A217" s="156"/>
    </row>
    <row r="218">
      <c r="A218" s="156"/>
    </row>
    <row r="219">
      <c r="A219" s="156"/>
    </row>
    <row r="220">
      <c r="A220" s="156"/>
    </row>
    <row r="221">
      <c r="A221" s="156"/>
    </row>
    <row r="222">
      <c r="A222" s="156"/>
    </row>
    <row r="223">
      <c r="A223" s="156"/>
    </row>
    <row r="224">
      <c r="A224" s="156"/>
    </row>
    <row r="225">
      <c r="A225" s="156"/>
    </row>
    <row r="226">
      <c r="A226" s="156"/>
    </row>
    <row r="227">
      <c r="A227" s="156"/>
    </row>
    <row r="228">
      <c r="A228" s="156"/>
    </row>
    <row r="229">
      <c r="A229" s="156"/>
    </row>
    <row r="230">
      <c r="A230" s="156"/>
    </row>
    <row r="231">
      <c r="A231" s="156"/>
    </row>
    <row r="232">
      <c r="A232" s="156"/>
    </row>
    <row r="233">
      <c r="A233" s="156"/>
    </row>
    <row r="234">
      <c r="A234" s="156"/>
    </row>
    <row r="235">
      <c r="A235" s="156"/>
    </row>
    <row r="236">
      <c r="A236" s="156"/>
    </row>
    <row r="237">
      <c r="A237" s="156"/>
    </row>
    <row r="238">
      <c r="A238" s="156"/>
    </row>
    <row r="239">
      <c r="A239" s="156"/>
    </row>
    <row r="240">
      <c r="A240" s="156"/>
    </row>
    <row r="241">
      <c r="A241" s="156"/>
    </row>
    <row r="242">
      <c r="A242" s="156"/>
    </row>
    <row r="243">
      <c r="A243" s="156"/>
    </row>
    <row r="244">
      <c r="A244" s="156"/>
    </row>
    <row r="245">
      <c r="A245" s="156"/>
    </row>
    <row r="246">
      <c r="A246" s="156"/>
    </row>
    <row r="247">
      <c r="A247" s="156"/>
    </row>
    <row r="248">
      <c r="A248" s="156"/>
    </row>
    <row r="249">
      <c r="A249" s="156"/>
    </row>
    <row r="250">
      <c r="A250" s="156"/>
    </row>
    <row r="251">
      <c r="A251" s="156"/>
    </row>
    <row r="252">
      <c r="A252" s="156"/>
    </row>
    <row r="253">
      <c r="A253" s="156"/>
    </row>
    <row r="254">
      <c r="A254" s="156"/>
    </row>
    <row r="255">
      <c r="A255" s="156"/>
    </row>
    <row r="256">
      <c r="A256" s="156"/>
    </row>
    <row r="257">
      <c r="A257" s="156"/>
    </row>
    <row r="258">
      <c r="A258" s="156"/>
    </row>
    <row r="259">
      <c r="A259" s="156"/>
    </row>
    <row r="260">
      <c r="A260" s="156"/>
    </row>
    <row r="261">
      <c r="A261" s="156"/>
    </row>
    <row r="262">
      <c r="A262" s="156"/>
    </row>
    <row r="263">
      <c r="A263" s="156"/>
    </row>
    <row r="264">
      <c r="A264" s="156"/>
    </row>
    <row r="265">
      <c r="A265" s="156"/>
    </row>
    <row r="266">
      <c r="A266" s="156"/>
    </row>
    <row r="267">
      <c r="A267" s="156"/>
    </row>
    <row r="268">
      <c r="A268" s="156"/>
    </row>
    <row r="269">
      <c r="A269" s="156"/>
    </row>
    <row r="270">
      <c r="A270" s="156"/>
    </row>
    <row r="271">
      <c r="A271" s="156"/>
    </row>
    <row r="272">
      <c r="A272" s="156"/>
    </row>
    <row r="273">
      <c r="A273" s="156"/>
    </row>
    <row r="274">
      <c r="A274" s="156"/>
    </row>
    <row r="275">
      <c r="A275" s="156"/>
    </row>
    <row r="276">
      <c r="A276" s="156"/>
    </row>
    <row r="277">
      <c r="A277" s="156"/>
    </row>
    <row r="278">
      <c r="A278" s="156"/>
    </row>
    <row r="279">
      <c r="A279" s="156"/>
    </row>
    <row r="280">
      <c r="A280" s="156"/>
    </row>
    <row r="281">
      <c r="A281" s="156"/>
    </row>
    <row r="282">
      <c r="A282" s="156"/>
    </row>
    <row r="283">
      <c r="A283" s="156"/>
    </row>
    <row r="284">
      <c r="A284" s="156"/>
    </row>
    <row r="285">
      <c r="A285" s="156"/>
    </row>
    <row r="286">
      <c r="A286" s="156"/>
    </row>
    <row r="287">
      <c r="A287" s="156"/>
    </row>
    <row r="288">
      <c r="A288" s="156"/>
    </row>
    <row r="289">
      <c r="A289" s="156"/>
    </row>
    <row r="290">
      <c r="A290" s="156"/>
    </row>
    <row r="291">
      <c r="A291" s="156"/>
    </row>
    <row r="292">
      <c r="A292" s="156"/>
    </row>
    <row r="293">
      <c r="A293" s="156"/>
    </row>
    <row r="294">
      <c r="A294" s="156"/>
    </row>
    <row r="295">
      <c r="A295" s="156"/>
    </row>
    <row r="296">
      <c r="A296" s="156"/>
    </row>
    <row r="297">
      <c r="A297" s="156"/>
    </row>
    <row r="298">
      <c r="A298" s="156"/>
    </row>
    <row r="299">
      <c r="A299" s="156"/>
    </row>
    <row r="300">
      <c r="A300" s="156"/>
    </row>
    <row r="301">
      <c r="A301" s="156"/>
    </row>
    <row r="302">
      <c r="A302" s="156"/>
    </row>
    <row r="303">
      <c r="A303" s="156"/>
    </row>
    <row r="304">
      <c r="A304" s="156"/>
    </row>
    <row r="305">
      <c r="A305" s="156"/>
    </row>
    <row r="306">
      <c r="A306" s="156"/>
    </row>
    <row r="307">
      <c r="A307" s="156"/>
    </row>
    <row r="308">
      <c r="A308" s="156"/>
    </row>
    <row r="309">
      <c r="A309" s="156"/>
    </row>
    <row r="310">
      <c r="A310" s="156"/>
    </row>
    <row r="311">
      <c r="A311" s="156"/>
    </row>
    <row r="312">
      <c r="A312" s="156"/>
    </row>
    <row r="313">
      <c r="A313" s="156"/>
    </row>
    <row r="314">
      <c r="A314" s="156"/>
    </row>
    <row r="315">
      <c r="A315" s="156"/>
    </row>
    <row r="316">
      <c r="A316" s="156"/>
    </row>
    <row r="317">
      <c r="A317" s="156"/>
    </row>
    <row r="318">
      <c r="A318" s="156"/>
    </row>
    <row r="319">
      <c r="A319" s="156"/>
    </row>
    <row r="320">
      <c r="A320" s="156"/>
    </row>
    <row r="321">
      <c r="A321" s="156"/>
    </row>
    <row r="322">
      <c r="A322" s="156"/>
    </row>
    <row r="323">
      <c r="A323" s="156"/>
    </row>
    <row r="324">
      <c r="A324" s="156"/>
    </row>
    <row r="325">
      <c r="A325" s="156"/>
    </row>
    <row r="326">
      <c r="A326" s="156"/>
    </row>
    <row r="327">
      <c r="A327" s="156"/>
    </row>
    <row r="328">
      <c r="A328" s="156"/>
    </row>
    <row r="329">
      <c r="A329" s="156"/>
    </row>
    <row r="330">
      <c r="A330" s="156"/>
    </row>
    <row r="331">
      <c r="A331" s="156"/>
    </row>
    <row r="332">
      <c r="A332" s="156"/>
    </row>
    <row r="333">
      <c r="A333" s="156"/>
    </row>
    <row r="334">
      <c r="A334" s="156"/>
    </row>
    <row r="335">
      <c r="A335" s="156"/>
    </row>
    <row r="336">
      <c r="A336" s="156"/>
    </row>
    <row r="337">
      <c r="A337" s="156"/>
    </row>
    <row r="338">
      <c r="A338" s="156"/>
    </row>
    <row r="339">
      <c r="A339" s="156"/>
    </row>
    <row r="340">
      <c r="A340" s="156"/>
    </row>
    <row r="341">
      <c r="A341" s="156"/>
    </row>
    <row r="342">
      <c r="A342" s="156"/>
    </row>
    <row r="343">
      <c r="A343" s="156"/>
    </row>
    <row r="344">
      <c r="A344" s="156"/>
    </row>
    <row r="345">
      <c r="A345" s="156"/>
    </row>
    <row r="346">
      <c r="A346" s="156"/>
    </row>
    <row r="347">
      <c r="A347" s="156"/>
    </row>
    <row r="348">
      <c r="A348" s="156"/>
    </row>
    <row r="349">
      <c r="A349" s="156"/>
    </row>
    <row r="350">
      <c r="A350" s="156"/>
    </row>
    <row r="351">
      <c r="A351" s="156"/>
    </row>
    <row r="352">
      <c r="A352" s="156"/>
    </row>
    <row r="353">
      <c r="A353" s="156"/>
    </row>
    <row r="354">
      <c r="A354" s="156"/>
    </row>
    <row r="355">
      <c r="A355" s="156"/>
    </row>
    <row r="356">
      <c r="A356" s="156"/>
    </row>
    <row r="357">
      <c r="A357" s="156"/>
    </row>
    <row r="358">
      <c r="A358" s="156"/>
    </row>
    <row r="359">
      <c r="A359" s="156"/>
    </row>
    <row r="360">
      <c r="A360" s="156"/>
    </row>
    <row r="361">
      <c r="A361" s="156"/>
    </row>
    <row r="362">
      <c r="A362" s="156"/>
    </row>
    <row r="363">
      <c r="A363" s="156"/>
    </row>
    <row r="364">
      <c r="A364" s="156"/>
    </row>
    <row r="365">
      <c r="A365" s="156"/>
    </row>
    <row r="366">
      <c r="A366" s="156"/>
    </row>
    <row r="367">
      <c r="A367" s="156"/>
    </row>
    <row r="368">
      <c r="A368" s="156"/>
    </row>
    <row r="369">
      <c r="A369" s="156"/>
    </row>
    <row r="370">
      <c r="A370" s="156"/>
    </row>
    <row r="371">
      <c r="A371" s="156"/>
    </row>
    <row r="372">
      <c r="A372" s="156"/>
    </row>
    <row r="373">
      <c r="A373" s="156"/>
    </row>
    <row r="374">
      <c r="A374" s="156"/>
    </row>
    <row r="375">
      <c r="A375" s="156"/>
    </row>
    <row r="376">
      <c r="A376" s="156"/>
    </row>
    <row r="377">
      <c r="A377" s="156"/>
    </row>
    <row r="378">
      <c r="A378" s="156"/>
    </row>
    <row r="379">
      <c r="A379" s="156"/>
    </row>
    <row r="380">
      <c r="A380" s="156"/>
    </row>
    <row r="381">
      <c r="A381" s="156"/>
    </row>
    <row r="382">
      <c r="A382" s="156"/>
    </row>
    <row r="383">
      <c r="A383" s="156"/>
    </row>
    <row r="384">
      <c r="A384" s="156"/>
    </row>
    <row r="385">
      <c r="A385" s="156"/>
    </row>
    <row r="386">
      <c r="A386" s="156"/>
    </row>
    <row r="387">
      <c r="A387" s="156"/>
    </row>
    <row r="388">
      <c r="A388" s="156"/>
    </row>
    <row r="389">
      <c r="A389" s="156"/>
    </row>
    <row r="390">
      <c r="A390" s="156"/>
    </row>
    <row r="391">
      <c r="A391" s="156"/>
    </row>
    <row r="392">
      <c r="A392" s="156"/>
    </row>
    <row r="393">
      <c r="A393" s="156"/>
    </row>
    <row r="394">
      <c r="A394" s="156"/>
    </row>
    <row r="395">
      <c r="A395" s="156"/>
    </row>
    <row r="396">
      <c r="A396" s="156"/>
    </row>
    <row r="397">
      <c r="A397" s="156"/>
    </row>
    <row r="398">
      <c r="A398" s="156"/>
    </row>
    <row r="399">
      <c r="A399" s="156"/>
    </row>
    <row r="400">
      <c r="A400" s="156"/>
    </row>
    <row r="401">
      <c r="A401" s="156"/>
    </row>
    <row r="402">
      <c r="A402" s="156"/>
    </row>
    <row r="403">
      <c r="A403" s="156"/>
    </row>
    <row r="404">
      <c r="A404" s="156"/>
    </row>
    <row r="405">
      <c r="A405" s="156"/>
    </row>
    <row r="406">
      <c r="A406" s="156"/>
    </row>
    <row r="407">
      <c r="A407" s="156"/>
    </row>
    <row r="408">
      <c r="A408" s="156"/>
    </row>
    <row r="409">
      <c r="A409" s="156"/>
    </row>
    <row r="410">
      <c r="A410" s="156"/>
    </row>
    <row r="411">
      <c r="A411" s="156"/>
    </row>
    <row r="412">
      <c r="A412" s="156"/>
    </row>
    <row r="413">
      <c r="A413" s="156"/>
    </row>
    <row r="414">
      <c r="A414" s="156"/>
    </row>
    <row r="415">
      <c r="A415" s="156"/>
    </row>
    <row r="416">
      <c r="A416" s="156"/>
    </row>
    <row r="417">
      <c r="A417" s="156"/>
    </row>
    <row r="418">
      <c r="A418" s="156"/>
    </row>
    <row r="419">
      <c r="A419" s="156"/>
    </row>
    <row r="420">
      <c r="A420" s="156"/>
    </row>
    <row r="421">
      <c r="A421" s="156"/>
    </row>
    <row r="422">
      <c r="A422" s="156"/>
    </row>
    <row r="423">
      <c r="A423" s="156"/>
    </row>
    <row r="424">
      <c r="A424" s="156"/>
    </row>
    <row r="425">
      <c r="A425" s="156"/>
    </row>
    <row r="426">
      <c r="A426" s="156"/>
    </row>
    <row r="427">
      <c r="A427" s="156"/>
    </row>
    <row r="428">
      <c r="A428" s="156"/>
    </row>
    <row r="429">
      <c r="A429" s="156"/>
    </row>
    <row r="430">
      <c r="A430" s="156"/>
    </row>
    <row r="431">
      <c r="A431" s="156"/>
    </row>
    <row r="432">
      <c r="A432" s="156"/>
    </row>
    <row r="433">
      <c r="A433" s="156"/>
    </row>
    <row r="434">
      <c r="A434" s="156"/>
    </row>
    <row r="435">
      <c r="A435" s="156"/>
    </row>
    <row r="436">
      <c r="A436" s="156"/>
    </row>
    <row r="437">
      <c r="A437" s="156"/>
    </row>
    <row r="438">
      <c r="A438" s="156"/>
    </row>
    <row r="439">
      <c r="A439" s="156"/>
    </row>
    <row r="440">
      <c r="A440" s="156"/>
    </row>
    <row r="441">
      <c r="A441" s="156"/>
    </row>
    <row r="442">
      <c r="A442" s="156"/>
    </row>
    <row r="443">
      <c r="A443" s="156"/>
    </row>
    <row r="444">
      <c r="A444" s="156"/>
    </row>
    <row r="445">
      <c r="A445" s="156"/>
    </row>
    <row r="446">
      <c r="A446" s="156"/>
    </row>
    <row r="447">
      <c r="A447" s="156"/>
    </row>
    <row r="448">
      <c r="A448" s="156"/>
    </row>
    <row r="449">
      <c r="A449" s="156"/>
    </row>
    <row r="450">
      <c r="A450" s="156"/>
    </row>
    <row r="451">
      <c r="A451" s="156"/>
    </row>
    <row r="452">
      <c r="A452" s="156"/>
    </row>
    <row r="453">
      <c r="A453" s="156"/>
    </row>
    <row r="454">
      <c r="A454" s="156"/>
    </row>
    <row r="455">
      <c r="A455" s="156"/>
    </row>
    <row r="456">
      <c r="A456" s="156"/>
    </row>
    <row r="457">
      <c r="A457" s="156"/>
    </row>
    <row r="458">
      <c r="A458" s="156"/>
    </row>
    <row r="459">
      <c r="A459" s="156"/>
    </row>
    <row r="460">
      <c r="A460" s="156"/>
    </row>
    <row r="461">
      <c r="A461" s="156"/>
    </row>
    <row r="462">
      <c r="A462" s="156"/>
    </row>
    <row r="463">
      <c r="A463" s="156"/>
    </row>
    <row r="464">
      <c r="A464" s="156"/>
    </row>
    <row r="465">
      <c r="A465" s="156"/>
    </row>
    <row r="466">
      <c r="A466" s="156"/>
    </row>
    <row r="467">
      <c r="A467" s="156"/>
    </row>
    <row r="468">
      <c r="A468" s="156"/>
    </row>
    <row r="469">
      <c r="A469" s="156"/>
    </row>
    <row r="470">
      <c r="A470" s="156"/>
    </row>
    <row r="471">
      <c r="A471" s="156"/>
    </row>
    <row r="472">
      <c r="A472" s="156"/>
    </row>
    <row r="473">
      <c r="A473" s="156"/>
    </row>
    <row r="474">
      <c r="A474" s="156"/>
    </row>
    <row r="475">
      <c r="A475" s="156"/>
    </row>
    <row r="476">
      <c r="A476" s="156"/>
    </row>
    <row r="477">
      <c r="A477" s="156"/>
    </row>
    <row r="478">
      <c r="A478" s="156"/>
    </row>
    <row r="479">
      <c r="A479" s="156"/>
    </row>
    <row r="480">
      <c r="A480" s="156"/>
    </row>
    <row r="481">
      <c r="A481" s="156"/>
    </row>
    <row r="482">
      <c r="A482" s="156"/>
    </row>
    <row r="483">
      <c r="A483" s="156"/>
    </row>
    <row r="484">
      <c r="A484" s="156"/>
    </row>
    <row r="485">
      <c r="A485" s="156"/>
    </row>
    <row r="486">
      <c r="A486" s="156"/>
    </row>
    <row r="487">
      <c r="A487" s="156"/>
    </row>
    <row r="488">
      <c r="A488" s="156"/>
    </row>
    <row r="489">
      <c r="A489" s="156"/>
    </row>
    <row r="490">
      <c r="A490" s="156"/>
    </row>
    <row r="491">
      <c r="A491" s="156"/>
    </row>
    <row r="492">
      <c r="A492" s="156"/>
    </row>
    <row r="493">
      <c r="A493" s="156"/>
    </row>
    <row r="494">
      <c r="A494" s="156"/>
    </row>
    <row r="495">
      <c r="A495" s="156"/>
    </row>
    <row r="496">
      <c r="A496" s="156"/>
    </row>
    <row r="497">
      <c r="A497" s="156"/>
    </row>
    <row r="498">
      <c r="A498" s="156"/>
    </row>
    <row r="499">
      <c r="A499" s="156"/>
    </row>
    <row r="500">
      <c r="A500" s="156"/>
    </row>
    <row r="501">
      <c r="A501" s="156"/>
    </row>
    <row r="502">
      <c r="A502" s="156"/>
    </row>
    <row r="503">
      <c r="A503" s="156"/>
    </row>
    <row r="504">
      <c r="A504" s="156"/>
    </row>
    <row r="505">
      <c r="A505" s="156"/>
    </row>
    <row r="506">
      <c r="A506" s="156"/>
    </row>
    <row r="507">
      <c r="A507" s="156"/>
    </row>
    <row r="508">
      <c r="A508" s="156"/>
    </row>
    <row r="509">
      <c r="A509" s="156"/>
    </row>
    <row r="510">
      <c r="A510" s="156"/>
    </row>
    <row r="511">
      <c r="A511" s="156"/>
    </row>
    <row r="512">
      <c r="A512" s="156"/>
    </row>
    <row r="513">
      <c r="A513" s="156"/>
    </row>
    <row r="514">
      <c r="A514" s="156"/>
    </row>
    <row r="515">
      <c r="A515" s="156"/>
    </row>
    <row r="516">
      <c r="A516" s="156"/>
    </row>
    <row r="517">
      <c r="A517" s="156"/>
    </row>
    <row r="518">
      <c r="A518" s="156"/>
    </row>
    <row r="519">
      <c r="A519" s="156"/>
    </row>
    <row r="520">
      <c r="A520" s="156"/>
    </row>
    <row r="521">
      <c r="A521" s="156"/>
    </row>
    <row r="522">
      <c r="A522" s="156"/>
    </row>
    <row r="523">
      <c r="A523" s="156"/>
    </row>
    <row r="524">
      <c r="A524" s="156"/>
    </row>
    <row r="525">
      <c r="A525" s="156"/>
    </row>
    <row r="526">
      <c r="A526" s="156"/>
    </row>
    <row r="527">
      <c r="A527" s="156"/>
    </row>
    <row r="528">
      <c r="A528" s="156"/>
    </row>
    <row r="529">
      <c r="A529" s="156"/>
    </row>
    <row r="530">
      <c r="A530" s="156"/>
    </row>
    <row r="531">
      <c r="A531" s="156"/>
    </row>
    <row r="532">
      <c r="A532" s="156"/>
    </row>
    <row r="533">
      <c r="A533" s="156"/>
    </row>
    <row r="534">
      <c r="A534" s="156"/>
    </row>
    <row r="535">
      <c r="A535" s="156"/>
    </row>
    <row r="536">
      <c r="A536" s="156"/>
    </row>
    <row r="537">
      <c r="A537" s="156"/>
    </row>
    <row r="538">
      <c r="A538" s="156"/>
    </row>
    <row r="539">
      <c r="A539" s="156"/>
    </row>
    <row r="540">
      <c r="A540" s="156"/>
    </row>
    <row r="541">
      <c r="A541" s="156"/>
    </row>
    <row r="542">
      <c r="A542" s="156"/>
    </row>
    <row r="543">
      <c r="A543" s="156"/>
    </row>
    <row r="544">
      <c r="A544" s="156"/>
    </row>
    <row r="545">
      <c r="A545" s="156"/>
    </row>
    <row r="546">
      <c r="A546" s="156"/>
    </row>
    <row r="547">
      <c r="A547" s="156"/>
    </row>
    <row r="548">
      <c r="A548" s="156"/>
    </row>
    <row r="549">
      <c r="A549" s="156"/>
    </row>
    <row r="550">
      <c r="A550" s="156"/>
    </row>
    <row r="551">
      <c r="A551" s="156"/>
    </row>
    <row r="552">
      <c r="A552" s="156"/>
    </row>
    <row r="553">
      <c r="A553" s="156"/>
    </row>
    <row r="554">
      <c r="A554" s="156"/>
    </row>
    <row r="555">
      <c r="A555" s="156"/>
    </row>
    <row r="556">
      <c r="A556" s="156"/>
    </row>
    <row r="557">
      <c r="A557" s="156"/>
    </row>
    <row r="558">
      <c r="A558" s="156"/>
    </row>
    <row r="559">
      <c r="A559" s="156"/>
    </row>
    <row r="560">
      <c r="A560" s="156"/>
    </row>
    <row r="561">
      <c r="A561" s="156"/>
    </row>
    <row r="562">
      <c r="A562" s="156"/>
    </row>
    <row r="563">
      <c r="A563" s="156"/>
    </row>
    <row r="564">
      <c r="A564" s="156"/>
    </row>
    <row r="565">
      <c r="A565" s="156"/>
    </row>
    <row r="566">
      <c r="A566" s="156"/>
    </row>
    <row r="567">
      <c r="A567" s="156"/>
    </row>
    <row r="568">
      <c r="A568" s="156"/>
    </row>
    <row r="569">
      <c r="A569" s="156"/>
    </row>
    <row r="570">
      <c r="A570" s="156"/>
    </row>
    <row r="571">
      <c r="A571" s="156"/>
    </row>
    <row r="572">
      <c r="A572" s="156"/>
    </row>
    <row r="573">
      <c r="A573" s="156"/>
    </row>
    <row r="574">
      <c r="A574" s="156"/>
    </row>
    <row r="575">
      <c r="A575" s="156"/>
    </row>
    <row r="576">
      <c r="A576" s="156"/>
    </row>
    <row r="577">
      <c r="A577" s="156"/>
    </row>
    <row r="578">
      <c r="A578" s="156"/>
    </row>
    <row r="579">
      <c r="A579" s="156"/>
    </row>
    <row r="580">
      <c r="A580" s="156"/>
    </row>
    <row r="581">
      <c r="A581" s="156"/>
    </row>
    <row r="582">
      <c r="A582" s="156"/>
    </row>
    <row r="583">
      <c r="A583" s="156"/>
    </row>
    <row r="584">
      <c r="A584" s="156"/>
    </row>
    <row r="585">
      <c r="A585" s="156"/>
    </row>
    <row r="586">
      <c r="A586" s="156"/>
    </row>
    <row r="587">
      <c r="A587" s="156"/>
    </row>
    <row r="588">
      <c r="A588" s="156"/>
    </row>
    <row r="589">
      <c r="A589" s="156"/>
    </row>
    <row r="590">
      <c r="A590" s="156"/>
    </row>
    <row r="591">
      <c r="A591" s="156"/>
    </row>
    <row r="592">
      <c r="A592" s="156"/>
    </row>
    <row r="593">
      <c r="A593" s="156"/>
    </row>
    <row r="594">
      <c r="A594" s="156"/>
    </row>
    <row r="595">
      <c r="A595" s="156"/>
    </row>
    <row r="596">
      <c r="A596" s="156"/>
    </row>
    <row r="597">
      <c r="A597" s="156"/>
    </row>
    <row r="598">
      <c r="A598" s="156"/>
    </row>
    <row r="599">
      <c r="A599" s="156"/>
    </row>
    <row r="600">
      <c r="A600" s="156"/>
    </row>
    <row r="601">
      <c r="A601" s="156"/>
    </row>
    <row r="602">
      <c r="A602" s="156"/>
    </row>
    <row r="603">
      <c r="A603" s="156"/>
    </row>
    <row r="604">
      <c r="A604" s="156"/>
    </row>
    <row r="605">
      <c r="A605" s="156"/>
    </row>
    <row r="606">
      <c r="A606" s="156"/>
    </row>
    <row r="607">
      <c r="A607" s="156"/>
    </row>
    <row r="608">
      <c r="A608" s="156"/>
    </row>
    <row r="609">
      <c r="A609" s="156"/>
    </row>
    <row r="610">
      <c r="A610" s="156"/>
    </row>
    <row r="611">
      <c r="A611" s="156"/>
    </row>
    <row r="612">
      <c r="A612" s="156"/>
    </row>
    <row r="613">
      <c r="A613" s="156"/>
    </row>
    <row r="614">
      <c r="A614" s="156"/>
    </row>
    <row r="615">
      <c r="A615" s="156"/>
    </row>
    <row r="616">
      <c r="A616" s="156"/>
    </row>
    <row r="617">
      <c r="A617" s="156"/>
    </row>
    <row r="618">
      <c r="A618" s="156"/>
    </row>
    <row r="619">
      <c r="A619" s="156"/>
    </row>
    <row r="620">
      <c r="A620" s="156"/>
    </row>
    <row r="621">
      <c r="A621" s="156"/>
    </row>
    <row r="622">
      <c r="A622" s="156"/>
    </row>
    <row r="623">
      <c r="A623" s="156"/>
    </row>
    <row r="624">
      <c r="A624" s="156"/>
    </row>
    <row r="625">
      <c r="A625" s="156"/>
    </row>
    <row r="626">
      <c r="A626" s="156"/>
    </row>
    <row r="627">
      <c r="A627" s="156"/>
    </row>
    <row r="628">
      <c r="A628" s="156"/>
    </row>
    <row r="629">
      <c r="A629" s="156"/>
    </row>
    <row r="630">
      <c r="A630" s="156"/>
    </row>
    <row r="631">
      <c r="A631" s="156"/>
    </row>
    <row r="632">
      <c r="A632" s="156"/>
    </row>
    <row r="633">
      <c r="A633" s="156"/>
    </row>
    <row r="634">
      <c r="A634" s="156"/>
    </row>
    <row r="635">
      <c r="A635" s="156"/>
    </row>
    <row r="636">
      <c r="A636" s="156"/>
    </row>
    <row r="637">
      <c r="A637" s="156"/>
    </row>
    <row r="638">
      <c r="A638" s="156"/>
    </row>
    <row r="639">
      <c r="A639" s="156"/>
    </row>
    <row r="640">
      <c r="A640" s="156"/>
    </row>
    <row r="641">
      <c r="A641" s="156"/>
    </row>
    <row r="642">
      <c r="A642" s="156"/>
    </row>
    <row r="643">
      <c r="A643" s="156"/>
    </row>
    <row r="644">
      <c r="A644" s="156"/>
    </row>
    <row r="645">
      <c r="A645" s="156"/>
    </row>
    <row r="646">
      <c r="A646" s="156"/>
    </row>
    <row r="647">
      <c r="A647" s="156"/>
    </row>
    <row r="648">
      <c r="A648" s="156"/>
    </row>
    <row r="649">
      <c r="A649" s="156"/>
    </row>
    <row r="650">
      <c r="A650" s="156"/>
    </row>
    <row r="651">
      <c r="A651" s="156"/>
    </row>
    <row r="652">
      <c r="A652" s="156"/>
    </row>
    <row r="653">
      <c r="A653" s="156"/>
    </row>
    <row r="654">
      <c r="A654" s="156"/>
    </row>
    <row r="655">
      <c r="A655" s="156"/>
    </row>
    <row r="656">
      <c r="A656" s="156"/>
    </row>
    <row r="657">
      <c r="A657" s="156"/>
    </row>
    <row r="658">
      <c r="A658" s="156"/>
    </row>
    <row r="659">
      <c r="A659" s="156"/>
    </row>
    <row r="660">
      <c r="A660" s="156"/>
    </row>
    <row r="661">
      <c r="A661" s="156"/>
    </row>
    <row r="662">
      <c r="A662" s="156"/>
    </row>
    <row r="663">
      <c r="A663" s="156"/>
    </row>
    <row r="664">
      <c r="A664" s="156"/>
    </row>
    <row r="665">
      <c r="A665" s="156"/>
    </row>
    <row r="666">
      <c r="A666" s="156"/>
    </row>
    <row r="667">
      <c r="A667" s="156"/>
    </row>
    <row r="668">
      <c r="A668" s="156"/>
    </row>
    <row r="669">
      <c r="A669" s="156"/>
    </row>
    <row r="670">
      <c r="A670" s="156"/>
    </row>
    <row r="671">
      <c r="A671" s="156"/>
    </row>
    <row r="672">
      <c r="A672" s="156"/>
    </row>
    <row r="673">
      <c r="A673" s="156"/>
    </row>
    <row r="674">
      <c r="A674" s="156"/>
    </row>
    <row r="675">
      <c r="A675" s="156"/>
    </row>
    <row r="676">
      <c r="A676" s="156"/>
    </row>
    <row r="677">
      <c r="A677" s="156"/>
    </row>
    <row r="678">
      <c r="A678" s="156"/>
    </row>
    <row r="679">
      <c r="A679" s="156"/>
    </row>
    <row r="680">
      <c r="A680" s="156"/>
    </row>
    <row r="681">
      <c r="A681" s="156"/>
    </row>
    <row r="682">
      <c r="A682" s="156"/>
    </row>
    <row r="683">
      <c r="A683" s="156"/>
    </row>
    <row r="684">
      <c r="A684" s="156"/>
    </row>
    <row r="685">
      <c r="A685" s="156"/>
    </row>
    <row r="686">
      <c r="A686" s="156"/>
    </row>
    <row r="687">
      <c r="A687" s="156"/>
    </row>
    <row r="688">
      <c r="A688" s="156"/>
    </row>
    <row r="689">
      <c r="A689" s="156"/>
    </row>
    <row r="690">
      <c r="A690" s="156"/>
    </row>
    <row r="691">
      <c r="A691" s="156"/>
    </row>
    <row r="692">
      <c r="A692" s="156"/>
    </row>
    <row r="693">
      <c r="A693" s="156"/>
    </row>
    <row r="694">
      <c r="A694" s="156"/>
    </row>
    <row r="695">
      <c r="A695" s="156"/>
    </row>
    <row r="696">
      <c r="A696" s="156"/>
    </row>
    <row r="697">
      <c r="A697" s="156"/>
    </row>
    <row r="698">
      <c r="A698" s="156"/>
    </row>
    <row r="699">
      <c r="A699" s="156"/>
    </row>
    <row r="700">
      <c r="A700" s="156"/>
    </row>
    <row r="701">
      <c r="A701" s="156"/>
    </row>
    <row r="702">
      <c r="A702" s="156"/>
    </row>
    <row r="703">
      <c r="A703" s="156"/>
    </row>
    <row r="704">
      <c r="A704" s="156"/>
    </row>
    <row r="705">
      <c r="A705" s="156"/>
    </row>
    <row r="706">
      <c r="A706" s="156"/>
    </row>
    <row r="707">
      <c r="A707" s="156"/>
    </row>
    <row r="708">
      <c r="A708" s="156"/>
    </row>
    <row r="709">
      <c r="A709" s="156"/>
    </row>
    <row r="710">
      <c r="A710" s="156"/>
    </row>
    <row r="711">
      <c r="A711" s="156"/>
    </row>
    <row r="712">
      <c r="A712" s="156"/>
    </row>
    <row r="713">
      <c r="A713" s="156"/>
    </row>
    <row r="714">
      <c r="A714" s="156"/>
    </row>
    <row r="715">
      <c r="A715" s="156"/>
    </row>
    <row r="716">
      <c r="A716" s="156"/>
    </row>
    <row r="717">
      <c r="A717" s="156"/>
    </row>
    <row r="718">
      <c r="A718" s="156"/>
    </row>
    <row r="719">
      <c r="A719" s="156"/>
    </row>
    <row r="720">
      <c r="A720" s="156"/>
    </row>
    <row r="721">
      <c r="A721" s="156"/>
    </row>
    <row r="722">
      <c r="A722" s="156"/>
    </row>
    <row r="723">
      <c r="A723" s="156"/>
    </row>
    <row r="724">
      <c r="A724" s="156"/>
    </row>
    <row r="725">
      <c r="A725" s="156"/>
    </row>
    <row r="726">
      <c r="A726" s="156"/>
    </row>
    <row r="727">
      <c r="A727" s="156"/>
    </row>
    <row r="728">
      <c r="A728" s="156"/>
    </row>
    <row r="729">
      <c r="A729" s="156"/>
    </row>
    <row r="730">
      <c r="A730" s="156"/>
    </row>
    <row r="731">
      <c r="A731" s="156"/>
    </row>
    <row r="732">
      <c r="A732" s="156"/>
    </row>
    <row r="733">
      <c r="A733" s="156"/>
    </row>
    <row r="734">
      <c r="A734" s="156"/>
    </row>
    <row r="735">
      <c r="A735" s="156"/>
    </row>
    <row r="736">
      <c r="A736" s="156"/>
    </row>
    <row r="737">
      <c r="A737" s="156"/>
    </row>
    <row r="738">
      <c r="A738" s="156"/>
    </row>
    <row r="739">
      <c r="A739" s="156"/>
    </row>
    <row r="740">
      <c r="A740" s="156"/>
    </row>
    <row r="741">
      <c r="A741" s="156"/>
    </row>
    <row r="742">
      <c r="A742" s="156"/>
    </row>
    <row r="743">
      <c r="A743" s="156"/>
    </row>
    <row r="744">
      <c r="A744" s="156"/>
    </row>
    <row r="745">
      <c r="A745" s="156"/>
    </row>
    <row r="746">
      <c r="A746" s="156"/>
    </row>
    <row r="747">
      <c r="A747" s="156"/>
    </row>
    <row r="748">
      <c r="A748" s="156"/>
    </row>
    <row r="749">
      <c r="A749" s="156"/>
    </row>
    <row r="750">
      <c r="A750" s="156"/>
    </row>
    <row r="751">
      <c r="A751" s="156"/>
    </row>
    <row r="752">
      <c r="A752" s="156"/>
    </row>
    <row r="753">
      <c r="A753" s="156"/>
    </row>
    <row r="754">
      <c r="A754" s="156"/>
    </row>
    <row r="755">
      <c r="A755" s="156"/>
    </row>
    <row r="756">
      <c r="A756" s="156"/>
    </row>
    <row r="757">
      <c r="A757" s="156"/>
    </row>
    <row r="758">
      <c r="A758" s="156"/>
    </row>
    <row r="759">
      <c r="A759" s="156"/>
    </row>
    <row r="760">
      <c r="A760" s="156"/>
    </row>
    <row r="761">
      <c r="A761" s="156"/>
    </row>
    <row r="762">
      <c r="A762" s="156"/>
    </row>
    <row r="763">
      <c r="A763" s="156"/>
    </row>
    <row r="764">
      <c r="A764" s="156"/>
    </row>
    <row r="765">
      <c r="A765" s="156"/>
    </row>
    <row r="766">
      <c r="A766" s="156"/>
    </row>
    <row r="767">
      <c r="A767" s="156"/>
    </row>
    <row r="768">
      <c r="A768" s="156"/>
    </row>
    <row r="769">
      <c r="A769" s="156"/>
    </row>
    <row r="770">
      <c r="A770" s="156"/>
    </row>
    <row r="771">
      <c r="A771" s="156"/>
    </row>
    <row r="772">
      <c r="A772" s="156"/>
    </row>
    <row r="773">
      <c r="A773" s="156"/>
    </row>
    <row r="774">
      <c r="A774" s="156"/>
    </row>
    <row r="775">
      <c r="A775" s="156"/>
    </row>
    <row r="776">
      <c r="A776" s="156"/>
    </row>
    <row r="777">
      <c r="A777" s="156"/>
    </row>
    <row r="778">
      <c r="A778" s="156"/>
    </row>
    <row r="779">
      <c r="A779" s="156"/>
    </row>
    <row r="780">
      <c r="A780" s="156"/>
    </row>
    <row r="781">
      <c r="A781" s="156"/>
    </row>
    <row r="782">
      <c r="A782" s="156"/>
    </row>
    <row r="783">
      <c r="A783" s="156"/>
    </row>
    <row r="784">
      <c r="A784" s="156"/>
    </row>
    <row r="785">
      <c r="A785" s="156"/>
    </row>
    <row r="786">
      <c r="A786" s="156"/>
    </row>
    <row r="787">
      <c r="A787" s="156"/>
    </row>
    <row r="788">
      <c r="A788" s="156"/>
    </row>
    <row r="789">
      <c r="A789" s="156"/>
    </row>
    <row r="790">
      <c r="A790" s="156"/>
    </row>
    <row r="791">
      <c r="A791" s="156"/>
    </row>
    <row r="792">
      <c r="A792" s="156"/>
    </row>
    <row r="793">
      <c r="A793" s="156"/>
    </row>
    <row r="794">
      <c r="A794" s="156"/>
    </row>
    <row r="795">
      <c r="A795" s="156"/>
    </row>
    <row r="796">
      <c r="A796" s="156"/>
    </row>
    <row r="797">
      <c r="A797" s="156"/>
    </row>
    <row r="798">
      <c r="A798" s="156"/>
    </row>
    <row r="799">
      <c r="A799" s="156"/>
    </row>
    <row r="800">
      <c r="A800" s="156"/>
    </row>
    <row r="801">
      <c r="A801" s="156"/>
    </row>
    <row r="802">
      <c r="A802" s="156"/>
    </row>
    <row r="803">
      <c r="A803" s="156"/>
    </row>
    <row r="804">
      <c r="A804" s="156"/>
    </row>
    <row r="805">
      <c r="A805" s="156"/>
    </row>
    <row r="806">
      <c r="A806" s="156"/>
    </row>
    <row r="807">
      <c r="A807" s="156"/>
    </row>
    <row r="808">
      <c r="A808" s="156"/>
    </row>
    <row r="809">
      <c r="A809" s="156"/>
    </row>
    <row r="810">
      <c r="A810" s="156"/>
    </row>
    <row r="811">
      <c r="A811" s="156"/>
    </row>
    <row r="812">
      <c r="A812" s="156"/>
    </row>
    <row r="813">
      <c r="A813" s="156"/>
    </row>
    <row r="814">
      <c r="A814" s="156"/>
    </row>
    <row r="815">
      <c r="A815" s="156"/>
    </row>
    <row r="816">
      <c r="A816" s="156"/>
    </row>
    <row r="817">
      <c r="A817" s="156"/>
    </row>
    <row r="818">
      <c r="A818" s="156"/>
    </row>
    <row r="819">
      <c r="A819" s="156"/>
    </row>
    <row r="820">
      <c r="A820" s="156"/>
    </row>
    <row r="821">
      <c r="A821" s="156"/>
    </row>
    <row r="822">
      <c r="A822" s="156"/>
    </row>
    <row r="823">
      <c r="A823" s="156"/>
    </row>
    <row r="824">
      <c r="A824" s="156"/>
    </row>
    <row r="825">
      <c r="A825" s="156"/>
    </row>
    <row r="826">
      <c r="A826" s="156"/>
    </row>
    <row r="827">
      <c r="A827" s="156"/>
    </row>
    <row r="828">
      <c r="A828" s="156"/>
    </row>
    <row r="829">
      <c r="A829" s="156"/>
    </row>
    <row r="830">
      <c r="A830" s="156"/>
    </row>
    <row r="831">
      <c r="A831" s="156"/>
    </row>
    <row r="832">
      <c r="A832" s="156"/>
    </row>
    <row r="833">
      <c r="A833" s="156"/>
    </row>
    <row r="834">
      <c r="A834" s="156"/>
    </row>
    <row r="835">
      <c r="A835" s="156"/>
    </row>
    <row r="836">
      <c r="A836" s="156"/>
    </row>
    <row r="837">
      <c r="A837" s="156"/>
    </row>
    <row r="838">
      <c r="A838" s="156"/>
    </row>
    <row r="839">
      <c r="A839" s="156"/>
    </row>
    <row r="840">
      <c r="A840" s="156"/>
    </row>
    <row r="841">
      <c r="A841" s="156"/>
    </row>
    <row r="842">
      <c r="A842" s="156"/>
    </row>
    <row r="843">
      <c r="A843" s="156"/>
    </row>
    <row r="844">
      <c r="A844" s="156"/>
    </row>
    <row r="845">
      <c r="A845" s="156"/>
    </row>
    <row r="846">
      <c r="A846" s="156"/>
    </row>
    <row r="847">
      <c r="A847" s="156"/>
    </row>
    <row r="848">
      <c r="A848" s="156"/>
    </row>
    <row r="849">
      <c r="A849" s="156"/>
    </row>
    <row r="850">
      <c r="A850" s="156"/>
    </row>
    <row r="851">
      <c r="A851" s="156"/>
    </row>
    <row r="852">
      <c r="A852" s="156"/>
    </row>
    <row r="853">
      <c r="A853" s="156"/>
    </row>
    <row r="854">
      <c r="A854" s="156"/>
    </row>
    <row r="855">
      <c r="A855" s="156"/>
    </row>
    <row r="856">
      <c r="A856" s="156"/>
    </row>
    <row r="857">
      <c r="A857" s="156"/>
    </row>
    <row r="858">
      <c r="A858" s="156"/>
    </row>
    <row r="859">
      <c r="A859" s="156"/>
    </row>
    <row r="860">
      <c r="A860" s="156"/>
    </row>
    <row r="861">
      <c r="A861" s="156"/>
    </row>
    <row r="862">
      <c r="A862" s="156"/>
    </row>
    <row r="863">
      <c r="A863" s="156"/>
    </row>
    <row r="864">
      <c r="A864" s="156"/>
    </row>
    <row r="865">
      <c r="A865" s="156"/>
    </row>
    <row r="866">
      <c r="A866" s="156"/>
    </row>
    <row r="867">
      <c r="A867" s="156"/>
    </row>
    <row r="868">
      <c r="A868" s="156"/>
    </row>
    <row r="869">
      <c r="A869" s="156"/>
    </row>
    <row r="870">
      <c r="A870" s="156"/>
    </row>
    <row r="871">
      <c r="A871" s="156"/>
    </row>
    <row r="872">
      <c r="A872" s="156"/>
    </row>
    <row r="873">
      <c r="A873" s="156"/>
    </row>
    <row r="874">
      <c r="A874" s="156"/>
    </row>
    <row r="875">
      <c r="A875" s="156"/>
    </row>
    <row r="876">
      <c r="A876" s="156"/>
    </row>
    <row r="877">
      <c r="A877" s="156"/>
    </row>
    <row r="878">
      <c r="A878" s="156"/>
    </row>
    <row r="879">
      <c r="A879" s="156"/>
    </row>
    <row r="880">
      <c r="A880" s="156"/>
    </row>
    <row r="881">
      <c r="A881" s="156"/>
    </row>
    <row r="882">
      <c r="A882" s="156"/>
    </row>
    <row r="883">
      <c r="A883" s="156"/>
    </row>
    <row r="884">
      <c r="A884" s="156"/>
    </row>
    <row r="885">
      <c r="A885" s="156"/>
    </row>
    <row r="886">
      <c r="A886" s="156"/>
    </row>
    <row r="887">
      <c r="A887" s="156"/>
    </row>
    <row r="888">
      <c r="A888" s="156"/>
    </row>
    <row r="889">
      <c r="A889" s="156"/>
    </row>
    <row r="890">
      <c r="A890" s="156"/>
    </row>
    <row r="891">
      <c r="A891" s="156"/>
    </row>
    <row r="892">
      <c r="A892" s="156"/>
    </row>
    <row r="893">
      <c r="A893" s="156"/>
    </row>
    <row r="894">
      <c r="A894" s="156"/>
    </row>
    <row r="895">
      <c r="A895" s="156"/>
    </row>
    <row r="896">
      <c r="A896" s="156"/>
    </row>
    <row r="897">
      <c r="A897" s="156"/>
    </row>
    <row r="898">
      <c r="A898" s="156"/>
    </row>
    <row r="899">
      <c r="A899" s="156"/>
    </row>
    <row r="900">
      <c r="A900" s="156"/>
    </row>
    <row r="901">
      <c r="A901" s="156"/>
    </row>
    <row r="902">
      <c r="A902" s="156"/>
    </row>
    <row r="903">
      <c r="A903" s="156"/>
    </row>
    <row r="904">
      <c r="A904" s="156"/>
    </row>
    <row r="905">
      <c r="A905" s="156"/>
    </row>
    <row r="906">
      <c r="A906" s="156"/>
    </row>
    <row r="907">
      <c r="A907" s="156"/>
    </row>
    <row r="908">
      <c r="A908" s="156"/>
    </row>
    <row r="909">
      <c r="A909" s="156"/>
    </row>
    <row r="910">
      <c r="A910" s="156"/>
    </row>
    <row r="911">
      <c r="A911" s="156"/>
    </row>
    <row r="912">
      <c r="A912" s="156"/>
    </row>
    <row r="913">
      <c r="A913" s="156"/>
    </row>
    <row r="914">
      <c r="A914" s="156"/>
    </row>
    <row r="915">
      <c r="A915" s="156"/>
    </row>
    <row r="916">
      <c r="A916" s="156"/>
    </row>
    <row r="917">
      <c r="A917" s="156"/>
    </row>
    <row r="918">
      <c r="A918" s="156"/>
    </row>
    <row r="919">
      <c r="A919" s="156"/>
    </row>
    <row r="920">
      <c r="A920" s="156"/>
    </row>
    <row r="921">
      <c r="A921" s="156"/>
    </row>
    <row r="922">
      <c r="A922" s="156"/>
    </row>
    <row r="923">
      <c r="A923" s="156"/>
    </row>
    <row r="924">
      <c r="A924" s="156"/>
    </row>
    <row r="925">
      <c r="A925" s="156"/>
    </row>
    <row r="926">
      <c r="A926" s="156"/>
    </row>
    <row r="927">
      <c r="A927" s="156"/>
    </row>
    <row r="928">
      <c r="A928" s="156"/>
    </row>
    <row r="929">
      <c r="A929" s="156"/>
    </row>
    <row r="930">
      <c r="A930" s="156"/>
    </row>
    <row r="931">
      <c r="A931" s="156"/>
    </row>
    <row r="932">
      <c r="A932" s="156"/>
    </row>
    <row r="933">
      <c r="A933" s="156"/>
    </row>
    <row r="934">
      <c r="A934" s="156"/>
    </row>
    <row r="935">
      <c r="A935" s="156"/>
    </row>
    <row r="936">
      <c r="A936" s="156"/>
    </row>
    <row r="937">
      <c r="A937" s="156"/>
    </row>
    <row r="938">
      <c r="A938" s="156"/>
    </row>
    <row r="939">
      <c r="A939" s="156"/>
    </row>
    <row r="940">
      <c r="A940" s="156"/>
    </row>
    <row r="941">
      <c r="A941" s="156"/>
    </row>
    <row r="942">
      <c r="A942" s="156"/>
    </row>
    <row r="943">
      <c r="A943" s="156"/>
    </row>
    <row r="944">
      <c r="A944" s="156"/>
    </row>
    <row r="945">
      <c r="A945" s="156"/>
    </row>
    <row r="946">
      <c r="A946" s="156"/>
    </row>
    <row r="947">
      <c r="A947" s="156"/>
    </row>
    <row r="948">
      <c r="A948" s="156"/>
    </row>
    <row r="949">
      <c r="A949" s="156"/>
    </row>
    <row r="950">
      <c r="A950" s="156"/>
    </row>
    <row r="951">
      <c r="A951" s="156"/>
    </row>
    <row r="952">
      <c r="A952" s="156"/>
    </row>
    <row r="953">
      <c r="A953" s="156"/>
    </row>
    <row r="954">
      <c r="A954" s="156"/>
    </row>
    <row r="955">
      <c r="A955" s="156"/>
    </row>
    <row r="956">
      <c r="A956" s="156"/>
    </row>
    <row r="957">
      <c r="A957" s="156"/>
    </row>
    <row r="958">
      <c r="A958" s="156"/>
    </row>
    <row r="959">
      <c r="A959" s="156"/>
    </row>
    <row r="960">
      <c r="A960" s="156"/>
    </row>
    <row r="961">
      <c r="A961" s="156"/>
    </row>
    <row r="962">
      <c r="A962" s="156"/>
    </row>
    <row r="963">
      <c r="A963" s="156"/>
    </row>
    <row r="964">
      <c r="A964" s="156"/>
    </row>
    <row r="965">
      <c r="A965" s="156"/>
    </row>
    <row r="966">
      <c r="A966" s="156"/>
    </row>
    <row r="967">
      <c r="A967" s="156"/>
    </row>
    <row r="968">
      <c r="A968" s="156"/>
    </row>
    <row r="969">
      <c r="A969" s="156"/>
    </row>
    <row r="970">
      <c r="A970" s="156"/>
    </row>
    <row r="971">
      <c r="A971" s="156"/>
    </row>
    <row r="972">
      <c r="A972" s="156"/>
    </row>
    <row r="973">
      <c r="A973" s="156"/>
    </row>
    <row r="974">
      <c r="A974" s="156"/>
    </row>
    <row r="975">
      <c r="A975" s="156"/>
    </row>
    <row r="976">
      <c r="A976" s="156"/>
    </row>
    <row r="977">
      <c r="A977" s="156"/>
    </row>
    <row r="978">
      <c r="A978" s="156"/>
    </row>
    <row r="979">
      <c r="A979" s="156"/>
    </row>
    <row r="980">
      <c r="A980" s="156"/>
    </row>
    <row r="981">
      <c r="A981" s="156"/>
    </row>
    <row r="982">
      <c r="A982" s="156"/>
    </row>
    <row r="983">
      <c r="A983" s="156"/>
    </row>
    <row r="984">
      <c r="A984" s="156"/>
    </row>
    <row r="985">
      <c r="A985" s="156"/>
    </row>
    <row r="986">
      <c r="A986" s="156"/>
    </row>
    <row r="987">
      <c r="A987" s="156"/>
    </row>
    <row r="988">
      <c r="A988" s="156"/>
    </row>
    <row r="989">
      <c r="A989" s="156"/>
    </row>
    <row r="990">
      <c r="A990" s="156"/>
    </row>
    <row r="991">
      <c r="A991" s="156"/>
    </row>
    <row r="992">
      <c r="A992" s="156"/>
    </row>
    <row r="993">
      <c r="A993" s="156"/>
    </row>
    <row r="994">
      <c r="A994" s="156"/>
    </row>
    <row r="995">
      <c r="A995" s="156"/>
    </row>
    <row r="996">
      <c r="A996" s="156"/>
    </row>
    <row r="997">
      <c r="A997" s="156"/>
    </row>
    <row r="998">
      <c r="A998" s="156"/>
    </row>
    <row r="999">
      <c r="A999" s="156"/>
    </row>
    <row r="1000">
      <c r="A1000" s="156"/>
    </row>
    <row r="1001">
      <c r="A1001" s="156"/>
    </row>
    <row r="1002">
      <c r="A1002" s="156"/>
    </row>
    <row r="1003">
      <c r="A1003" s="156"/>
    </row>
    <row r="1004">
      <c r="A1004" s="156"/>
    </row>
  </sheetData>
  <conditionalFormatting sqref="A47">
    <cfRule type="cellIs" dxfId="0" priority="1" operator="lessThan">
      <formula>9</formula>
    </cfRule>
  </conditionalFormatting>
  <conditionalFormatting sqref="A47">
    <cfRule type="cellIs" dxfId="0" priority="2" operator="greaterThan">
      <formula>15</formula>
    </cfRule>
  </conditionalFormatting>
  <conditionalFormatting sqref="A7">
    <cfRule type="cellIs" dxfId="0" priority="3" operator="equal">
      <formula>"ACIMA"</formula>
    </cfRule>
  </conditionalFormatting>
  <conditionalFormatting sqref="A50">
    <cfRule type="containsText" dxfId="1" priority="4" operator="containsText" text="PED COMPRA">
      <formula>NOT(ISERROR(SEARCH(("PED COMPRA"),(A50))))</formula>
    </cfRule>
  </conditionalFormatting>
  <conditionalFormatting sqref="A51">
    <cfRule type="containsText" dxfId="1" priority="5" operator="containsText" text="CONTRATO">
      <formula>NOT(ISERROR(SEARCH(("CONTRATO"),(A51))))</formula>
    </cfRule>
  </conditionalFormatting>
  <conditionalFormatting sqref="A51">
    <cfRule type="containsText" dxfId="1" priority="6" operator="containsText" text="PED COMPRA">
      <formula>NOT(ISERROR(SEARCH(("PED COMPRA"),(A51))))</formula>
    </cfRule>
  </conditionalFormatting>
  <hyperlinks>
    <hyperlink r:id="rId1" ref="B16"/>
    <hyperlink r:id="rId2" ref="A27"/>
    <hyperlink r:id="rId3" ref="B27"/>
    <hyperlink r:id="rId4" ref="C33"/>
    <hyperlink r:id="rId5" ref="B38"/>
    <hyperlink r:id="rId6" ref="B41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10" width="9.29"/>
    <col customWidth="1" min="11" max="11" width="20.14"/>
    <col customWidth="1" min="12" max="16" width="9.29"/>
    <col customWidth="1" min="17" max="17" width="18.0"/>
    <col customWidth="1" min="18" max="19" width="21.14"/>
    <col customWidth="1" min="20" max="20" width="14.14"/>
    <col customWidth="1" min="21" max="23" width="9.43"/>
    <col customWidth="1" min="24" max="24" width="21.43"/>
    <col customWidth="1" min="25" max="25" width="9.43"/>
    <col customWidth="1" min="26" max="26" width="12.14"/>
    <col customWidth="1" min="27" max="27" width="13.43"/>
    <col customWidth="1" min="28" max="28" width="9.29"/>
    <col customWidth="1" min="29" max="29" width="19.86"/>
    <col customWidth="1" min="30" max="31" width="9.43"/>
    <col customWidth="1" min="32" max="33" width="9.29"/>
    <col customWidth="1" min="34" max="34" width="9.43"/>
    <col customWidth="1" min="35" max="35" width="9.29"/>
    <col customWidth="1" min="36" max="36" width="12.86"/>
    <col customWidth="1" min="37" max="37" width="12.43"/>
    <col customWidth="1" min="38" max="38" width="9.43"/>
    <col customWidth="1" min="39" max="40" width="9.86"/>
    <col customWidth="1" min="41" max="41" width="9.43"/>
    <col customWidth="1" min="42" max="42" width="9.29"/>
    <col customWidth="1" min="43" max="43" width="11.29"/>
    <col customWidth="1" min="44" max="44" width="14.86"/>
    <col customWidth="1" min="45" max="45" width="11.29"/>
    <col customWidth="1" min="46" max="46" width="17.0"/>
    <col customWidth="1" min="47" max="47" width="11.29"/>
    <col customWidth="1" min="48" max="48" width="14.86"/>
    <col customWidth="1" min="49" max="49" width="61.14"/>
    <col customWidth="1" min="50" max="52" width="19.43"/>
  </cols>
  <sheetData>
    <row r="1" ht="12.0" customHeight="1">
      <c r="A1" s="2" t="str">
        <f>Consultas!A1</f>
        <v>Tipo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9" t="s">
        <v>15</v>
      </c>
      <c r="Q1" s="7" t="s">
        <v>16</v>
      </c>
      <c r="R1" s="13" t="s">
        <v>17</v>
      </c>
      <c r="S1" s="17" t="s">
        <v>19</v>
      </c>
      <c r="T1" s="21" t="s">
        <v>23</v>
      </c>
      <c r="U1" s="21" t="s">
        <v>26</v>
      </c>
      <c r="V1" s="9" t="s">
        <v>27</v>
      </c>
      <c r="W1" s="25" t="s">
        <v>28</v>
      </c>
      <c r="X1" s="29" t="s">
        <v>29</v>
      </c>
      <c r="Y1" s="37" t="s">
        <v>32</v>
      </c>
      <c r="Z1" s="37" t="s">
        <v>38</v>
      </c>
      <c r="AA1" s="7" t="s">
        <v>39</v>
      </c>
      <c r="AB1" s="5" t="s">
        <v>40</v>
      </c>
      <c r="AC1" s="7" t="s">
        <v>41</v>
      </c>
      <c r="AD1" s="42" t="s">
        <v>42</v>
      </c>
      <c r="AE1" s="45" t="s">
        <v>45</v>
      </c>
      <c r="AF1" s="50" t="s">
        <v>47</v>
      </c>
      <c r="AG1" s="42" t="s">
        <v>54</v>
      </c>
      <c r="AH1" s="42" t="s">
        <v>55</v>
      </c>
      <c r="AI1" s="55" t="s">
        <v>56</v>
      </c>
      <c r="AJ1" s="58" t="s">
        <v>61</v>
      </c>
      <c r="AK1" s="62" t="s">
        <v>63</v>
      </c>
      <c r="AL1" s="62" t="s">
        <v>66</v>
      </c>
      <c r="AM1" s="64" t="s">
        <v>67</v>
      </c>
      <c r="AN1" s="66" t="s">
        <v>68</v>
      </c>
      <c r="AO1" s="70" t="s">
        <v>69</v>
      </c>
      <c r="AP1" s="39"/>
      <c r="AQ1" s="74" t="s">
        <v>71</v>
      </c>
      <c r="AR1" s="78" t="s">
        <v>74</v>
      </c>
      <c r="AS1" s="78" t="s">
        <v>76</v>
      </c>
      <c r="AT1" s="78" t="s">
        <v>77</v>
      </c>
      <c r="AU1" s="78" t="s">
        <v>78</v>
      </c>
      <c r="AV1" s="82" t="s">
        <v>79</v>
      </c>
      <c r="AW1" s="86" t="s">
        <v>83</v>
      </c>
      <c r="AX1" s="39" t="s">
        <v>87</v>
      </c>
      <c r="AY1" s="63" t="s">
        <v>88</v>
      </c>
      <c r="AZ1" s="63" t="s">
        <v>89</v>
      </c>
    </row>
    <row r="2" ht="12.0" customHeight="1">
      <c r="A2" s="39" t="s">
        <v>90</v>
      </c>
      <c r="B2" s="82">
        <f>Consultas!B2</f>
        <v>162</v>
      </c>
      <c r="C2" s="82" t="str">
        <f>Consultas!D2</f>
        <v>Metalpleno</v>
      </c>
      <c r="D2" s="96" t="str">
        <f>Consultas!E2</f>
        <v>034331</v>
      </c>
      <c r="E2" s="104">
        <f>IF(Consultas!AB2&gt;0,YEAR('Parâmetros'!$B$1)-YEAR(Consultas!AB2),"NA")</f>
        <v>31</v>
      </c>
      <c r="F2" s="82">
        <f>IF(Consultas!F2&gt;'Parâmetros'!$B$2,-8,0)</f>
        <v>0</v>
      </c>
      <c r="G2" s="82">
        <f>IF(Consultas!H2='Parâmetros'!$E$1,100,0)</f>
        <v>0</v>
      </c>
      <c r="H2" s="82">
        <f>IF(Consultas!I2='Parâmetros'!$E$1,-4,12)</f>
        <v>-4</v>
      </c>
      <c r="I2" s="82">
        <f>IF(Consultas!J2='Parâmetros'!$E$1,1,-13)</f>
        <v>1</v>
      </c>
      <c r="J2" s="82">
        <f>IF(Consultas!K2='Parâmetros'!$E$1,2,-5)</f>
        <v>2</v>
      </c>
      <c r="K2" s="82" t="str">
        <f>IF(Consultas!L2='Parâmetros'!$D$1,"SOLIC CONTRATO DE ENTREGA","N/A")</f>
        <v>SOLIC CONTRATO DE ENTREGA</v>
      </c>
      <c r="L2" s="82">
        <f>IF(Consultas!R2='Parâmetros'!$E$1,1,-3)</f>
        <v>1</v>
      </c>
      <c r="M2" s="82">
        <f>IF(Consultas!S2&gt;1,(IF(Consultas!S2='Parâmetros'!$E$1,-3,9)))</f>
        <v>9</v>
      </c>
      <c r="N2" s="82">
        <f>IF(Consultas!T2="S",23,0)</f>
        <v>0</v>
      </c>
      <c r="O2" s="82">
        <f>IF(Consultas!U2='Parâmetros'!$E$1,-3,3)</f>
        <v>3</v>
      </c>
      <c r="P2" s="82">
        <f>IF(Consultas!V2='Parâmetros'!$E$1,-100,2)</f>
        <v>2</v>
      </c>
      <c r="Q2" s="82">
        <f>IF(Consultas!M2='Parâmetros'!$D$1,2,-9)</f>
        <v>-9</v>
      </c>
      <c r="R2" s="82">
        <f>IF(Consultas!N2="RJ",-12,0)</f>
        <v>0</v>
      </c>
      <c r="S2" s="82">
        <f>IF(Consultas!O2="-",-3,IF(Consultas!O2=0,-6,IF(Consultas!O2=5,0,IF(Consultas!O2=10,6))))</f>
        <v>-6</v>
      </c>
      <c r="T2" s="82">
        <f>IF(Consultas!M2="S",0,(IF(Consultas!P2="S",6,0)))</f>
        <v>0</v>
      </c>
      <c r="U2" s="82">
        <f>IF(Consultas!Q2&gt;97,9,IF(Consultas!Q2&gt;75,0,-7))</f>
        <v>9</v>
      </c>
      <c r="V2" s="82">
        <f>IF(Consultas!W2='Parâmetros'!$E$1,1,-5)</f>
        <v>1</v>
      </c>
      <c r="W2" s="82">
        <f>IF(Consultas!X2="S",3,-3)</f>
        <v>3</v>
      </c>
      <c r="X2" s="82">
        <f>IF(Consultas!Y2="S",0,-7)</f>
        <v>0</v>
      </c>
      <c r="Y2" s="82">
        <f>IF(Consultas!Z2='Parâmetros'!$E$1,2,-8)</f>
        <v>2</v>
      </c>
      <c r="Z2" s="82">
        <f>IF(Consultas!AA2='Parâmetros'!$E$1,-15,1)</f>
        <v>1</v>
      </c>
      <c r="AA2" s="147" t="s">
        <v>140</v>
      </c>
      <c r="AB2" s="82">
        <f>IF(E2="NA","NA",IF(E2&gt;'Parâmetros'!$A$9,8,IF(E2&gt;'Parâmetros'!$A$8,4,IF(E2&gt;'Parâmetros'!$A$7,0,-6))))</f>
        <v>8</v>
      </c>
      <c r="AC2" s="82">
        <f>IF(Consultas!AC2='Parâmetros'!$E$1,0,5)</f>
        <v>0</v>
      </c>
      <c r="AD2" s="82">
        <f>IF(Consultas!AH2='Parâmetros'!$D$1,-10,5)</f>
        <v>5</v>
      </c>
      <c r="AE2" s="82">
        <f>IF(Consultas!AI2&gt;(Consultas!F2*2),-10,0)</f>
        <v>0</v>
      </c>
      <c r="AF2" s="82">
        <f>IF(Consultas!AD2&gt;1,(IF(Consultas!AI2&gt;(Consultas!AD2),-20,4)))</f>
        <v>4</v>
      </c>
      <c r="AG2" s="82">
        <f>IF(Consultas!AG2='Parâmetros'!$E$1,0,-6)</f>
        <v>0</v>
      </c>
      <c r="AH2" s="82">
        <f>IF(Consultas!AF2='Parâmetros'!$E$1,1,-5)</f>
        <v>1</v>
      </c>
      <c r="AI2" s="82">
        <f>IF(Consultas!AJ2&gt;700,8,IF(Consultas!AJ2&gt;500,4,IF(Consultas!AJ2&gt;200,-4,IF(Consultas!AJ2&gt;1,-15,-20))))</f>
        <v>8</v>
      </c>
      <c r="AJ2" s="82">
        <f>IF(Consultas!AD2='Parâmetros'!$E$10,0,IF(Consultas!AD2&gt;'Parâmetros'!$A$30,12,IF(Consultas!AD2&gt;'Parâmetros'!$A$31,6,IF(Consultas!AD2&gt;'Parâmetros'!$A$32,0,IF(Consultas!AD2&gt;'Parâmetros'!$A$33,0,IF(Consultas!AD2&gt;'Parâmetros'!$A$34,-3,IF(Consultas!AD2&gt;'Parâmetros'!$A$35,-7,-1)))))))</f>
        <v>12</v>
      </c>
      <c r="AK2" s="82">
        <f>IF(Consultas!AO2='Parâmetros'!$D$1,3,-3)</f>
        <v>-3</v>
      </c>
      <c r="AL2" s="82">
        <f>IF(Consultas!AP2='Parâmetros'!$D$1,5,-3)</f>
        <v>-3</v>
      </c>
      <c r="AM2" s="82">
        <f>IF(Consultas!AL2="N",-6,0)</f>
        <v>0</v>
      </c>
      <c r="AN2" s="82">
        <f>IF(Consultas!AM2="N",-10,0)</f>
        <v>0</v>
      </c>
      <c r="AO2" s="82">
        <f>IF(Consultas!AN2="S",4,-2)</f>
        <v>-2</v>
      </c>
      <c r="AP2" s="39"/>
      <c r="AQ2" s="165">
        <f>IF(Consultas!F2&gt;1,(SUM(F2:AO2)),"N/A")</f>
        <v>45</v>
      </c>
      <c r="AR2" s="78" t="str">
        <f>IF((Consultas!AD2&gt;'Parâmetros'!$A$31),"X",AJ2+Y2+V2+AC2)</f>
        <v>X</v>
      </c>
      <c r="AS2" s="78" t="str">
        <f>IF((Consultas!AD2&gt;'Parâmetros'!$A$31),"X",(H2+I2+J2+Q2+T2+Y2+Z2+AJ2+AN2))</f>
        <v>X</v>
      </c>
      <c r="AT2" s="78">
        <f>IF((Consultas!AD2&lt;'Parâmetros'!$A$31),"X",(AD2+AC2+AB2))</f>
        <v>13</v>
      </c>
      <c r="AU2" s="78">
        <f t="shared" ref="AU2:AU451" si="1">SMALL(AR2:AT2,1)</f>
        <v>13</v>
      </c>
      <c r="AV2" s="82" t="str">
        <f>IF(AQ2="N/A","N/A",IF(AQ2&gt;5,'Parâmetros'!$A$15,(IF(AU2=AR2,'Parâmetros'!$A$17,IF(AU2=AS2,'Parâmetros'!$A$16,'Parâmetros'!$A$14)))))</f>
        <v>SEM-RISCO</v>
      </c>
      <c r="AW2" s="86" t="str">
        <f>IF(AQ2="N/A","N/A",IF(AV2='Parâmetros'!$A$15,'Parâmetros'!$C$15,(IF(AV2='Parâmetros'!$A$17,'Parâmetros'!$C$17,IF(AV2='Parâmetros'!$A$16,'Parâmetros'!$C$16,IF(AV2='Parâmetros'!$A$14,'Parâmetros'!$C$12))))))</f>
        <v>LIBERADO</v>
      </c>
      <c r="AX2" s="82" t="str">
        <f>IF(Consultas!F2&gt;1,(IF(Consultas!F2&gt;5000,"SOLICITAR PED COMPRA","N/A")))</f>
        <v>SOLICITAR PED COMPRA</v>
      </c>
      <c r="AY2" s="167" t="str">
        <f>IF(AND(Consultas!M2&lt;&gt;"S", Consultas!H2="S"), "CHECAGEM REVERSA", "N/A")</f>
        <v>CHECAGEM REVERSA</v>
      </c>
      <c r="AZ2" s="167" t="str">
        <f>IF(Consultas!U2="N","PRECISA CORRIGIR END DIVERGENTE","N/A")</f>
        <v>N/A</v>
      </c>
    </row>
    <row r="3" ht="12.0" customHeight="1">
      <c r="A3" s="39" t="s">
        <v>90</v>
      </c>
      <c r="B3" s="82">
        <f>Consultas!B3</f>
        <v>166</v>
      </c>
      <c r="C3" s="82" t="str">
        <f>Consultas!D3</f>
        <v>Metalpleno</v>
      </c>
      <c r="D3" s="96" t="str">
        <f>Consultas!E3</f>
        <v>141660</v>
      </c>
      <c r="E3" s="104">
        <f>IF(Consultas!AB3&gt;0,YEAR('Parâmetros'!$B$1)-YEAR(Consultas!AB3),"NA")</f>
        <v>60</v>
      </c>
      <c r="F3" s="82">
        <f>IF(Consultas!F3&gt;'Parâmetros'!$B$2,-8,0)</f>
        <v>0</v>
      </c>
      <c r="G3" s="82">
        <f>IF(Consultas!H3='Parâmetros'!$E$1,100,0)</f>
        <v>0</v>
      </c>
      <c r="H3" s="82">
        <f>IF(Consultas!I3='Parâmetros'!$E$1,-4,12)</f>
        <v>12</v>
      </c>
      <c r="I3" s="82">
        <f>IF(Consultas!J3='Parâmetros'!$E$1,1,-13)</f>
        <v>1</v>
      </c>
      <c r="J3" s="82">
        <f>IF(Consultas!K3='Parâmetros'!$E$1,2,-5)</f>
        <v>2</v>
      </c>
      <c r="K3" s="82" t="str">
        <f>IF(Consultas!L3='Parâmetros'!$D$1,"SOLIC CONTRATO DE ENTREGA","N/A")</f>
        <v>SOLIC CONTRATO DE ENTREGA</v>
      </c>
      <c r="L3" s="82">
        <f>IF(Consultas!R3='Parâmetros'!$E$1,1,-3)</f>
        <v>1</v>
      </c>
      <c r="M3" s="82">
        <f>IF(Consultas!S3&gt;1,(IF(Consultas!S3='Parâmetros'!$E$1,-3,9)))</f>
        <v>-3</v>
      </c>
      <c r="N3" s="82">
        <f>IF(Consultas!T3="S",23,0)</f>
        <v>0</v>
      </c>
      <c r="O3" s="82">
        <f>IF(Consultas!U3='Parâmetros'!$E$1,-3,3)</f>
        <v>3</v>
      </c>
      <c r="P3" s="82">
        <f>IF(Consultas!V3='Parâmetros'!$E$1,-100,2)</f>
        <v>2</v>
      </c>
      <c r="Q3" s="82">
        <f>IF(Consultas!M3='Parâmetros'!$D$1,2,-9)</f>
        <v>2</v>
      </c>
      <c r="R3" s="82">
        <f>IF(Consultas!N3="RJ",-12,0)</f>
        <v>0</v>
      </c>
      <c r="S3" s="82">
        <f>IF(Consultas!O3="-",-3,IF(Consultas!O3=0,-6,IF(Consultas!O3=5,0,IF(Consultas!O3=10,6))))</f>
        <v>0</v>
      </c>
      <c r="T3" s="82">
        <f>IF(Consultas!M3="S",0,(IF(Consultas!P3="S",6,0)))</f>
        <v>0</v>
      </c>
      <c r="U3" s="82">
        <f>IF(Consultas!Q3&gt;97,9,IF(Consultas!Q3&gt;75,0,-7))</f>
        <v>9</v>
      </c>
      <c r="V3" s="82">
        <f>IF(Consultas!W3='Parâmetros'!$E$1,1,-5)</f>
        <v>1</v>
      </c>
      <c r="W3" s="82">
        <f>IF(Consultas!X3="S",3,-3)</f>
        <v>3</v>
      </c>
      <c r="X3" s="82">
        <f>IF(Consultas!Y3="S",0,-7)</f>
        <v>0</v>
      </c>
      <c r="Y3" s="82">
        <f>IF(Consultas!Z3='Parâmetros'!$E$1,2,-8)</f>
        <v>2</v>
      </c>
      <c r="Z3" s="82">
        <f>IF(Consultas!AA3='Parâmetros'!$E$1,-15,1)</f>
        <v>1</v>
      </c>
      <c r="AA3" s="147" t="s">
        <v>140</v>
      </c>
      <c r="AB3" s="82">
        <f>IF(E3="NA","NA",IF(E3&gt;'Parâmetros'!$A$9,8,IF(E3&gt;'Parâmetros'!$A$8,4,IF(E3&gt;'Parâmetros'!$A$7,0,-6))))</f>
        <v>8</v>
      </c>
      <c r="AC3" s="82">
        <f>IF(Consultas!AC3='Parâmetros'!$E$1,0,5)</f>
        <v>0</v>
      </c>
      <c r="AD3" s="82">
        <f>IF(Consultas!AH3='Parâmetros'!$D$1,-10,5)</f>
        <v>5</v>
      </c>
      <c r="AE3" s="82">
        <f>IF(Consultas!AI3&gt;(Consultas!F3*2),-10,0)</f>
        <v>0</v>
      </c>
      <c r="AF3" s="82">
        <f>IF(Consultas!AD3&gt;1,(IF(Consultas!AI3&gt;(Consultas!AD3),-20,4)))</f>
        <v>4</v>
      </c>
      <c r="AG3" s="82">
        <f>IF(Consultas!AG3='Parâmetros'!$E$1,0,-6)</f>
        <v>0</v>
      </c>
      <c r="AH3" s="82">
        <f>IF(Consultas!AF3='Parâmetros'!$E$1,1,-5)</f>
        <v>-5</v>
      </c>
      <c r="AI3" s="82">
        <f>IF(Consultas!AJ3&gt;700,8,IF(Consultas!AJ3&gt;500,4,IF(Consultas!AJ3&gt;200,-4,IF(Consultas!AJ3&gt;1,-15,-20))))</f>
        <v>4</v>
      </c>
      <c r="AJ3" s="82">
        <f>IF(Consultas!AD3='Parâmetros'!$E$10,0,IF(Consultas!AD3&gt;'Parâmetros'!$A$30,12,IF(Consultas!AD3&gt;'Parâmetros'!$A$31,6,IF(Consultas!AD3&gt;'Parâmetros'!$A$32,0,IF(Consultas!AD3&gt;'Parâmetros'!$A$33,0,IF(Consultas!AD3&gt;'Parâmetros'!$A$34,-3,IF(Consultas!AD3&gt;'Parâmetros'!$A$35,-7,-1)))))))</f>
        <v>12</v>
      </c>
      <c r="AK3" s="82">
        <f>IF(Consultas!AO3='Parâmetros'!$D$1,3,-3)</f>
        <v>-3</v>
      </c>
      <c r="AL3" s="82">
        <f>IF(Consultas!AP3='Parâmetros'!$D$1,5,-3)</f>
        <v>-3</v>
      </c>
      <c r="AM3" s="82">
        <f>IF(Consultas!AL3="N",-6,0)</f>
        <v>0</v>
      </c>
      <c r="AN3" s="82">
        <f>IF(Consultas!AM3="N",-10,0)</f>
        <v>0</v>
      </c>
      <c r="AO3" s="82">
        <f>IF(Consultas!AN3="S",4,-2)</f>
        <v>-2</v>
      </c>
      <c r="AP3" s="39"/>
      <c r="AQ3" s="165">
        <f>IF(Consultas!F3&gt;1,(SUM(F3:AO3)),"N/A")</f>
        <v>56</v>
      </c>
      <c r="AR3" s="78" t="str">
        <f>IF((Consultas!AD3&gt;'Parâmetros'!$A$31),"X",AJ3+Y3+V3+AC3)</f>
        <v>X</v>
      </c>
      <c r="AS3" s="78" t="str">
        <f>IF((Consultas!AD3&gt;'Parâmetros'!$A$31),"X",(H3+I3+J3+Q3+T3+Y3+Z3+AJ3+AN3))</f>
        <v>X</v>
      </c>
      <c r="AT3" s="78">
        <f>IF((Consultas!AD3&lt;'Parâmetros'!$A$31),"X",(AD3+AC3+AB3))</f>
        <v>13</v>
      </c>
      <c r="AU3" s="78">
        <f t="shared" si="1"/>
        <v>13</v>
      </c>
      <c r="AV3" s="82" t="str">
        <f>IF(AQ3="N/A","N/A",IF(AQ3&gt;5,'Parâmetros'!$A$15,(IF(AU3=AR3,'Parâmetros'!$A$17,IF(AU3=AS3,'Parâmetros'!$A$16,'Parâmetros'!$A$14)))))</f>
        <v>SEM-RISCO</v>
      </c>
      <c r="AW3" s="86" t="str">
        <f>IF(AQ3="N/A","N/A",IF(AV3='Parâmetros'!$A$15,'Parâmetros'!$C$15,(IF(AV3='Parâmetros'!$A$17,'Parâmetros'!$C$17,IF(AV3='Parâmetros'!$A$16,'Parâmetros'!$C$16,IF(AV3='Parâmetros'!$A$14,'Parâmetros'!$C$12))))))</f>
        <v>LIBERADO</v>
      </c>
      <c r="AX3" s="82" t="str">
        <f>IF(Consultas!F3&gt;1,(IF(Consultas!F3&gt;5000,"SOLICITAR PED COMPRA","N/A")))</f>
        <v>SOLICITAR PED COMPRA</v>
      </c>
      <c r="AY3" s="167" t="str">
        <f>IF(AND(Consultas!M3&lt;&gt;"S", Consultas!H3="S"), "CHECAGEM REVERSA", "N/A")</f>
        <v>N/A</v>
      </c>
      <c r="AZ3" s="167" t="str">
        <f>IF(Consultas!U3="N","PRECISA CORRIGIR END DIVERGENTE","N/A")</f>
        <v>N/A</v>
      </c>
    </row>
    <row r="4" ht="12.0" customHeight="1">
      <c r="A4" s="39" t="s">
        <v>90</v>
      </c>
      <c r="B4" s="82">
        <f>Consultas!B4</f>
        <v>167</v>
      </c>
      <c r="C4" s="82" t="str">
        <f>Consultas!D4</f>
        <v>Metalpleno</v>
      </c>
      <c r="D4" s="96" t="str">
        <f>Consultas!E4</f>
        <v>144468</v>
      </c>
      <c r="E4" s="104">
        <f>IF(Consultas!AB4&gt;0,YEAR('Parâmetros'!$B$1)-YEAR(Consultas!AB4),"NA")</f>
        <v>21</v>
      </c>
      <c r="F4" s="82">
        <f>IF(Consultas!F4&gt;'Parâmetros'!$B$2,-8,0)</f>
        <v>0</v>
      </c>
      <c r="G4" s="82">
        <f>IF(Consultas!H4='Parâmetros'!$E$1,100,0)</f>
        <v>0</v>
      </c>
      <c r="H4" s="82">
        <f>IF(Consultas!I4='Parâmetros'!$E$1,-4,12)</f>
        <v>12</v>
      </c>
      <c r="I4" s="82">
        <f>IF(Consultas!J4='Parâmetros'!$E$1,1,-13)</f>
        <v>1</v>
      </c>
      <c r="J4" s="82">
        <f>IF(Consultas!K4='Parâmetros'!$E$1,2,-5)</f>
        <v>2</v>
      </c>
      <c r="K4" s="82" t="str">
        <f>IF(Consultas!L4='Parâmetros'!$D$1,"SOLIC CONTRATO DE ENTREGA","N/A")</f>
        <v>SOLIC CONTRATO DE ENTREGA</v>
      </c>
      <c r="L4" s="82">
        <f>IF(Consultas!R4='Parâmetros'!$E$1,1,-3)</f>
        <v>1</v>
      </c>
      <c r="M4" s="82">
        <f>IF(Consultas!S4&gt;1,(IF(Consultas!S4='Parâmetros'!$E$1,-3,9)))</f>
        <v>-3</v>
      </c>
      <c r="N4" s="82">
        <f>IF(Consultas!T4="S",23,0)</f>
        <v>0</v>
      </c>
      <c r="O4" s="82">
        <f>IF(Consultas!U4='Parâmetros'!$E$1,-3,3)</f>
        <v>3</v>
      </c>
      <c r="P4" s="82">
        <f>IF(Consultas!V4='Parâmetros'!$E$1,-100,2)</f>
        <v>2</v>
      </c>
      <c r="Q4" s="82">
        <f>IF(Consultas!M4='Parâmetros'!$D$1,2,-9)</f>
        <v>2</v>
      </c>
      <c r="R4" s="82">
        <f>IF(Consultas!N4="RJ",-12,0)</f>
        <v>0</v>
      </c>
      <c r="S4" s="82">
        <f>IF(Consultas!O4="-",-3,IF(Consultas!O4=0,-6,IF(Consultas!O4=5,0,IF(Consultas!O4=10,6))))</f>
        <v>0</v>
      </c>
      <c r="T4" s="82">
        <f>IF(Consultas!M4="S",0,(IF(Consultas!P4="S",6,0)))</f>
        <v>0</v>
      </c>
      <c r="U4" s="82">
        <f>IF(Consultas!Q4&gt;97,9,IF(Consultas!Q4&gt;75,0,-7))</f>
        <v>9</v>
      </c>
      <c r="V4" s="82">
        <f>IF(Consultas!W4='Parâmetros'!$E$1,1,-5)</f>
        <v>-5</v>
      </c>
      <c r="W4" s="82">
        <f>IF(Consultas!X4="S",3,-3)</f>
        <v>3</v>
      </c>
      <c r="X4" s="82">
        <f>IF(Consultas!Y4="S",0,-7)</f>
        <v>-7</v>
      </c>
      <c r="Y4" s="82">
        <f>IF(Consultas!Z4='Parâmetros'!$E$1,2,-8)</f>
        <v>2</v>
      </c>
      <c r="Z4" s="82">
        <f>IF(Consultas!AA4='Parâmetros'!$E$1,-15,1)</f>
        <v>1</v>
      </c>
      <c r="AA4" s="147" t="s">
        <v>140</v>
      </c>
      <c r="AB4" s="82">
        <f>IF(E4="NA","NA",IF(E4&gt;'Parâmetros'!$A$9,8,IF(E4&gt;'Parâmetros'!$A$8,4,IF(E4&gt;'Parâmetros'!$A$7,0,-6))))</f>
        <v>4</v>
      </c>
      <c r="AC4" s="82">
        <f>IF(Consultas!AC4='Parâmetros'!$E$1,0,5)</f>
        <v>0</v>
      </c>
      <c r="AD4" s="82">
        <f>IF(Consultas!AH4='Parâmetros'!$D$1,-10,5)</f>
        <v>5</v>
      </c>
      <c r="AE4" s="82">
        <f>IF(Consultas!AI4&gt;(Consultas!F4*2),-10,0)</f>
        <v>0</v>
      </c>
      <c r="AF4" s="82">
        <f>IF(Consultas!AD4&gt;1,(IF(Consultas!AI4&gt;(Consultas!AD4),-20,4)))</f>
        <v>4</v>
      </c>
      <c r="AG4" s="82">
        <f>IF(Consultas!AG4='Parâmetros'!$E$1,0,-6)</f>
        <v>0</v>
      </c>
      <c r="AH4" s="82">
        <f>IF(Consultas!AF4='Parâmetros'!$E$1,1,-5)</f>
        <v>1</v>
      </c>
      <c r="AI4" s="82">
        <f>IF(Consultas!AJ4&gt;700,8,IF(Consultas!AJ4&gt;500,4,IF(Consultas!AJ4&gt;200,-4,IF(Consultas!AJ4&gt;1,-15,-20))))</f>
        <v>4</v>
      </c>
      <c r="AJ4" s="82">
        <f>IF(Consultas!AD4='Parâmetros'!$E$10,0,IF(Consultas!AD4&gt;'Parâmetros'!$A$30,12,IF(Consultas!AD4&gt;'Parâmetros'!$A$31,6,IF(Consultas!AD4&gt;'Parâmetros'!$A$32,0,IF(Consultas!AD4&gt;'Parâmetros'!$A$33,0,IF(Consultas!AD4&gt;'Parâmetros'!$A$34,-3,IF(Consultas!AD4&gt;'Parâmetros'!$A$35,-7,-1)))))))</f>
        <v>12</v>
      </c>
      <c r="AK4" s="82">
        <f>IF(Consultas!AO4='Parâmetros'!$D$1,3,-3)</f>
        <v>-3</v>
      </c>
      <c r="AL4" s="82">
        <f>IF(Consultas!AP4='Parâmetros'!$D$1,5,-3)</f>
        <v>-3</v>
      </c>
      <c r="AM4" s="82">
        <f>IF(Consultas!AL4="N",-6,0)</f>
        <v>0</v>
      </c>
      <c r="AN4" s="82">
        <f>IF(Consultas!AM4="N",-10,0)</f>
        <v>0</v>
      </c>
      <c r="AO4" s="82">
        <f>IF(Consultas!AN4="S",4,-2)</f>
        <v>-2</v>
      </c>
      <c r="AP4" s="39"/>
      <c r="AQ4" s="165">
        <f>IF(Consultas!F4&gt;1,(SUM(F4:AO4)),"N/A")</f>
        <v>45</v>
      </c>
      <c r="AR4" s="78" t="str">
        <f>IF((Consultas!AD4&gt;'Parâmetros'!$A$31),"X",AJ4+Y4+V4+AC4)</f>
        <v>X</v>
      </c>
      <c r="AS4" s="78" t="str">
        <f>IF((Consultas!AD4&gt;'Parâmetros'!$A$31),"X",(H4+I4+J4+Q4+T4+Y4+Z4+AJ4+AN4))</f>
        <v>X</v>
      </c>
      <c r="AT4" s="78">
        <f>IF((Consultas!AD4&lt;'Parâmetros'!$A$31),"X",(AD4+AC4+AB4))</f>
        <v>9</v>
      </c>
      <c r="AU4" s="78">
        <f t="shared" si="1"/>
        <v>9</v>
      </c>
      <c r="AV4" s="82" t="str">
        <f>IF(AQ4="N/A","N/A",IF(AQ4&gt;5,'Parâmetros'!$A$15,(IF(AU4=AR4,'Parâmetros'!$A$17,IF(AU4=AS4,'Parâmetros'!$A$16,'Parâmetros'!$A$14)))))</f>
        <v>SEM-RISCO</v>
      </c>
      <c r="AW4" s="86" t="str">
        <f>IF(AQ4="N/A","N/A",IF(AV4='Parâmetros'!$A$15,'Parâmetros'!$C$15,(IF(AV4='Parâmetros'!$A$17,'Parâmetros'!$C$17,IF(AV4='Parâmetros'!$A$16,'Parâmetros'!$C$16,IF(AV4='Parâmetros'!$A$14,'Parâmetros'!$C$12))))))</f>
        <v>LIBERADO</v>
      </c>
      <c r="AX4" s="82" t="str">
        <f>IF(Consultas!F4&gt;1,(IF(Consultas!F4&gt;5000,"SOLICITAR PED COMPRA","N/A")))</f>
        <v>N/A</v>
      </c>
      <c r="AY4" s="167" t="str">
        <f>IF(AND(Consultas!M4&lt;&gt;"S", Consultas!H4="S"), "CHECAGEM REVERSA", "N/A")</f>
        <v>N/A</v>
      </c>
      <c r="AZ4" s="167" t="str">
        <f>IF(Consultas!U4="N","PRECISA CORRIGIR END DIVERGENTE","N/A")</f>
        <v>N/A</v>
      </c>
    </row>
    <row r="5" ht="12.0" customHeight="1">
      <c r="A5" s="39" t="s">
        <v>90</v>
      </c>
      <c r="B5" s="82">
        <f>Consultas!B5</f>
        <v>1864</v>
      </c>
      <c r="C5" s="82" t="str">
        <f>Consultas!D5</f>
        <v>GsiBW</v>
      </c>
      <c r="D5" s="96" t="str">
        <f>Consultas!E5</f>
        <v>021332</v>
      </c>
      <c r="E5" s="104">
        <f>IF(Consultas!AB5&gt;0,YEAR('Parâmetros'!$B$1)-YEAR(Consultas!AB5),"NA")</f>
        <v>43</v>
      </c>
      <c r="F5" s="82">
        <f>IF(Consultas!F5&gt;'Parâmetros'!$B$2,-8,0)</f>
        <v>0</v>
      </c>
      <c r="G5" s="82">
        <f>IF(Consultas!H5='Parâmetros'!$E$1,100,0)</f>
        <v>0</v>
      </c>
      <c r="H5" s="82">
        <f>IF(Consultas!I5='Parâmetros'!$E$1,-4,12)</f>
        <v>-4</v>
      </c>
      <c r="I5" s="82">
        <f>IF(Consultas!J5='Parâmetros'!$E$1,1,-13)</f>
        <v>1</v>
      </c>
      <c r="J5" s="82">
        <f>IF(Consultas!K5='Parâmetros'!$E$1,2,-5)</f>
        <v>2</v>
      </c>
      <c r="K5" s="82" t="str">
        <f>IF(Consultas!L5='Parâmetros'!$D$1,"SOLIC CONTRATO DE ENTREGA","N/A")</f>
        <v>N/A</v>
      </c>
      <c r="L5" s="82">
        <f>IF(Consultas!R5='Parâmetros'!$E$1,1,-3)</f>
        <v>1</v>
      </c>
      <c r="M5" s="82">
        <f>IF(Consultas!S5&gt;1,(IF(Consultas!S5='Parâmetros'!$E$1,-3,9)))</f>
        <v>9</v>
      </c>
      <c r="N5" s="82">
        <f>IF(Consultas!T5="S",23,0)</f>
        <v>0</v>
      </c>
      <c r="O5" s="82">
        <f>IF(Consultas!U5='Parâmetros'!$E$1,-3,3)</f>
        <v>3</v>
      </c>
      <c r="P5" s="82">
        <f>IF(Consultas!V5='Parâmetros'!$E$1,-100,2)</f>
        <v>2</v>
      </c>
      <c r="Q5" s="82">
        <f>IF(Consultas!M5='Parâmetros'!$D$1,2,-9)</f>
        <v>2</v>
      </c>
      <c r="R5" s="82">
        <f>IF(Consultas!N5="RJ",-12,0)</f>
        <v>0</v>
      </c>
      <c r="S5" s="82">
        <f>IF(Consultas!O5="-",-3,IF(Consultas!O5=0,-6,IF(Consultas!O5=5,0,IF(Consultas!O5=10,6))))</f>
        <v>-3</v>
      </c>
      <c r="T5" s="82">
        <f>IF(Consultas!M5="S",0,(IF(Consultas!P5="S",6,0)))</f>
        <v>0</v>
      </c>
      <c r="U5" s="82">
        <f>IF(Consultas!Q5&gt;97,9,IF(Consultas!Q5&gt;75,0,-7))</f>
        <v>9</v>
      </c>
      <c r="V5" s="82">
        <f>IF(Consultas!W5='Parâmetros'!$E$1,1,-5)</f>
        <v>1</v>
      </c>
      <c r="W5" s="82">
        <f>IF(Consultas!X5="S",3,-3)</f>
        <v>3</v>
      </c>
      <c r="X5" s="82">
        <f>IF(Consultas!Y5="S",0,-7)</f>
        <v>0</v>
      </c>
      <c r="Y5" s="82">
        <f>IF(Consultas!Z5='Parâmetros'!$E$1,2,-8)</f>
        <v>2</v>
      </c>
      <c r="Z5" s="82">
        <f>IF(Consultas!AA5='Parâmetros'!$E$1,-15,1)</f>
        <v>1</v>
      </c>
      <c r="AA5" s="147" t="s">
        <v>140</v>
      </c>
      <c r="AB5" s="82">
        <f>IF(E5="NA","NA",IF(E5&gt;'Parâmetros'!$A$9,8,IF(E5&gt;'Parâmetros'!$A$8,4,IF(E5&gt;'Parâmetros'!$A$7,0,-6))))</f>
        <v>8</v>
      </c>
      <c r="AC5" s="82">
        <f>IF(Consultas!AC5='Parâmetros'!$E$1,0,5)</f>
        <v>0</v>
      </c>
      <c r="AD5" s="82">
        <f>IF(Consultas!AH5='Parâmetros'!$D$1,-10,5)</f>
        <v>5</v>
      </c>
      <c r="AE5" s="82">
        <f>IF(Consultas!AI5&gt;(Consultas!F5*2),-10,0)</f>
        <v>0</v>
      </c>
      <c r="AF5" s="82">
        <f>IF(Consultas!AD5&gt;1,(IF(Consultas!AI5&gt;(Consultas!AD5),-20,4)))</f>
        <v>4</v>
      </c>
      <c r="AG5" s="82">
        <f>IF(Consultas!AG5='Parâmetros'!$E$1,0,-6)</f>
        <v>0</v>
      </c>
      <c r="AH5" s="82">
        <f>IF(Consultas!AF5='Parâmetros'!$E$1,1,-5)</f>
        <v>1</v>
      </c>
      <c r="AI5" s="82">
        <f>IF(Consultas!AJ5&gt;700,8,IF(Consultas!AJ5&gt;500,4,IF(Consultas!AJ5&gt;200,-4,IF(Consultas!AJ5&gt;1,-15,-20))))</f>
        <v>8</v>
      </c>
      <c r="AJ5" s="82">
        <f>IF(Consultas!AD5='Parâmetros'!$E$10,0,IF(Consultas!AD5&gt;'Parâmetros'!$A$30,12,IF(Consultas!AD5&gt;'Parâmetros'!$A$31,6,IF(Consultas!AD5&gt;'Parâmetros'!$A$32,0,IF(Consultas!AD5&gt;'Parâmetros'!$A$33,0,IF(Consultas!AD5&gt;'Parâmetros'!$A$34,-3,IF(Consultas!AD5&gt;'Parâmetros'!$A$35,-7,-1)))))))</f>
        <v>12</v>
      </c>
      <c r="AK5" s="82">
        <f>IF(Consultas!AO5='Parâmetros'!$D$1,3,-3)</f>
        <v>-3</v>
      </c>
      <c r="AL5" s="82">
        <f>IF(Consultas!AP5='Parâmetros'!$D$1,5,-3)</f>
        <v>-3</v>
      </c>
      <c r="AM5" s="82">
        <f>IF(Consultas!AL5="N",-6,0)</f>
        <v>0</v>
      </c>
      <c r="AN5" s="82">
        <f>IF(Consultas!AM5="N",-10,0)</f>
        <v>0</v>
      </c>
      <c r="AO5" s="82">
        <f>IF(Consultas!AN5="S",4,-2)</f>
        <v>-2</v>
      </c>
      <c r="AP5" s="39"/>
      <c r="AQ5" s="165">
        <f>IF(Consultas!F5&gt;1,(SUM(F5:AO5)),"N/A")</f>
        <v>59</v>
      </c>
      <c r="AR5" s="78" t="str">
        <f>IF((Consultas!AD5&gt;'Parâmetros'!$A$31),"X",AJ5+Y5+V5+AC5)</f>
        <v>X</v>
      </c>
      <c r="AS5" s="78" t="str">
        <f>IF((Consultas!AD5&gt;'Parâmetros'!$A$31),"X",(H5+I5+J5+Q5+T5+Y5+Z5+AJ5+AN5))</f>
        <v>X</v>
      </c>
      <c r="AT5" s="78">
        <f>IF((Consultas!AD5&lt;'Parâmetros'!$A$31),"X",(AD5+AC5+AB5))</f>
        <v>13</v>
      </c>
      <c r="AU5" s="78">
        <f t="shared" si="1"/>
        <v>13</v>
      </c>
      <c r="AV5" s="82" t="str">
        <f>IF(AQ5="N/A","N/A",IF(AQ5&gt;5,'Parâmetros'!$A$15,(IF(AU5=AR5,'Parâmetros'!$A$17,IF(AU5=AS5,'Parâmetros'!$A$16,'Parâmetros'!$A$14)))))</f>
        <v>SEM-RISCO</v>
      </c>
      <c r="AW5" s="86" t="str">
        <f>IF(AQ5="N/A","N/A",IF(AV5='Parâmetros'!$A$15,'Parâmetros'!$C$15,(IF(AV5='Parâmetros'!$A$17,'Parâmetros'!$C$17,IF(AV5='Parâmetros'!$A$16,'Parâmetros'!$C$16,IF(AV5='Parâmetros'!$A$14,'Parâmetros'!$C$12))))))</f>
        <v>LIBERADO</v>
      </c>
      <c r="AX5" s="82" t="str">
        <f>IF(Consultas!F5&gt;1,(IF(Consultas!F5&gt;5000,"SOLICITAR PED COMPRA","N/A")))</f>
        <v>N/A</v>
      </c>
      <c r="AY5" s="167" t="str">
        <f>IF(AND(Consultas!M5&lt;&gt;"S", Consultas!H5="S"), "CHECAGEM REVERSA", "N/A")</f>
        <v>N/A</v>
      </c>
      <c r="AZ5" s="167" t="str">
        <f>IF(Consultas!U5="N","PRECISA CORRIGIR END DIVERGENTE","N/A")</f>
        <v>N/A</v>
      </c>
    </row>
    <row r="6" ht="12.0" customHeight="1">
      <c r="A6" s="39" t="s">
        <v>90</v>
      </c>
      <c r="B6" s="82">
        <f>Consultas!B6</f>
        <v>442</v>
      </c>
      <c r="C6" s="82" t="str">
        <f>Consultas!D6</f>
        <v>Oaco</v>
      </c>
      <c r="D6" s="96" t="str">
        <f>Consultas!E6</f>
        <v>144469</v>
      </c>
      <c r="E6" s="104">
        <f>IF(Consultas!AB6&gt;0,YEAR('Parâmetros'!$B$1)-YEAR(Consultas!AB6),"NA")</f>
        <v>9</v>
      </c>
      <c r="F6" s="82">
        <f>IF(Consultas!F6&gt;'Parâmetros'!$B$2,-8,0)</f>
        <v>0</v>
      </c>
      <c r="G6" s="82">
        <f>IF(Consultas!H6='Parâmetros'!$E$1,100,0)</f>
        <v>0</v>
      </c>
      <c r="H6" s="82">
        <f>IF(Consultas!I6='Parâmetros'!$E$1,-4,12)</f>
        <v>-4</v>
      </c>
      <c r="I6" s="82">
        <f>IF(Consultas!J6='Parâmetros'!$E$1,1,-13)</f>
        <v>1</v>
      </c>
      <c r="J6" s="82">
        <f>IF(Consultas!K6='Parâmetros'!$E$1,2,-5)</f>
        <v>2</v>
      </c>
      <c r="K6" s="82" t="str">
        <f>IF(Consultas!L6='Parâmetros'!$D$1,"SOLIC CONTRATO DE ENTREGA","N/A")</f>
        <v>N/A</v>
      </c>
      <c r="L6" s="82">
        <f>IF(Consultas!R6='Parâmetros'!$E$1,1,-3)</f>
        <v>1</v>
      </c>
      <c r="M6" s="82">
        <f>IF(Consultas!S6&gt;1,(IF(Consultas!S6='Parâmetros'!$E$1,-3,9)))</f>
        <v>-3</v>
      </c>
      <c r="N6" s="82">
        <f>IF(Consultas!T6="S",23,0)</f>
        <v>0</v>
      </c>
      <c r="O6" s="82">
        <f>IF(Consultas!U6='Parâmetros'!$E$1,-3,3)</f>
        <v>3</v>
      </c>
      <c r="P6" s="82">
        <f>IF(Consultas!V6='Parâmetros'!$E$1,-100,2)</f>
        <v>2</v>
      </c>
      <c r="Q6" s="82">
        <f>IF(Consultas!M6='Parâmetros'!$D$1,2,-9)</f>
        <v>2</v>
      </c>
      <c r="R6" s="82">
        <f>IF(Consultas!N6="RJ",-12,0)</f>
        <v>0</v>
      </c>
      <c r="S6" s="82">
        <f>IF(Consultas!O6="-",-3,IF(Consultas!O6=0,-6,IF(Consultas!O6=5,0,IF(Consultas!O6=10,6))))</f>
        <v>-3</v>
      </c>
      <c r="T6" s="82">
        <f>IF(Consultas!M6="S",0,(IF(Consultas!P6="S",6,0)))</f>
        <v>0</v>
      </c>
      <c r="U6" s="82">
        <f>IF(Consultas!Q6&gt;97,9,IF(Consultas!Q6&gt;75,0,-7))</f>
        <v>9</v>
      </c>
      <c r="V6" s="82">
        <f>IF(Consultas!W6='Parâmetros'!$E$1,1,-5)</f>
        <v>1</v>
      </c>
      <c r="W6" s="82">
        <f>IF(Consultas!X6="S",3,-3)</f>
        <v>3</v>
      </c>
      <c r="X6" s="82">
        <f>IF(Consultas!Y6="S",0,-7)</f>
        <v>0</v>
      </c>
      <c r="Y6" s="82">
        <f>IF(Consultas!Z6='Parâmetros'!$E$1,2,-8)</f>
        <v>2</v>
      </c>
      <c r="Z6" s="82">
        <f>IF(Consultas!AA6='Parâmetros'!$E$1,-15,1)</f>
        <v>1</v>
      </c>
      <c r="AA6" s="147" t="s">
        <v>140</v>
      </c>
      <c r="AB6" s="82">
        <f>IF(E6="NA","NA",IF(E6&gt;'Parâmetros'!$A$9,8,IF(E6&gt;'Parâmetros'!$A$8,4,IF(E6&gt;'Parâmetros'!$A$7,0,-6))))</f>
        <v>0</v>
      </c>
      <c r="AC6" s="82">
        <f>IF(Consultas!AC6='Parâmetros'!$E$1,0,5)</f>
        <v>5</v>
      </c>
      <c r="AD6" s="82">
        <f>IF(Consultas!AH6='Parâmetros'!$D$1,-10,5)</f>
        <v>-10</v>
      </c>
      <c r="AE6" s="82">
        <f>IF(Consultas!AI6&gt;(Consultas!F6*2),-10,0)</f>
        <v>-10</v>
      </c>
      <c r="AF6" s="82">
        <f>IF(Consultas!AD6&gt;1,(IF(Consultas!AI6&gt;(Consultas!AD6),-20,4)))</f>
        <v>4</v>
      </c>
      <c r="AG6" s="82">
        <f>IF(Consultas!AG6='Parâmetros'!$E$1,0,-6)</f>
        <v>0</v>
      </c>
      <c r="AH6" s="82">
        <f>IF(Consultas!AF6='Parâmetros'!$E$1,1,-5)</f>
        <v>-5</v>
      </c>
      <c r="AI6" s="82">
        <f>IF(Consultas!AJ6&gt;700,8,IF(Consultas!AJ6&gt;500,4,IF(Consultas!AJ6&gt;200,-4,IF(Consultas!AJ6&gt;1,-15,-20))))</f>
        <v>8</v>
      </c>
      <c r="AJ6" s="82">
        <f>IF(Consultas!AD6='Parâmetros'!$E$10,0,IF(Consultas!AD6&gt;'Parâmetros'!$A$30,12,IF(Consultas!AD6&gt;'Parâmetros'!$A$31,6,IF(Consultas!AD6&gt;'Parâmetros'!$A$32,0,IF(Consultas!AD6&gt;'Parâmetros'!$A$33,0,IF(Consultas!AD6&gt;'Parâmetros'!$A$34,-3,IF(Consultas!AD6&gt;'Parâmetros'!$A$35,-7,-1)))))))</f>
        <v>12</v>
      </c>
      <c r="AK6" s="82">
        <f>IF(Consultas!AO6='Parâmetros'!$D$1,3,-3)</f>
        <v>-3</v>
      </c>
      <c r="AL6" s="82">
        <f>IF(Consultas!AP6='Parâmetros'!$D$1,5,-3)</f>
        <v>-3</v>
      </c>
      <c r="AM6" s="82">
        <f>IF(Consultas!AL6="N",-6,0)</f>
        <v>0</v>
      </c>
      <c r="AN6" s="82">
        <f>IF(Consultas!AM6="N",-10,0)</f>
        <v>0</v>
      </c>
      <c r="AO6" s="82">
        <f>IF(Consultas!AN6="S",4,-2)</f>
        <v>-2</v>
      </c>
      <c r="AP6" s="39"/>
      <c r="AQ6" s="165">
        <f>IF(Consultas!F6&gt;1,(SUM(F6:AO6)),"N/A")</f>
        <v>13</v>
      </c>
      <c r="AR6" s="78" t="str">
        <f>IF((Consultas!AD6&gt;'Parâmetros'!$A$31),"X",AJ6+Y6+V6+AC6)</f>
        <v>X</v>
      </c>
      <c r="AS6" s="78" t="str">
        <f>IF((Consultas!AD6&gt;'Parâmetros'!$A$31),"X",(H6+I6+J6+Q6+T6+Y6+Z6+AJ6+AN6))</f>
        <v>X</v>
      </c>
      <c r="AT6" s="78">
        <f>IF((Consultas!AD6&lt;'Parâmetros'!$A$31),"X",(AD6+AC6+AB6))</f>
        <v>-5</v>
      </c>
      <c r="AU6" s="78">
        <f t="shared" si="1"/>
        <v>-5</v>
      </c>
      <c r="AV6" s="82" t="str">
        <f>IF(AQ6="N/A","N/A",IF(AQ6&gt;5,'Parâmetros'!$A$15,(IF(AU6=AR6,'Parâmetros'!$A$17,IF(AU6=AS6,'Parâmetros'!$A$16,'Parâmetros'!$A$14)))))</f>
        <v>SEM-RISCO</v>
      </c>
      <c r="AW6" s="86" t="str">
        <f>IF(AQ6="N/A","N/A",IF(AV6='Parâmetros'!$A$15,'Parâmetros'!$C$15,(IF(AV6='Parâmetros'!$A$17,'Parâmetros'!$C$17,IF(AV6='Parâmetros'!$A$16,'Parâmetros'!$C$16,IF(AV6='Parâmetros'!$A$14,'Parâmetros'!$C$12))))))</f>
        <v>LIBERADO</v>
      </c>
      <c r="AX6" s="82" t="str">
        <f>IF(Consultas!F6&gt;1,(IF(Consultas!F6&gt;5000,"SOLICITAR PED COMPRA","N/A")))</f>
        <v>N/A</v>
      </c>
      <c r="AY6" s="167" t="str">
        <f>IF(AND(Consultas!M6&lt;&gt;"S", Consultas!H6="S"), "CHECAGEM REVERSA", "N/A")</f>
        <v>N/A</v>
      </c>
      <c r="AZ6" s="167" t="str">
        <f>IF(Consultas!U6="N","PRECISA CORRIGIR END DIVERGENTE","N/A")</f>
        <v>N/A</v>
      </c>
    </row>
    <row r="7" ht="12.0" customHeight="1">
      <c r="A7" s="39" t="s">
        <v>90</v>
      </c>
      <c r="B7" s="82">
        <f>Consultas!B7</f>
        <v>444</v>
      </c>
      <c r="C7" s="82" t="str">
        <f>Consultas!D7</f>
        <v>Oaco</v>
      </c>
      <c r="D7" s="96" t="str">
        <f>Consultas!E7</f>
        <v>144471</v>
      </c>
      <c r="E7" s="104">
        <f>IF(Consultas!AB7&gt;0,YEAR('Parâmetros'!$B$1)-YEAR(Consultas!AB7),"NA")</f>
        <v>9</v>
      </c>
      <c r="F7" s="82">
        <f>IF(Consultas!F7&gt;'Parâmetros'!$B$2,-8,0)</f>
        <v>0</v>
      </c>
      <c r="G7" s="82">
        <f>IF(Consultas!H7='Parâmetros'!$E$1,100,0)</f>
        <v>0</v>
      </c>
      <c r="H7" s="82">
        <f>IF(Consultas!I7='Parâmetros'!$E$1,-4,12)</f>
        <v>-4</v>
      </c>
      <c r="I7" s="82">
        <f>IF(Consultas!J7='Parâmetros'!$E$1,1,-13)</f>
        <v>1</v>
      </c>
      <c r="J7" s="82">
        <f>IF(Consultas!K7='Parâmetros'!$E$1,2,-5)</f>
        <v>2</v>
      </c>
      <c r="K7" s="82" t="str">
        <f>IF(Consultas!L7='Parâmetros'!$D$1,"SOLIC CONTRATO DE ENTREGA","N/A")</f>
        <v>N/A</v>
      </c>
      <c r="L7" s="82">
        <f>IF(Consultas!R7='Parâmetros'!$E$1,1,-3)</f>
        <v>1</v>
      </c>
      <c r="M7" s="82">
        <f>IF(Consultas!S7&gt;1,(IF(Consultas!S7='Parâmetros'!$E$1,-3,9)))</f>
        <v>-3</v>
      </c>
      <c r="N7" s="82">
        <f>IF(Consultas!T7="S",23,0)</f>
        <v>0</v>
      </c>
      <c r="O7" s="82">
        <f>IF(Consultas!U7='Parâmetros'!$E$1,-3,3)</f>
        <v>3</v>
      </c>
      <c r="P7" s="82">
        <f>IF(Consultas!V7='Parâmetros'!$E$1,-100,2)</f>
        <v>2</v>
      </c>
      <c r="Q7" s="82">
        <f>IF(Consultas!M7='Parâmetros'!$D$1,2,-9)</f>
        <v>2</v>
      </c>
      <c r="R7" s="82">
        <f>IF(Consultas!N7="RJ",-12,0)</f>
        <v>0</v>
      </c>
      <c r="S7" s="82">
        <f>IF(Consultas!O7="-",-3,IF(Consultas!O7=0,-6,IF(Consultas!O7=5,0,IF(Consultas!O7=10,6))))</f>
        <v>-3</v>
      </c>
      <c r="T7" s="82">
        <f>IF(Consultas!M7="S",0,(IF(Consultas!P7="S",6,0)))</f>
        <v>0</v>
      </c>
      <c r="U7" s="82">
        <f>IF(Consultas!Q7&gt;97,9,IF(Consultas!Q7&gt;75,0,-7))</f>
        <v>9</v>
      </c>
      <c r="V7" s="82">
        <f>IF(Consultas!W7='Parâmetros'!$E$1,1,-5)</f>
        <v>1</v>
      </c>
      <c r="W7" s="82">
        <f>IF(Consultas!X7="S",3,-3)</f>
        <v>3</v>
      </c>
      <c r="X7" s="82">
        <f>IF(Consultas!Y7="S",0,-7)</f>
        <v>0</v>
      </c>
      <c r="Y7" s="82">
        <f>IF(Consultas!Z7='Parâmetros'!$E$1,2,-8)</f>
        <v>2</v>
      </c>
      <c r="Z7" s="82">
        <f>IF(Consultas!AA7='Parâmetros'!$E$1,-15,1)</f>
        <v>1</v>
      </c>
      <c r="AA7" s="147" t="s">
        <v>140</v>
      </c>
      <c r="AB7" s="82">
        <f>IF(E7="NA","NA",IF(E7&gt;'Parâmetros'!$A$9,8,IF(E7&gt;'Parâmetros'!$A$8,4,IF(E7&gt;'Parâmetros'!$A$7,0,-6))))</f>
        <v>0</v>
      </c>
      <c r="AC7" s="82">
        <f>IF(Consultas!AC7='Parâmetros'!$E$1,0,5)</f>
        <v>5</v>
      </c>
      <c r="AD7" s="82">
        <f>IF(Consultas!AH7='Parâmetros'!$D$1,-10,5)</f>
        <v>-10</v>
      </c>
      <c r="AE7" s="82">
        <f>IF(Consultas!AI7&gt;(Consultas!F7*2),-10,0)</f>
        <v>-10</v>
      </c>
      <c r="AF7" s="82">
        <f>IF(Consultas!AD7&gt;1,(IF(Consultas!AI7&gt;(Consultas!AD7),-20,4)))</f>
        <v>4</v>
      </c>
      <c r="AG7" s="82">
        <f>IF(Consultas!AG7='Parâmetros'!$E$1,0,-6)</f>
        <v>0</v>
      </c>
      <c r="AH7" s="82">
        <f>IF(Consultas!AF7='Parâmetros'!$E$1,1,-5)</f>
        <v>-5</v>
      </c>
      <c r="AI7" s="82">
        <f>IF(Consultas!AJ7&gt;700,8,IF(Consultas!AJ7&gt;500,4,IF(Consultas!AJ7&gt;200,-4,IF(Consultas!AJ7&gt;1,-15,-20))))</f>
        <v>8</v>
      </c>
      <c r="AJ7" s="82">
        <f>IF(Consultas!AD7='Parâmetros'!$E$10,0,IF(Consultas!AD7&gt;'Parâmetros'!$A$30,12,IF(Consultas!AD7&gt;'Parâmetros'!$A$31,6,IF(Consultas!AD7&gt;'Parâmetros'!$A$32,0,IF(Consultas!AD7&gt;'Parâmetros'!$A$33,0,IF(Consultas!AD7&gt;'Parâmetros'!$A$34,-3,IF(Consultas!AD7&gt;'Parâmetros'!$A$35,-7,-1)))))))</f>
        <v>12</v>
      </c>
      <c r="AK7" s="82">
        <f>IF(Consultas!AO7='Parâmetros'!$D$1,3,-3)</f>
        <v>-3</v>
      </c>
      <c r="AL7" s="82">
        <f>IF(Consultas!AP7='Parâmetros'!$D$1,5,-3)</f>
        <v>-3</v>
      </c>
      <c r="AM7" s="82">
        <f>IF(Consultas!AL7="N",-6,0)</f>
        <v>0</v>
      </c>
      <c r="AN7" s="82">
        <f>IF(Consultas!AM7="N",-10,0)</f>
        <v>0</v>
      </c>
      <c r="AO7" s="82">
        <f>IF(Consultas!AN7="S",4,-2)</f>
        <v>-2</v>
      </c>
      <c r="AP7" s="39"/>
      <c r="AQ7" s="165">
        <f>IF(Consultas!F7&gt;1,(SUM(F7:AO7)),"N/A")</f>
        <v>13</v>
      </c>
      <c r="AR7" s="78" t="str">
        <f>IF((Consultas!AD7&gt;'Parâmetros'!$A$31),"X",AJ7+Y7+V7+AC7)</f>
        <v>X</v>
      </c>
      <c r="AS7" s="78" t="str">
        <f>IF((Consultas!AD7&gt;'Parâmetros'!$A$31),"X",(H7+I7+J7+Q7+T7+Y7+Z7+AJ7+AN7))</f>
        <v>X</v>
      </c>
      <c r="AT7" s="78">
        <f>IF((Consultas!AD7&lt;'Parâmetros'!$A$31),"X",(AD7+AC7+AB7))</f>
        <v>-5</v>
      </c>
      <c r="AU7" s="78">
        <f t="shared" si="1"/>
        <v>-5</v>
      </c>
      <c r="AV7" s="82" t="str">
        <f>IF(AQ7="N/A","N/A",IF(AQ7&gt;5,'Parâmetros'!$A$15,(IF(AU7=AR7,'Parâmetros'!$A$17,IF(AU7=AS7,'Parâmetros'!$A$16,'Parâmetros'!$A$14)))))</f>
        <v>SEM-RISCO</v>
      </c>
      <c r="AW7" s="86" t="str">
        <f>IF(AQ7="N/A","N/A",IF(AV7='Parâmetros'!$A$15,'Parâmetros'!$C$15,(IF(AV7='Parâmetros'!$A$17,'Parâmetros'!$C$17,IF(AV7='Parâmetros'!$A$16,'Parâmetros'!$C$16,IF(AV7='Parâmetros'!$A$14,'Parâmetros'!$C$12))))))</f>
        <v>LIBERADO</v>
      </c>
      <c r="AX7" s="82" t="str">
        <f>IF(Consultas!F7&gt;1,(IF(Consultas!F7&gt;5000,"SOLICITAR PED COMPRA","N/A")))</f>
        <v>N/A</v>
      </c>
      <c r="AY7" s="167" t="str">
        <f>IF(AND(Consultas!M7&lt;&gt;"S", Consultas!H7="S"), "CHECAGEM REVERSA", "N/A")</f>
        <v>N/A</v>
      </c>
      <c r="AZ7" s="167" t="str">
        <f>IF(Consultas!U7="N","PRECISA CORRIGIR END DIVERGENTE","N/A")</f>
        <v>N/A</v>
      </c>
    </row>
    <row r="8" ht="12.0" customHeight="1">
      <c r="A8" s="39" t="s">
        <v>90</v>
      </c>
      <c r="B8" s="82" t="str">
        <f>Consultas!B8</f>
        <v/>
      </c>
      <c r="C8" s="82" t="str">
        <f>Consultas!D8</f>
        <v>Metalpleno</v>
      </c>
      <c r="D8" s="96" t="str">
        <f>Consultas!E8</f>
        <v/>
      </c>
      <c r="E8" s="104">
        <f>IF(Consultas!AB8&gt;0,YEAR('Parâmetros'!$B$1)-YEAR(Consultas!AB8),"NA")</f>
        <v>18</v>
      </c>
      <c r="F8" s="82">
        <f>IF(Consultas!F8&gt;'Parâmetros'!$B$2,-8,0)</f>
        <v>0</v>
      </c>
      <c r="G8" s="82">
        <f>IF(Consultas!H8='Parâmetros'!$E$1,100,0)</f>
        <v>0</v>
      </c>
      <c r="H8" s="82">
        <f>IF(Consultas!I8='Parâmetros'!$E$1,-4,12)</f>
        <v>-4</v>
      </c>
      <c r="I8" s="82">
        <f>IF(Consultas!J8='Parâmetros'!$E$1,1,-13)</f>
        <v>1</v>
      </c>
      <c r="J8" s="82">
        <f>IF(Consultas!K8='Parâmetros'!$E$1,2,-5)</f>
        <v>2</v>
      </c>
      <c r="K8" s="82" t="str">
        <f>IF(Consultas!L8='Parâmetros'!$D$1,"SOLIC CONTRATO DE ENTREGA","N/A")</f>
        <v>SOLIC CONTRATO DE ENTREGA</v>
      </c>
      <c r="L8" s="82">
        <f>IF(Consultas!R8='Parâmetros'!$E$1,1,-3)</f>
        <v>1</v>
      </c>
      <c r="M8" s="82">
        <f>IF(Consultas!S8&gt;1,(IF(Consultas!S8='Parâmetros'!$E$1,-3,9)))</f>
        <v>-3</v>
      </c>
      <c r="N8" s="82">
        <f>IF(Consultas!T8="S",23,0)</f>
        <v>0</v>
      </c>
      <c r="O8" s="82">
        <f>IF(Consultas!U8='Parâmetros'!$E$1,-3,3)</f>
        <v>3</v>
      </c>
      <c r="P8" s="82">
        <f>IF(Consultas!V8='Parâmetros'!$E$1,-100,2)</f>
        <v>2</v>
      </c>
      <c r="Q8" s="82">
        <f>IF(Consultas!M8='Parâmetros'!$D$1,2,-9)</f>
        <v>-9</v>
      </c>
      <c r="R8" s="82">
        <f>IF(Consultas!N8="RJ",-12,0)</f>
        <v>0</v>
      </c>
      <c r="S8" s="82">
        <f>IF(Consultas!O8="-",-3,IF(Consultas!O8=0,-6,IF(Consultas!O8=5,0,IF(Consultas!O8=10,6))))</f>
        <v>-6</v>
      </c>
      <c r="T8" s="82">
        <f>IF(Consultas!M8="S",0,(IF(Consultas!P8="S",6,0)))</f>
        <v>6</v>
      </c>
      <c r="U8" s="82">
        <f>IF(Consultas!Q8&gt;97,9,IF(Consultas!Q8&gt;75,0,-7))</f>
        <v>9</v>
      </c>
      <c r="V8" s="82">
        <f>IF(Consultas!W8='Parâmetros'!$E$1,1,-5)</f>
        <v>-5</v>
      </c>
      <c r="W8" s="82">
        <f>IF(Consultas!X8="S",3,-3)</f>
        <v>3</v>
      </c>
      <c r="X8" s="82">
        <f>IF(Consultas!Y8="S",0,-7)</f>
        <v>-7</v>
      </c>
      <c r="Y8" s="82">
        <f>IF(Consultas!Z8='Parâmetros'!$E$1,2,-8)</f>
        <v>2</v>
      </c>
      <c r="Z8" s="82">
        <f>IF(Consultas!AA8='Parâmetros'!$E$1,-15,1)</f>
        <v>1</v>
      </c>
      <c r="AA8" s="147" t="s">
        <v>140</v>
      </c>
      <c r="AB8" s="82">
        <f>IF(E8="NA","NA",IF(E8&gt;'Parâmetros'!$A$9,8,IF(E8&gt;'Parâmetros'!$A$8,4,IF(E8&gt;'Parâmetros'!$A$7,0,-6))))</f>
        <v>4</v>
      </c>
      <c r="AC8" s="82">
        <f>IF(Consultas!AC8='Parâmetros'!$E$1,0,5)</f>
        <v>5</v>
      </c>
      <c r="AD8" s="82">
        <f>IF(Consultas!AH8='Parâmetros'!$D$1,-10,5)</f>
        <v>5</v>
      </c>
      <c r="AE8" s="82">
        <f>IF(Consultas!AI8&gt;(Consultas!F8*2),-10,0)</f>
        <v>0</v>
      </c>
      <c r="AF8" s="82">
        <f>IF(Consultas!AD8&gt;1,(IF(Consultas!AI8&gt;(Consultas!AD8),-20,4)))</f>
        <v>4</v>
      </c>
      <c r="AG8" s="82">
        <f>IF(Consultas!AG8='Parâmetros'!$E$1,0,-6)</f>
        <v>0</v>
      </c>
      <c r="AH8" s="82">
        <f>IF(Consultas!AF8='Parâmetros'!$E$1,1,-5)</f>
        <v>-5</v>
      </c>
      <c r="AI8" s="82">
        <f>IF(Consultas!AJ8&gt;700,8,IF(Consultas!AJ8&gt;500,4,IF(Consultas!AJ8&gt;200,-4,IF(Consultas!AJ8&gt;1,-15,-20))))</f>
        <v>8</v>
      </c>
      <c r="AJ8" s="82">
        <f>IF(Consultas!AD8='Parâmetros'!$E$10,0,IF(Consultas!AD8&gt;'Parâmetros'!$A$30,12,IF(Consultas!AD8&gt;'Parâmetros'!$A$31,6,IF(Consultas!AD8&gt;'Parâmetros'!$A$32,0,IF(Consultas!AD8&gt;'Parâmetros'!$A$33,0,IF(Consultas!AD8&gt;'Parâmetros'!$A$34,-3,IF(Consultas!AD8&gt;'Parâmetros'!$A$35,-7,-1)))))))</f>
        <v>12</v>
      </c>
      <c r="AK8" s="82">
        <f>IF(Consultas!AO8='Parâmetros'!$D$1,3,-3)</f>
        <v>-3</v>
      </c>
      <c r="AL8" s="82">
        <f>IF(Consultas!AP8='Parâmetros'!$D$1,5,-3)</f>
        <v>-3</v>
      </c>
      <c r="AM8" s="82">
        <f>IF(Consultas!AL8="N",-6,0)</f>
        <v>0</v>
      </c>
      <c r="AN8" s="82">
        <f>IF(Consultas!AM8="N",-10,0)</f>
        <v>0</v>
      </c>
      <c r="AO8" s="82">
        <f>IF(Consultas!AN8="S",4,-2)</f>
        <v>-2</v>
      </c>
      <c r="AP8" s="39"/>
      <c r="AQ8" s="165">
        <f>IF(Consultas!F8&gt;1,(SUM(F8:AO8)),"N/A")</f>
        <v>21</v>
      </c>
      <c r="AR8" s="78" t="str">
        <f>IF((Consultas!AD8&gt;'Parâmetros'!$A$31),"X",AJ8+Y8+V8+AC8)</f>
        <v>X</v>
      </c>
      <c r="AS8" s="78" t="str">
        <f>IF((Consultas!AD8&gt;'Parâmetros'!$A$31),"X",(H8+I8+J8+Q8+T8+Y8+Z8+AJ8+AN8))</f>
        <v>X</v>
      </c>
      <c r="AT8" s="78">
        <f>IF((Consultas!AD8&lt;'Parâmetros'!$A$31),"X",(AD8+AC8+AB8))</f>
        <v>14</v>
      </c>
      <c r="AU8" s="78">
        <f t="shared" si="1"/>
        <v>14</v>
      </c>
      <c r="AV8" s="82" t="str">
        <f>IF(AQ8="N/A","N/A",IF(AQ8&gt;5,'Parâmetros'!$A$15,(IF(AU8=AR8,'Parâmetros'!$A$17,IF(AU8=AS8,'Parâmetros'!$A$16,'Parâmetros'!$A$14)))))</f>
        <v>SEM-RISCO</v>
      </c>
      <c r="AW8" s="86" t="str">
        <f>IF(AQ8="N/A","N/A",IF(AV8='Parâmetros'!$A$15,'Parâmetros'!$C$15,(IF(AV8='Parâmetros'!$A$17,'Parâmetros'!$C$17,IF(AV8='Parâmetros'!$A$16,'Parâmetros'!$C$16,IF(AV8='Parâmetros'!$A$14,'Parâmetros'!$C$12))))))</f>
        <v>LIBERADO</v>
      </c>
      <c r="AX8" s="82" t="str">
        <f>IF(Consultas!F8&gt;1,(IF(Consultas!F8&gt;5000,"SOLICITAR PED COMPRA","N/A")))</f>
        <v>SOLICITAR PED COMPRA</v>
      </c>
      <c r="AY8" s="167" t="str">
        <f>IF(AND(Consultas!M8&lt;&gt;"S", Consultas!H8="S"), "CHECAGEM REVERSA", "N/A")</f>
        <v>CHECAGEM REVERSA</v>
      </c>
      <c r="AZ8" s="167" t="str">
        <f>IF(Consultas!U8="N","PRECISA CORRIGIR END DIVERGENTE","N/A")</f>
        <v>N/A</v>
      </c>
    </row>
    <row r="9" ht="12.0" customHeight="1">
      <c r="A9" s="39" t="s">
        <v>90</v>
      </c>
      <c r="B9" s="82">
        <f>Consultas!B9</f>
        <v>446</v>
      </c>
      <c r="C9" s="82" t="str">
        <f>Consultas!D9</f>
        <v>Oaco</v>
      </c>
      <c r="D9" s="96" t="str">
        <f>Consultas!E9</f>
        <v>144472</v>
      </c>
      <c r="E9" s="104">
        <f>IF(Consultas!AB9&gt;0,YEAR('Parâmetros'!$B$1)-YEAR(Consultas!AB9),"NA")</f>
        <v>2</v>
      </c>
      <c r="F9" s="82">
        <f>IF(Consultas!F9&gt;'Parâmetros'!$B$2,-8,0)</f>
        <v>0</v>
      </c>
      <c r="G9" s="82">
        <f>IF(Consultas!H9='Parâmetros'!$E$1,100,0)</f>
        <v>0</v>
      </c>
      <c r="H9" s="82">
        <f>IF(Consultas!I9='Parâmetros'!$E$1,-4,12)</f>
        <v>-4</v>
      </c>
      <c r="I9" s="82">
        <f>IF(Consultas!J9='Parâmetros'!$E$1,1,-13)</f>
        <v>1</v>
      </c>
      <c r="J9" s="82">
        <f>IF(Consultas!K9='Parâmetros'!$E$1,2,-5)</f>
        <v>2</v>
      </c>
      <c r="K9" s="82" t="str">
        <f>IF(Consultas!L9='Parâmetros'!$D$1,"SOLIC CONTRATO DE ENTREGA","N/A")</f>
        <v>SOLIC CONTRATO DE ENTREGA</v>
      </c>
      <c r="L9" s="82">
        <f>IF(Consultas!R9='Parâmetros'!$E$1,1,-3)</f>
        <v>1</v>
      </c>
      <c r="M9" s="82">
        <f>IF(Consultas!S9&gt;1,(IF(Consultas!S9='Parâmetros'!$E$1,-3,9)))</f>
        <v>-3</v>
      </c>
      <c r="N9" s="82">
        <f>IF(Consultas!T9="S",23,0)</f>
        <v>0</v>
      </c>
      <c r="O9" s="82">
        <f>IF(Consultas!U9='Parâmetros'!$E$1,-3,3)</f>
        <v>3</v>
      </c>
      <c r="P9" s="82">
        <f>IF(Consultas!V9='Parâmetros'!$E$1,-100,2)</f>
        <v>2</v>
      </c>
      <c r="Q9" s="82">
        <f>IF(Consultas!M9='Parâmetros'!$D$1,2,-9)</f>
        <v>2</v>
      </c>
      <c r="R9" s="82">
        <f>IF(Consultas!N9="RJ",-12,0)</f>
        <v>-12</v>
      </c>
      <c r="S9" s="82">
        <f>IF(Consultas!O9="-",-3,IF(Consultas!O9=0,-6,IF(Consultas!O9=5,0,IF(Consultas!O9=10,6))))</f>
        <v>0</v>
      </c>
      <c r="T9" s="82">
        <f>IF(Consultas!M9="S",0,(IF(Consultas!P9="S",6,0)))</f>
        <v>0</v>
      </c>
      <c r="U9" s="82">
        <f>IF(Consultas!Q9&gt;97,9,IF(Consultas!Q9&gt;75,0,-7))</f>
        <v>9</v>
      </c>
      <c r="V9" s="82">
        <f>IF(Consultas!W9='Parâmetros'!$E$1,1,-5)</f>
        <v>1</v>
      </c>
      <c r="W9" s="82">
        <f>IF(Consultas!X9="S",3,-3)</f>
        <v>3</v>
      </c>
      <c r="X9" s="82">
        <f>IF(Consultas!Y9="S",0,-7)</f>
        <v>0</v>
      </c>
      <c r="Y9" s="82">
        <f>IF(Consultas!Z9='Parâmetros'!$E$1,2,-8)</f>
        <v>2</v>
      </c>
      <c r="Z9" s="82">
        <f>IF(Consultas!AA9='Parâmetros'!$E$1,-15,1)</f>
        <v>1</v>
      </c>
      <c r="AA9" s="147" t="s">
        <v>140</v>
      </c>
      <c r="AB9" s="82">
        <f>IF(E9="NA","NA",IF(E9&gt;'Parâmetros'!$A$9,8,IF(E9&gt;'Parâmetros'!$A$8,4,IF(E9&gt;'Parâmetros'!$A$7,0,-6))))</f>
        <v>-6</v>
      </c>
      <c r="AC9" s="82">
        <f>IF(Consultas!AC9='Parâmetros'!$E$1,0,5)</f>
        <v>0</v>
      </c>
      <c r="AD9" s="82">
        <f>IF(Consultas!AH9='Parâmetros'!$D$1,-10,5)</f>
        <v>-10</v>
      </c>
      <c r="AE9" s="82">
        <f>IF(Consultas!AI9&gt;(Consultas!F9*2),-10,0)</f>
        <v>-10</v>
      </c>
      <c r="AF9" s="82">
        <f>IF(Consultas!AD9&gt;1,(IF(Consultas!AI9&gt;(Consultas!AD9),-20,4)))</f>
        <v>4</v>
      </c>
      <c r="AG9" s="82">
        <f>IF(Consultas!AG9='Parâmetros'!$E$1,0,-6)</f>
        <v>0</v>
      </c>
      <c r="AH9" s="82">
        <f>IF(Consultas!AF9='Parâmetros'!$E$1,1,-5)</f>
        <v>1</v>
      </c>
      <c r="AI9" s="82">
        <f>IF(Consultas!AJ9&gt;700,8,IF(Consultas!AJ9&gt;500,4,IF(Consultas!AJ9&gt;200,-4,IF(Consultas!AJ9&gt;1,-15,-20))))</f>
        <v>-20</v>
      </c>
      <c r="AJ9" s="82">
        <f>IF(Consultas!AD9='Parâmetros'!$E$10,0,IF(Consultas!AD9&gt;'Parâmetros'!$A$30,12,IF(Consultas!AD9&gt;'Parâmetros'!$A$31,6,IF(Consultas!AD9&gt;'Parâmetros'!$A$32,0,IF(Consultas!AD9&gt;'Parâmetros'!$A$33,0,IF(Consultas!AD9&gt;'Parâmetros'!$A$34,-3,IF(Consultas!AD9&gt;'Parâmetros'!$A$35,-7,-1)))))))</f>
        <v>12</v>
      </c>
      <c r="AK9" s="82">
        <f>IF(Consultas!AO9='Parâmetros'!$D$1,3,-3)</f>
        <v>-3</v>
      </c>
      <c r="AL9" s="82">
        <f>IF(Consultas!AP9='Parâmetros'!$D$1,5,-3)</f>
        <v>-3</v>
      </c>
      <c r="AM9" s="82">
        <f>IF(Consultas!AL9="N",-6,0)</f>
        <v>0</v>
      </c>
      <c r="AN9" s="82">
        <f>IF(Consultas!AM9="N",-10,0)</f>
        <v>0</v>
      </c>
      <c r="AO9" s="82">
        <f>IF(Consultas!AN9="S",4,-2)</f>
        <v>-2</v>
      </c>
      <c r="AP9" s="39"/>
      <c r="AQ9" s="165">
        <f>IF(Consultas!F9&gt;1,(SUM(F9:AO9)),"N/A")</f>
        <v>-29</v>
      </c>
      <c r="AR9" s="78" t="str">
        <f>IF((Consultas!AD9&gt;'Parâmetros'!$A$31),"X",AJ9+Y9+V9+AC9)</f>
        <v>X</v>
      </c>
      <c r="AS9" s="78" t="str">
        <f>IF((Consultas!AD9&gt;'Parâmetros'!$A$31),"X",(H9+I9+J9+Q9+T9+Y9+Z9+AJ9+AN9))</f>
        <v>X</v>
      </c>
      <c r="AT9" s="78">
        <f>IF((Consultas!AD9&lt;'Parâmetros'!$A$31),"X",(AD9+AC9+AB9))</f>
        <v>-16</v>
      </c>
      <c r="AU9" s="78">
        <f t="shared" si="1"/>
        <v>-16</v>
      </c>
      <c r="AV9" s="78" t="str">
        <f>IF(AQ9="N/A","N/A",IF(AQ9&gt;5,'Parâmetros'!$A$15,(IF(AU9=AR9,'Parâmetros'!$A$17,IF(AU9=AS9,'Parâmetros'!$A$16,'Parâmetros'!$A$14)))))</f>
        <v>GRANDE-OU-FALINDO:</v>
      </c>
      <c r="AW9" s="86" t="str">
        <f>IF(AQ9="N/A","N/A",IF(AV9='Parâmetros'!$A$15,'Parâmetros'!$C$15,(IF(AV9='Parâmetros'!$A$17,'Parâmetros'!$C$17,IF(AV9='Parâmetros'!$A$16,'Parâmetros'!$C$16,IF(AV9='Parâmetros'!$A$14,'Parâmetros'!$C$12))))))</f>
        <v>SE FALINDO SÓ ANTECIPADO | SE GRANDE BUROCR PEGAR CONTATOS FINANCEIRO</v>
      </c>
      <c r="AX9" s="82" t="str">
        <f>IF(Consultas!F9&gt;1,(IF(Consultas!F9&gt;5000,"SOLICITAR PED COMPRA","N/A")))</f>
        <v>N/A</v>
      </c>
      <c r="AY9" s="167" t="str">
        <f>IF(AND(Consultas!M9&lt;&gt;"S", Consultas!H9="S"), "CHECAGEM REVERSA", "N/A")</f>
        <v>N/A</v>
      </c>
      <c r="AZ9" s="167" t="str">
        <f>IF(Consultas!U9="N","PRECISA CORRIGIR END DIVERGENTE","N/A")</f>
        <v>N/A</v>
      </c>
    </row>
    <row r="10" ht="12.0" customHeight="1">
      <c r="A10" s="39" t="s">
        <v>90</v>
      </c>
      <c r="B10" s="82">
        <f>Consultas!B10</f>
        <v>170</v>
      </c>
      <c r="C10" s="82" t="str">
        <f>Consultas!D10</f>
        <v>Metalpleno</v>
      </c>
      <c r="D10" s="96" t="str">
        <f>Consultas!E10</f>
        <v>144477</v>
      </c>
      <c r="E10" s="104">
        <f>IF(Consultas!AB10&gt;0,YEAR('Parâmetros'!$B$1)-YEAR(Consultas!AB10),"NA")</f>
        <v>44</v>
      </c>
      <c r="F10" s="82">
        <f>IF(Consultas!F10&gt;'Parâmetros'!$B$2,-8,0)</f>
        <v>0</v>
      </c>
      <c r="G10" s="82">
        <f>IF(Consultas!H10='Parâmetros'!$E$1,100,0)</f>
        <v>0</v>
      </c>
      <c r="H10" s="82">
        <f>IF(Consultas!I10='Parâmetros'!$E$1,-4,12)</f>
        <v>12</v>
      </c>
      <c r="I10" s="82">
        <f>IF(Consultas!J10='Parâmetros'!$E$1,1,-13)</f>
        <v>1</v>
      </c>
      <c r="J10" s="82">
        <f>IF(Consultas!K10='Parâmetros'!$E$1,2,-5)</f>
        <v>2</v>
      </c>
      <c r="K10" s="82" t="str">
        <f>IF(Consultas!L10='Parâmetros'!$D$1,"SOLIC CONTRATO DE ENTREGA","N/A")</f>
        <v>SOLIC CONTRATO DE ENTREGA</v>
      </c>
      <c r="L10" s="82">
        <f>IF(Consultas!R10='Parâmetros'!$E$1,1,-3)</f>
        <v>1</v>
      </c>
      <c r="M10" s="82">
        <f>IF(Consultas!S10&gt;1,(IF(Consultas!S10='Parâmetros'!$E$1,-3,9)))</f>
        <v>-3</v>
      </c>
      <c r="N10" s="82">
        <f>IF(Consultas!T10="S",23,0)</f>
        <v>0</v>
      </c>
      <c r="O10" s="82">
        <f>IF(Consultas!U10='Parâmetros'!$E$1,-3,3)</f>
        <v>3</v>
      </c>
      <c r="P10" s="82">
        <f>IF(Consultas!V10='Parâmetros'!$E$1,-100,2)</f>
        <v>2</v>
      </c>
      <c r="Q10" s="82">
        <f>IF(Consultas!M10='Parâmetros'!$D$1,2,-9)</f>
        <v>2</v>
      </c>
      <c r="R10" s="82">
        <f>IF(Consultas!N10="RJ",-12,0)</f>
        <v>0</v>
      </c>
      <c r="S10" s="82">
        <f>IF(Consultas!O10="-",-3,IF(Consultas!O10=0,-6,IF(Consultas!O10=5,0,IF(Consultas!O10=10,6))))</f>
        <v>0</v>
      </c>
      <c r="T10" s="82">
        <f>IF(Consultas!M10="S",0,(IF(Consultas!P10="S",6,0)))</f>
        <v>0</v>
      </c>
      <c r="U10" s="82">
        <f>IF(Consultas!Q10&gt;97,9,IF(Consultas!Q10&gt;75,0,-7))</f>
        <v>9</v>
      </c>
      <c r="V10" s="82">
        <f>IF(Consultas!W10='Parâmetros'!$E$1,1,-5)</f>
        <v>1</v>
      </c>
      <c r="W10" s="82">
        <f>IF(Consultas!X10="S",3,-3)</f>
        <v>3</v>
      </c>
      <c r="X10" s="82">
        <f>IF(Consultas!Y10="S",0,-7)</f>
        <v>0</v>
      </c>
      <c r="Y10" s="82">
        <f>IF(Consultas!Z10='Parâmetros'!$E$1,2,-8)</f>
        <v>2</v>
      </c>
      <c r="Z10" s="82">
        <f>IF(Consultas!AA10='Parâmetros'!$E$1,-15,1)</f>
        <v>1</v>
      </c>
      <c r="AA10" s="147" t="s">
        <v>140</v>
      </c>
      <c r="AB10" s="82">
        <f>IF(E10="NA","NA",IF(E10&gt;'Parâmetros'!$A$9,8,IF(E10&gt;'Parâmetros'!$A$8,4,IF(E10&gt;'Parâmetros'!$A$7,0,-6))))</f>
        <v>8</v>
      </c>
      <c r="AC10" s="82">
        <f>IF(Consultas!AC10='Parâmetros'!$E$1,0,5)</f>
        <v>5</v>
      </c>
      <c r="AD10" s="82">
        <f>IF(Consultas!AH10='Parâmetros'!$D$1,-10,5)</f>
        <v>-10</v>
      </c>
      <c r="AE10" s="82">
        <f>IF(Consultas!AI10&gt;(Consultas!F10*2),-10,0)</f>
        <v>-10</v>
      </c>
      <c r="AF10" s="82">
        <f>IF(Consultas!AD10&gt;1,(IF(Consultas!AI10&gt;(Consultas!AD10),-20,4)))</f>
        <v>4</v>
      </c>
      <c r="AG10" s="82">
        <f>IF(Consultas!AG10='Parâmetros'!$E$1,0,-6)</f>
        <v>0</v>
      </c>
      <c r="AH10" s="82">
        <f>IF(Consultas!AF10='Parâmetros'!$E$1,1,-5)</f>
        <v>-5</v>
      </c>
      <c r="AI10" s="82">
        <f>IF(Consultas!AJ10&gt;700,8,IF(Consultas!AJ10&gt;500,4,IF(Consultas!AJ10&gt;200,-4,IF(Consultas!AJ10&gt;1,-15,-20))))</f>
        <v>-20</v>
      </c>
      <c r="AJ10" s="82">
        <f>IF(Consultas!AD10='Parâmetros'!$E$10,0,IF(Consultas!AD10&gt;'Parâmetros'!$A$30,12,IF(Consultas!AD10&gt;'Parâmetros'!$A$31,6,IF(Consultas!AD10&gt;'Parâmetros'!$A$32,0,IF(Consultas!AD10&gt;'Parâmetros'!$A$33,0,IF(Consultas!AD10&gt;'Parâmetros'!$A$34,-3,IF(Consultas!AD10&gt;'Parâmetros'!$A$35,-7,-1)))))))</f>
        <v>12</v>
      </c>
      <c r="AK10" s="82">
        <f>IF(Consultas!AO10='Parâmetros'!$D$1,3,-3)</f>
        <v>-3</v>
      </c>
      <c r="AL10" s="82">
        <f>IF(Consultas!AP10='Parâmetros'!$D$1,5,-3)</f>
        <v>-3</v>
      </c>
      <c r="AM10" s="82">
        <f>IF(Consultas!AL10="N",-6,0)</f>
        <v>0</v>
      </c>
      <c r="AN10" s="82">
        <f>IF(Consultas!AM10="N",-10,0)</f>
        <v>0</v>
      </c>
      <c r="AO10" s="82">
        <f>IF(Consultas!AN10="S",4,-2)</f>
        <v>-2</v>
      </c>
      <c r="AP10" s="39"/>
      <c r="AQ10" s="165">
        <f>IF(Consultas!F10&gt;1,(SUM(F10:AO10)),"N/A")</f>
        <v>12</v>
      </c>
      <c r="AR10" s="78" t="str">
        <f>IF((Consultas!AD10&gt;'Parâmetros'!$A$31),"X",AJ10+Y10+V10+AC10)</f>
        <v>X</v>
      </c>
      <c r="AS10" s="78" t="str">
        <f>IF((Consultas!AD10&gt;'Parâmetros'!$A$31),"X",(H10+I10+J10+Q10+T10+Y10+Z10+AJ10+AN10))</f>
        <v>X</v>
      </c>
      <c r="AT10" s="78">
        <f>IF((Consultas!AD10&lt;'Parâmetros'!$A$31),"X",(AD10+AC10+AB10))</f>
        <v>3</v>
      </c>
      <c r="AU10" s="78">
        <f t="shared" si="1"/>
        <v>3</v>
      </c>
      <c r="AV10" s="82" t="str">
        <f>IF(AQ10="N/A","N/A",IF(AQ10&gt;5,'Parâmetros'!$A$15,(IF(AU10=AR10,'Parâmetros'!$A$17,IF(AU10=AS10,'Parâmetros'!$A$16,'Parâmetros'!$A$14)))))</f>
        <v>SEM-RISCO</v>
      </c>
      <c r="AW10" s="86" t="str">
        <f>IF(AQ10="N/A","N/A",IF(AV10='Parâmetros'!$A$15,'Parâmetros'!$C$15,(IF(AV10='Parâmetros'!$A$17,'Parâmetros'!$C$17,IF(AV10='Parâmetros'!$A$16,'Parâmetros'!$C$16,IF(AV10='Parâmetros'!$A$14,'Parâmetros'!$C$12))))))</f>
        <v>LIBERADO</v>
      </c>
      <c r="AX10" s="82" t="str">
        <f>IF(Consultas!F10&gt;1,(IF(Consultas!F10&gt;5000,"SOLICITAR PED COMPRA","N/A")))</f>
        <v>SOLICITAR PED COMPRA</v>
      </c>
      <c r="AY10" s="167" t="str">
        <f>IF(AND(Consultas!M10&lt;&gt;"S", Consultas!H10="S"), "CHECAGEM REVERSA", "N/A")</f>
        <v>N/A</v>
      </c>
      <c r="AZ10" s="167" t="str">
        <f>IF(Consultas!U10="N","PRECISA CORRIGIR END DIVERGENTE","N/A")</f>
        <v>N/A</v>
      </c>
    </row>
    <row r="11" ht="12.0" customHeight="1">
      <c r="A11" s="39" t="s">
        <v>90</v>
      </c>
      <c r="B11" s="82">
        <f>Consultas!B11</f>
        <v>172</v>
      </c>
      <c r="C11" s="82" t="str">
        <f>Consultas!D11</f>
        <v>Metalpleno</v>
      </c>
      <c r="D11" s="96" t="str">
        <f>Consultas!E11</f>
        <v>144481</v>
      </c>
      <c r="E11" s="104">
        <f>IF(Consultas!AB11&gt;0,YEAR('Parâmetros'!$B$1)-YEAR(Consultas!AB11),"NA")</f>
        <v>19</v>
      </c>
      <c r="F11" s="82">
        <f>IF(Consultas!F11&gt;'Parâmetros'!$B$2,-8,0)</f>
        <v>0</v>
      </c>
      <c r="G11" s="82">
        <f>IF(Consultas!H11='Parâmetros'!$E$1,100,0)</f>
        <v>0</v>
      </c>
      <c r="H11" s="82">
        <f>IF(Consultas!I11='Parâmetros'!$E$1,-4,12)</f>
        <v>-4</v>
      </c>
      <c r="I11" s="82">
        <f>IF(Consultas!J11='Parâmetros'!$E$1,1,-13)</f>
        <v>1</v>
      </c>
      <c r="J11" s="82">
        <f>IF(Consultas!K11='Parâmetros'!$E$1,2,-5)</f>
        <v>2</v>
      </c>
      <c r="K11" s="82" t="str">
        <f>IF(Consultas!L11='Parâmetros'!$D$1,"SOLIC CONTRATO DE ENTREGA","N/A")</f>
        <v>SOLIC CONTRATO DE ENTREGA</v>
      </c>
      <c r="L11" s="82">
        <f>IF(Consultas!R11='Parâmetros'!$E$1,1,-3)</f>
        <v>1</v>
      </c>
      <c r="M11" s="82">
        <f>IF(Consultas!S11&gt;1,(IF(Consultas!S11='Parâmetros'!$E$1,-3,9)))</f>
        <v>-3</v>
      </c>
      <c r="N11" s="82">
        <f>IF(Consultas!T11="S",23,0)</f>
        <v>0</v>
      </c>
      <c r="O11" s="82">
        <f>IF(Consultas!U11='Parâmetros'!$E$1,-3,3)</f>
        <v>3</v>
      </c>
      <c r="P11" s="82">
        <f>IF(Consultas!V11='Parâmetros'!$E$1,-100,2)</f>
        <v>2</v>
      </c>
      <c r="Q11" s="82">
        <f>IF(Consultas!M11='Parâmetros'!$D$1,2,-9)</f>
        <v>-9</v>
      </c>
      <c r="R11" s="82">
        <f>IF(Consultas!N11="RJ",-12,0)</f>
        <v>0</v>
      </c>
      <c r="S11" s="82">
        <f>IF(Consultas!O11="-",-3,IF(Consultas!O11=0,-6,IF(Consultas!O11=5,0,IF(Consultas!O11=10,6))))</f>
        <v>-6</v>
      </c>
      <c r="T11" s="82">
        <f>IF(Consultas!M11="S",0,(IF(Consultas!P11="S",6,0)))</f>
        <v>6</v>
      </c>
      <c r="U11" s="82">
        <f>IF(Consultas!Q11&gt;97,9,IF(Consultas!Q11&gt;75,0,-7))</f>
        <v>9</v>
      </c>
      <c r="V11" s="82">
        <f>IF(Consultas!W11='Parâmetros'!$E$1,1,-5)</f>
        <v>1</v>
      </c>
      <c r="W11" s="82">
        <f>IF(Consultas!X11="S",3,-3)</f>
        <v>3</v>
      </c>
      <c r="X11" s="82">
        <f>IF(Consultas!Y11="S",0,-7)</f>
        <v>-7</v>
      </c>
      <c r="Y11" s="82">
        <f>IF(Consultas!Z11='Parâmetros'!$E$1,2,-8)</f>
        <v>2</v>
      </c>
      <c r="Z11" s="82">
        <f>IF(Consultas!AA11='Parâmetros'!$E$1,-15,1)</f>
        <v>1</v>
      </c>
      <c r="AA11" s="147" t="s">
        <v>140</v>
      </c>
      <c r="AB11" s="82">
        <f>IF(E11="NA","NA",IF(E11&gt;'Parâmetros'!$A$9,8,IF(E11&gt;'Parâmetros'!$A$8,4,IF(E11&gt;'Parâmetros'!$A$7,0,-6))))</f>
        <v>4</v>
      </c>
      <c r="AC11" s="82">
        <f>IF(Consultas!AC11='Parâmetros'!$E$1,0,5)</f>
        <v>0</v>
      </c>
      <c r="AD11" s="82">
        <f>IF(Consultas!AH11='Parâmetros'!$D$1,-10,5)</f>
        <v>5</v>
      </c>
      <c r="AE11" s="82">
        <f>IF(Consultas!AI11&gt;(Consultas!F11*2),-10,0)</f>
        <v>0</v>
      </c>
      <c r="AF11" s="82">
        <f>IF(Consultas!AD11&gt;1,(IF(Consultas!AI11&gt;(Consultas!AD11),-20,4)))</f>
        <v>4</v>
      </c>
      <c r="AG11" s="82">
        <f>IF(Consultas!AG11='Parâmetros'!$E$1,0,-6)</f>
        <v>0</v>
      </c>
      <c r="AH11" s="82">
        <f>IF(Consultas!AF11='Parâmetros'!$E$1,1,-5)</f>
        <v>-5</v>
      </c>
      <c r="AI11" s="82">
        <f>IF(Consultas!AJ11&gt;700,8,IF(Consultas!AJ11&gt;500,4,IF(Consultas!AJ11&gt;200,-4,IF(Consultas!AJ11&gt;1,-15,-20))))</f>
        <v>8</v>
      </c>
      <c r="AJ11" s="82">
        <f>IF(Consultas!AD11='Parâmetros'!$E$10,0,IF(Consultas!AD11&gt;'Parâmetros'!$A$30,12,IF(Consultas!AD11&gt;'Parâmetros'!$A$31,6,IF(Consultas!AD11&gt;'Parâmetros'!$A$32,0,IF(Consultas!AD11&gt;'Parâmetros'!$A$33,0,IF(Consultas!AD11&gt;'Parâmetros'!$A$34,-3,IF(Consultas!AD11&gt;'Parâmetros'!$A$35,-7,-1)))))))</f>
        <v>12</v>
      </c>
      <c r="AK11" s="82">
        <f>IF(Consultas!AO11='Parâmetros'!$D$1,3,-3)</f>
        <v>-3</v>
      </c>
      <c r="AL11" s="82">
        <f>IF(Consultas!AP11='Parâmetros'!$D$1,5,-3)</f>
        <v>-3</v>
      </c>
      <c r="AM11" s="82">
        <f>IF(Consultas!AL11="N",-6,0)</f>
        <v>0</v>
      </c>
      <c r="AN11" s="82">
        <f>IF(Consultas!AM11="N",-10,0)</f>
        <v>0</v>
      </c>
      <c r="AO11" s="82">
        <f>IF(Consultas!AN11="S",4,-2)</f>
        <v>-2</v>
      </c>
      <c r="AP11" s="39"/>
      <c r="AQ11" s="165">
        <f>IF(Consultas!F11&gt;1,(SUM(F11:AO11)),"N/A")</f>
        <v>22</v>
      </c>
      <c r="AR11" s="78" t="str">
        <f>IF((Consultas!AD11&gt;'Parâmetros'!$A$31),"X",AJ11+Y11+V11+AC11)</f>
        <v>X</v>
      </c>
      <c r="AS11" s="78" t="str">
        <f>IF((Consultas!AD11&gt;'Parâmetros'!$A$31),"X",(H11+I11+J11+Q11+T11+Y11+Z11+AJ11+AN11))</f>
        <v>X</v>
      </c>
      <c r="AT11" s="78">
        <f>IF((Consultas!AD11&lt;'Parâmetros'!$A$31),"X",(AD11+AC11+AB11))</f>
        <v>9</v>
      </c>
      <c r="AU11" s="78">
        <f t="shared" si="1"/>
        <v>9</v>
      </c>
      <c r="AV11" s="82" t="str">
        <f>IF(AQ11="N/A","N/A",IF(AQ11&gt;5,'Parâmetros'!$A$15,(IF(AU11=AR11,'Parâmetros'!$A$17,IF(AU11=AS11,'Parâmetros'!$A$16,'Parâmetros'!$A$14)))))</f>
        <v>SEM-RISCO</v>
      </c>
      <c r="AW11" s="86" t="str">
        <f>IF(AQ11="N/A","N/A",IF(AV11='Parâmetros'!$A$15,'Parâmetros'!$C$15,(IF(AV11='Parâmetros'!$A$17,'Parâmetros'!$C$17,IF(AV11='Parâmetros'!$A$16,'Parâmetros'!$C$16,IF(AV11='Parâmetros'!$A$14,'Parâmetros'!$C$12))))))</f>
        <v>LIBERADO</v>
      </c>
      <c r="AX11" s="82" t="str">
        <f>IF(Consultas!F11&gt;1,(IF(Consultas!F11&gt;5000,"SOLICITAR PED COMPRA","N/A")))</f>
        <v>N/A</v>
      </c>
      <c r="AY11" s="167" t="str">
        <f>IF(AND(Consultas!M11&lt;&gt;"S", Consultas!H11="S"), "CHECAGEM REVERSA", "N/A")</f>
        <v>CHECAGEM REVERSA</v>
      </c>
      <c r="AZ11" s="167" t="str">
        <f>IF(Consultas!U11="N","PRECISA CORRIGIR END DIVERGENTE","N/A")</f>
        <v>N/A</v>
      </c>
    </row>
    <row r="12" ht="12.0" customHeight="1">
      <c r="A12" s="39" t="s">
        <v>90</v>
      </c>
      <c r="B12" s="82">
        <f>Consultas!B12</f>
        <v>171</v>
      </c>
      <c r="C12" s="82" t="str">
        <f>Consultas!D12</f>
        <v>Metalpleno</v>
      </c>
      <c r="D12" s="96" t="str">
        <f>Consultas!E12</f>
        <v>144480</v>
      </c>
      <c r="E12" s="104">
        <f>IF(Consultas!AB12&gt;0,YEAR('Parâmetros'!$B$1)-YEAR(Consultas!AB12),"NA")</f>
        <v>18</v>
      </c>
      <c r="F12" s="82">
        <f>IF(Consultas!F12&gt;'Parâmetros'!$B$2,-8,0)</f>
        <v>0</v>
      </c>
      <c r="G12" s="82">
        <f>IF(Consultas!H12='Parâmetros'!$E$1,100,0)</f>
        <v>0</v>
      </c>
      <c r="H12" s="82">
        <f>IF(Consultas!I12='Parâmetros'!$E$1,-4,12)</f>
        <v>-4</v>
      </c>
      <c r="I12" s="82">
        <f>IF(Consultas!J12='Parâmetros'!$E$1,1,-13)</f>
        <v>1</v>
      </c>
      <c r="J12" s="82">
        <f>IF(Consultas!K12='Parâmetros'!$E$1,2,-5)</f>
        <v>2</v>
      </c>
      <c r="K12" s="82" t="str">
        <f>IF(Consultas!L12='Parâmetros'!$D$1,"SOLIC CONTRATO DE ENTREGA","N/A")</f>
        <v>SOLIC CONTRATO DE ENTREGA</v>
      </c>
      <c r="L12" s="82">
        <f>IF(Consultas!R12='Parâmetros'!$E$1,1,-3)</f>
        <v>1</v>
      </c>
      <c r="M12" s="82">
        <f>IF(Consultas!S12&gt;1,(IF(Consultas!S12='Parâmetros'!$E$1,-3,9)))</f>
        <v>-3</v>
      </c>
      <c r="N12" s="82">
        <f>IF(Consultas!T12="S",23,0)</f>
        <v>0</v>
      </c>
      <c r="O12" s="82">
        <f>IF(Consultas!U12='Parâmetros'!$E$1,-3,3)</f>
        <v>3</v>
      </c>
      <c r="P12" s="82">
        <f>IF(Consultas!V12='Parâmetros'!$E$1,-100,2)</f>
        <v>2</v>
      </c>
      <c r="Q12" s="82">
        <f>IF(Consultas!M12='Parâmetros'!$D$1,2,-9)</f>
        <v>-9</v>
      </c>
      <c r="R12" s="82">
        <f>IF(Consultas!N12="RJ",-12,0)</f>
        <v>0</v>
      </c>
      <c r="S12" s="82">
        <f>IF(Consultas!O12="-",-3,IF(Consultas!O12=0,-6,IF(Consultas!O12=5,0,IF(Consultas!O12=10,6))))</f>
        <v>-6</v>
      </c>
      <c r="T12" s="82">
        <f>IF(Consultas!M12="S",0,(IF(Consultas!P12="S",6,0)))</f>
        <v>0</v>
      </c>
      <c r="U12" s="82">
        <f>IF(Consultas!Q12&gt;97,9,IF(Consultas!Q12&gt;75,0,-7))</f>
        <v>9</v>
      </c>
      <c r="V12" s="82">
        <f>IF(Consultas!W12='Parâmetros'!$E$1,1,-5)</f>
        <v>1</v>
      </c>
      <c r="W12" s="82">
        <f>IF(Consultas!X12="S",3,-3)</f>
        <v>3</v>
      </c>
      <c r="X12" s="82">
        <f>IF(Consultas!Y12="S",0,-7)</f>
        <v>0</v>
      </c>
      <c r="Y12" s="82">
        <f>IF(Consultas!Z12='Parâmetros'!$E$1,2,-8)</f>
        <v>2</v>
      </c>
      <c r="Z12" s="82">
        <f>IF(Consultas!AA12='Parâmetros'!$E$1,-15,1)</f>
        <v>1</v>
      </c>
      <c r="AA12" s="147" t="s">
        <v>140</v>
      </c>
      <c r="AB12" s="82">
        <f>IF(E12="NA","NA",IF(E12&gt;'Parâmetros'!$A$9,8,IF(E12&gt;'Parâmetros'!$A$8,4,IF(E12&gt;'Parâmetros'!$A$7,0,-6))))</f>
        <v>4</v>
      </c>
      <c r="AC12" s="82">
        <f>IF(Consultas!AC12='Parâmetros'!$E$1,0,5)</f>
        <v>0</v>
      </c>
      <c r="AD12" s="82">
        <f>IF(Consultas!AH12='Parâmetros'!$D$1,-10,5)</f>
        <v>5</v>
      </c>
      <c r="AE12" s="82">
        <f>IF(Consultas!AI12&gt;(Consultas!F12*2),-10,0)</f>
        <v>0</v>
      </c>
      <c r="AF12" s="82">
        <f>IF(Consultas!AD12&gt;1,(IF(Consultas!AI12&gt;(Consultas!AD12),-20,4)))</f>
        <v>4</v>
      </c>
      <c r="AG12" s="82">
        <f>IF(Consultas!AG12='Parâmetros'!$E$1,0,-6)</f>
        <v>0</v>
      </c>
      <c r="AH12" s="82">
        <f>IF(Consultas!AF12='Parâmetros'!$E$1,1,-5)</f>
        <v>1</v>
      </c>
      <c r="AI12" s="82">
        <f>IF(Consultas!AJ12&gt;700,8,IF(Consultas!AJ12&gt;500,4,IF(Consultas!AJ12&gt;200,-4,IF(Consultas!AJ12&gt;1,-15,-20))))</f>
        <v>8</v>
      </c>
      <c r="AJ12" s="82">
        <f>IF(Consultas!AD12='Parâmetros'!$E$10,0,IF(Consultas!AD12&gt;'Parâmetros'!$A$30,12,IF(Consultas!AD12&gt;'Parâmetros'!$A$31,6,IF(Consultas!AD12&gt;'Parâmetros'!$A$32,0,IF(Consultas!AD12&gt;'Parâmetros'!$A$33,0,IF(Consultas!AD12&gt;'Parâmetros'!$A$34,-3,IF(Consultas!AD12&gt;'Parâmetros'!$A$35,-7,-1)))))))</f>
        <v>12</v>
      </c>
      <c r="AK12" s="82">
        <f>IF(Consultas!AO12='Parâmetros'!$D$1,3,-3)</f>
        <v>-3</v>
      </c>
      <c r="AL12" s="82">
        <f>IF(Consultas!AP12='Parâmetros'!$D$1,5,-3)</f>
        <v>-3</v>
      </c>
      <c r="AM12" s="82">
        <f>IF(Consultas!AL12="N",-6,0)</f>
        <v>0</v>
      </c>
      <c r="AN12" s="82">
        <f>IF(Consultas!AM12="N",-10,0)</f>
        <v>0</v>
      </c>
      <c r="AO12" s="82">
        <f>IF(Consultas!AN12="S",4,-2)</f>
        <v>-2</v>
      </c>
      <c r="AP12" s="39"/>
      <c r="AQ12" s="165">
        <f>IF(Consultas!F12&gt;1,(SUM(F12:AO12)),"N/A")</f>
        <v>29</v>
      </c>
      <c r="AR12" s="78" t="str">
        <f>IF((Consultas!AD12&gt;'Parâmetros'!$A$31),"X",AJ12+Y12+V12+AC12)</f>
        <v>X</v>
      </c>
      <c r="AS12" s="78" t="str">
        <f>IF((Consultas!AD12&gt;'Parâmetros'!$A$31),"X",(H12+I12+J12+Q12+T12+Y12+Z12+AJ12+AN12))</f>
        <v>X</v>
      </c>
      <c r="AT12" s="78">
        <f>IF((Consultas!AD12&lt;'Parâmetros'!$A$31),"X",(AD12+AC12+AB12))</f>
        <v>9</v>
      </c>
      <c r="AU12" s="78">
        <f t="shared" si="1"/>
        <v>9</v>
      </c>
      <c r="AV12" s="82" t="str">
        <f>IF(AQ12="N/A","N/A",IF(AQ12&gt;5,'Parâmetros'!$A$15,(IF(AU12=AR12,'Parâmetros'!$A$17,IF(AU12=AS12,'Parâmetros'!$A$16,'Parâmetros'!$A$14)))))</f>
        <v>SEM-RISCO</v>
      </c>
      <c r="AW12" s="86" t="str">
        <f>IF(AQ12="N/A","N/A",IF(AV12='Parâmetros'!$A$15,'Parâmetros'!$C$15,(IF(AV12='Parâmetros'!$A$17,'Parâmetros'!$C$17,IF(AV12='Parâmetros'!$A$16,'Parâmetros'!$C$16,IF(AV12='Parâmetros'!$A$14,'Parâmetros'!$C$12))))))</f>
        <v>LIBERADO</v>
      </c>
      <c r="AX12" s="82" t="str">
        <f>IF(Consultas!F12&gt;1,(IF(Consultas!F12&gt;5000,"SOLICITAR PED COMPRA","N/A")))</f>
        <v>N/A</v>
      </c>
      <c r="AY12" s="167" t="str">
        <f>IF(AND(Consultas!M12&lt;&gt;"S", Consultas!H12="S"), "CHECAGEM REVERSA", "N/A")</f>
        <v>CHECAGEM REVERSA</v>
      </c>
      <c r="AZ12" s="167" t="str">
        <f>IF(Consultas!U12="N","PRECISA CORRIGIR END DIVERGENTE","N/A")</f>
        <v>N/A</v>
      </c>
    </row>
    <row r="13" ht="12.0" customHeight="1">
      <c r="A13" s="39" t="s">
        <v>90</v>
      </c>
      <c r="B13" s="82">
        <f>Consultas!B13</f>
        <v>460</v>
      </c>
      <c r="C13" s="82" t="str">
        <f>Consultas!D13</f>
        <v>Oaco</v>
      </c>
      <c r="D13" s="96" t="str">
        <f>Consultas!E13</f>
        <v>144485</v>
      </c>
      <c r="E13" s="104">
        <f>IF(Consultas!AB13&gt;0,YEAR('Parâmetros'!$B$1)-YEAR(Consultas!AB13),"NA")</f>
        <v>21</v>
      </c>
      <c r="F13" s="82">
        <f>IF(Consultas!F13&gt;'Parâmetros'!$B$2,-8,0)</f>
        <v>0</v>
      </c>
      <c r="G13" s="82">
        <f>IF(Consultas!H13='Parâmetros'!$E$1,100,0)</f>
        <v>0</v>
      </c>
      <c r="H13" s="82">
        <f>IF(Consultas!I13='Parâmetros'!$E$1,-4,12)</f>
        <v>-4</v>
      </c>
      <c r="I13" s="82">
        <f>IF(Consultas!J13='Parâmetros'!$E$1,1,-13)</f>
        <v>1</v>
      </c>
      <c r="J13" s="82">
        <f>IF(Consultas!K13='Parâmetros'!$E$1,2,-5)</f>
        <v>2</v>
      </c>
      <c r="K13" s="82" t="str">
        <f>IF(Consultas!L13='Parâmetros'!$D$1,"SOLIC CONTRATO DE ENTREGA","N/A")</f>
        <v>SOLIC CONTRATO DE ENTREGA</v>
      </c>
      <c r="L13" s="82">
        <f>IF(Consultas!R13='Parâmetros'!$E$1,1,-3)</f>
        <v>1</v>
      </c>
      <c r="M13" s="82">
        <f>IF(Consultas!S13&gt;1,(IF(Consultas!S13='Parâmetros'!$E$1,-3,9)))</f>
        <v>-3</v>
      </c>
      <c r="N13" s="82">
        <f>IF(Consultas!T13="S",23,0)</f>
        <v>0</v>
      </c>
      <c r="O13" s="82">
        <f>IF(Consultas!U13='Parâmetros'!$E$1,-3,3)</f>
        <v>3</v>
      </c>
      <c r="P13" s="82">
        <f>IF(Consultas!V13='Parâmetros'!$E$1,-100,2)</f>
        <v>2</v>
      </c>
      <c r="Q13" s="82">
        <f>IF(Consultas!M13='Parâmetros'!$D$1,2,-9)</f>
        <v>-9</v>
      </c>
      <c r="R13" s="82">
        <f>IF(Consultas!N13="RJ",-12,0)</f>
        <v>0</v>
      </c>
      <c r="S13" s="82">
        <f>IF(Consultas!O13="-",-3,IF(Consultas!O13=0,-6,IF(Consultas!O13=5,0,IF(Consultas!O13=10,6))))</f>
        <v>-6</v>
      </c>
      <c r="T13" s="82">
        <f>IF(Consultas!M13="S",0,(IF(Consultas!P13="S",6,0)))</f>
        <v>6</v>
      </c>
      <c r="U13" s="82">
        <f>IF(Consultas!Q13&gt;97,9,IF(Consultas!Q13&gt;75,0,-7))</f>
        <v>9</v>
      </c>
      <c r="V13" s="82">
        <f>IF(Consultas!W13='Parâmetros'!$E$1,1,-5)</f>
        <v>1</v>
      </c>
      <c r="W13" s="82">
        <f>IF(Consultas!X13="S",3,-3)</f>
        <v>3</v>
      </c>
      <c r="X13" s="82">
        <f>IF(Consultas!Y13="S",0,-7)</f>
        <v>0</v>
      </c>
      <c r="Y13" s="82">
        <f>IF(Consultas!Z13='Parâmetros'!$E$1,2,-8)</f>
        <v>2</v>
      </c>
      <c r="Z13" s="82">
        <f>IF(Consultas!AA13='Parâmetros'!$E$1,-15,1)</f>
        <v>1</v>
      </c>
      <c r="AA13" s="147" t="s">
        <v>140</v>
      </c>
      <c r="AB13" s="82">
        <f>IF(E13="NA","NA",IF(E13&gt;'Parâmetros'!$A$9,8,IF(E13&gt;'Parâmetros'!$A$8,4,IF(E13&gt;'Parâmetros'!$A$7,0,-6))))</f>
        <v>4</v>
      </c>
      <c r="AC13" s="82">
        <f>IF(Consultas!AC13='Parâmetros'!$E$1,0,5)</f>
        <v>0</v>
      </c>
      <c r="AD13" s="82">
        <f>IF(Consultas!AH13='Parâmetros'!$D$1,-10,5)</f>
        <v>5</v>
      </c>
      <c r="AE13" s="82">
        <f>IF(Consultas!AI13&gt;(Consultas!F13*2),-10,0)</f>
        <v>0</v>
      </c>
      <c r="AF13" s="82">
        <f>IF(Consultas!AD13&gt;1,(IF(Consultas!AI13&gt;(Consultas!AD13),-20,4)))</f>
        <v>4</v>
      </c>
      <c r="AG13" s="82">
        <f>IF(Consultas!AG13='Parâmetros'!$E$1,0,-6)</f>
        <v>0</v>
      </c>
      <c r="AH13" s="82">
        <f>IF(Consultas!AF13='Parâmetros'!$E$1,1,-5)</f>
        <v>1</v>
      </c>
      <c r="AI13" s="82">
        <f>IF(Consultas!AJ13&gt;700,8,IF(Consultas!AJ13&gt;500,4,IF(Consultas!AJ13&gt;200,-4,IF(Consultas!AJ13&gt;1,-15,-20))))</f>
        <v>8</v>
      </c>
      <c r="AJ13" s="82">
        <f>IF(Consultas!AD13='Parâmetros'!$E$10,0,IF(Consultas!AD13&gt;'Parâmetros'!$A$30,12,IF(Consultas!AD13&gt;'Parâmetros'!$A$31,6,IF(Consultas!AD13&gt;'Parâmetros'!$A$32,0,IF(Consultas!AD13&gt;'Parâmetros'!$A$33,0,IF(Consultas!AD13&gt;'Parâmetros'!$A$34,-3,IF(Consultas!AD13&gt;'Parâmetros'!$A$35,-7,-1)))))))</f>
        <v>12</v>
      </c>
      <c r="AK13" s="82">
        <f>IF(Consultas!AO13='Parâmetros'!$D$1,3,-3)</f>
        <v>-3</v>
      </c>
      <c r="AL13" s="82">
        <f>IF(Consultas!AP13='Parâmetros'!$D$1,5,-3)</f>
        <v>-3</v>
      </c>
      <c r="AM13" s="82">
        <f>IF(Consultas!AL13="N",-6,0)</f>
        <v>0</v>
      </c>
      <c r="AN13" s="82">
        <f>IF(Consultas!AM13="N",-10,0)</f>
        <v>0</v>
      </c>
      <c r="AO13" s="82">
        <f>IF(Consultas!AN13="S",4,-2)</f>
        <v>-2</v>
      </c>
      <c r="AP13" s="39"/>
      <c r="AQ13" s="165">
        <f>IF(Consultas!F13&gt;1,(SUM(F13:AO13)),"N/A")</f>
        <v>35</v>
      </c>
      <c r="AR13" s="78" t="str">
        <f>IF((Consultas!AD13&gt;'Parâmetros'!$A$31),"X",AJ13+Y13+V13+AC13)</f>
        <v>X</v>
      </c>
      <c r="AS13" s="78" t="str">
        <f>IF((Consultas!AD13&gt;'Parâmetros'!$A$31),"X",(H13+I13+J13+Q13+T13+Y13+Z13+AJ13+AN13))</f>
        <v>X</v>
      </c>
      <c r="AT13" s="78">
        <f>IF((Consultas!AD13&lt;'Parâmetros'!$A$31),"X",(AD13+AC13+AB13))</f>
        <v>9</v>
      </c>
      <c r="AU13" s="78">
        <f t="shared" si="1"/>
        <v>9</v>
      </c>
      <c r="AV13" s="82" t="str">
        <f>IF(AQ13="N/A","N/A",IF(AQ13&gt;5,'Parâmetros'!$A$15,(IF(AU13=AR13,'Parâmetros'!$A$17,IF(AU13=AS13,'Parâmetros'!$A$16,'Parâmetros'!$A$14)))))</f>
        <v>SEM-RISCO</v>
      </c>
      <c r="AW13" s="86" t="str">
        <f>IF(AQ13="N/A","N/A",IF(AV13='Parâmetros'!$A$15,'Parâmetros'!$C$15,(IF(AV13='Parâmetros'!$A$17,'Parâmetros'!$C$17,IF(AV13='Parâmetros'!$A$16,'Parâmetros'!$C$16,IF(AV13='Parâmetros'!$A$14,'Parâmetros'!$C$12))))))</f>
        <v>LIBERADO</v>
      </c>
      <c r="AX13" s="82" t="str">
        <f>IF(Consultas!F13&gt;1,(IF(Consultas!F13&gt;5000,"SOLICITAR PED COMPRA","N/A")))</f>
        <v>N/A</v>
      </c>
      <c r="AY13" s="167" t="str">
        <f>IF(AND(Consultas!M13&lt;&gt;"S", Consultas!H13="S"), "CHECAGEM REVERSA", "N/A")</f>
        <v>CHECAGEM REVERSA</v>
      </c>
      <c r="AZ13" s="167" t="str">
        <f>IF(Consultas!U13="N","PRECISA CORRIGIR END DIVERGENTE","N/A")</f>
        <v>N/A</v>
      </c>
    </row>
    <row r="14" ht="12.0" customHeight="1">
      <c r="A14" s="39" t="s">
        <v>90</v>
      </c>
      <c r="B14" s="82">
        <f>Consultas!B14</f>
        <v>176</v>
      </c>
      <c r="C14" s="82" t="str">
        <f>Consultas!D14</f>
        <v>Metalpleno</v>
      </c>
      <c r="D14" s="96" t="str">
        <f>Consultas!E14</f>
        <v>033086</v>
      </c>
      <c r="E14" s="104">
        <f>IF(Consultas!AB14&gt;0,YEAR('Parâmetros'!$B$1)-YEAR(Consultas!AB14),"NA")</f>
        <v>7</v>
      </c>
      <c r="F14" s="82">
        <f>IF(Consultas!F14&gt;'Parâmetros'!$B$2,-8,0)</f>
        <v>0</v>
      </c>
      <c r="G14" s="82">
        <f>IF(Consultas!H14='Parâmetros'!$E$1,100,0)</f>
        <v>0</v>
      </c>
      <c r="H14" s="82">
        <f>IF(Consultas!I14='Parâmetros'!$E$1,-4,12)</f>
        <v>-4</v>
      </c>
      <c r="I14" s="82">
        <f>IF(Consultas!J14='Parâmetros'!$E$1,1,-13)</f>
        <v>1</v>
      </c>
      <c r="J14" s="82">
        <f>IF(Consultas!K14='Parâmetros'!$E$1,2,-5)</f>
        <v>2</v>
      </c>
      <c r="K14" s="82" t="str">
        <f>IF(Consultas!L14='Parâmetros'!$D$1,"SOLIC CONTRATO DE ENTREGA","N/A")</f>
        <v>SOLIC CONTRATO DE ENTREGA</v>
      </c>
      <c r="L14" s="82">
        <f>IF(Consultas!R14='Parâmetros'!$E$1,1,-3)</f>
        <v>1</v>
      </c>
      <c r="M14" s="82">
        <f>IF(Consultas!S14&gt;1,(IF(Consultas!S14='Parâmetros'!$E$1,-3,9)))</f>
        <v>-3</v>
      </c>
      <c r="N14" s="82">
        <f>IF(Consultas!T14="S",23,0)</f>
        <v>0</v>
      </c>
      <c r="O14" s="82">
        <f>IF(Consultas!U14='Parâmetros'!$E$1,-3,3)</f>
        <v>3</v>
      </c>
      <c r="P14" s="82">
        <f>IF(Consultas!V14='Parâmetros'!$E$1,-100,2)</f>
        <v>2</v>
      </c>
      <c r="Q14" s="82">
        <f>IF(Consultas!M14='Parâmetros'!$D$1,2,-9)</f>
        <v>-9</v>
      </c>
      <c r="R14" s="82">
        <f>IF(Consultas!N14="RJ",-12,0)</f>
        <v>0</v>
      </c>
      <c r="S14" s="82">
        <f>IF(Consultas!O14="-",-3,IF(Consultas!O14=0,-6,IF(Consultas!O14=5,0,IF(Consultas!O14=10,6))))</f>
        <v>-6</v>
      </c>
      <c r="T14" s="82">
        <f>IF(Consultas!M14="S",0,(IF(Consultas!P14="S",6,0)))</f>
        <v>6</v>
      </c>
      <c r="U14" s="82">
        <f>IF(Consultas!Q14&gt;97,9,IF(Consultas!Q14&gt;75,0,-7))</f>
        <v>9</v>
      </c>
      <c r="V14" s="82">
        <f>IF(Consultas!W14='Parâmetros'!$E$1,1,-5)</f>
        <v>1</v>
      </c>
      <c r="W14" s="82">
        <f>IF(Consultas!X14="S",3,-3)</f>
        <v>3</v>
      </c>
      <c r="X14" s="82">
        <f>IF(Consultas!Y14="S",0,-7)</f>
        <v>-7</v>
      </c>
      <c r="Y14" s="82">
        <f>IF(Consultas!Z14='Parâmetros'!$E$1,2,-8)</f>
        <v>2</v>
      </c>
      <c r="Z14" s="82">
        <f>IF(Consultas!AA14='Parâmetros'!$E$1,-15,1)</f>
        <v>1</v>
      </c>
      <c r="AA14" s="147" t="s">
        <v>140</v>
      </c>
      <c r="AB14" s="82">
        <f>IF(E14="NA","NA",IF(E14&gt;'Parâmetros'!$A$9,8,IF(E14&gt;'Parâmetros'!$A$8,4,IF(E14&gt;'Parâmetros'!$A$7,0,-6))))</f>
        <v>0</v>
      </c>
      <c r="AC14" s="82">
        <f>IF(Consultas!AC14='Parâmetros'!$E$1,0,5)</f>
        <v>0</v>
      </c>
      <c r="AD14" s="82">
        <f>IF(Consultas!AH14='Parâmetros'!$D$1,-10,5)</f>
        <v>5</v>
      </c>
      <c r="AE14" s="82">
        <f>IF(Consultas!AI14&gt;(Consultas!F14*2),-10,0)</f>
        <v>0</v>
      </c>
      <c r="AF14" s="82">
        <f>IF(Consultas!AD14&gt;1,(IF(Consultas!AI14&gt;(Consultas!AD14),-20,4)))</f>
        <v>4</v>
      </c>
      <c r="AG14" s="82">
        <f>IF(Consultas!AG14='Parâmetros'!$E$1,0,-6)</f>
        <v>0</v>
      </c>
      <c r="AH14" s="82">
        <f>IF(Consultas!AF14='Parâmetros'!$E$1,1,-5)</f>
        <v>1</v>
      </c>
      <c r="AI14" s="82">
        <f>IF(Consultas!AJ14&gt;700,8,IF(Consultas!AJ14&gt;500,4,IF(Consultas!AJ14&gt;200,-4,IF(Consultas!AJ14&gt;1,-15,-20))))</f>
        <v>8</v>
      </c>
      <c r="AJ14" s="82">
        <f>IF(Consultas!AD14='Parâmetros'!$E$10,0,IF(Consultas!AD14&gt;'Parâmetros'!$A$30,12,IF(Consultas!AD14&gt;'Parâmetros'!$A$31,6,IF(Consultas!AD14&gt;'Parâmetros'!$A$32,0,IF(Consultas!AD14&gt;'Parâmetros'!$A$33,0,IF(Consultas!AD14&gt;'Parâmetros'!$A$34,-3,IF(Consultas!AD14&gt;'Parâmetros'!$A$35,-7,-1)))))))</f>
        <v>12</v>
      </c>
      <c r="AK14" s="82">
        <f>IF(Consultas!AO14='Parâmetros'!$D$1,3,-3)</f>
        <v>-3</v>
      </c>
      <c r="AL14" s="82">
        <f>IF(Consultas!AP14='Parâmetros'!$D$1,5,-3)</f>
        <v>-3</v>
      </c>
      <c r="AM14" s="82">
        <f>IF(Consultas!AL14="N",-6,0)</f>
        <v>0</v>
      </c>
      <c r="AN14" s="82">
        <f>IF(Consultas!AM14="N",-10,0)</f>
        <v>0</v>
      </c>
      <c r="AO14" s="82">
        <f>IF(Consultas!AN14="S",4,-2)</f>
        <v>-2</v>
      </c>
      <c r="AP14" s="39"/>
      <c r="AQ14" s="165">
        <f>IF(Consultas!F14&gt;1,(SUM(F14:AO14)),"N/A")</f>
        <v>24</v>
      </c>
      <c r="AR14" s="78" t="str">
        <f>IF((Consultas!AD14&gt;'Parâmetros'!$A$31),"X",AJ14+Y14+V14+AC14)</f>
        <v>X</v>
      </c>
      <c r="AS14" s="78" t="str">
        <f>IF((Consultas!AD14&gt;'Parâmetros'!$A$31),"X",(H14+I14+J14+Q14+T14+Y14+Z14+AJ14+AN14))</f>
        <v>X</v>
      </c>
      <c r="AT14" s="78">
        <f>IF((Consultas!AD14&lt;'Parâmetros'!$A$31),"X",(AD14+AC14+AB14))</f>
        <v>5</v>
      </c>
      <c r="AU14" s="78">
        <f t="shared" si="1"/>
        <v>5</v>
      </c>
      <c r="AV14" s="82" t="str">
        <f>IF(AQ14="N/A","N/A",IF(AQ14&gt;5,'Parâmetros'!$A$15,(IF(AU14=AR14,'Parâmetros'!$A$17,IF(AU14=AS14,'Parâmetros'!$A$16,'Parâmetros'!$A$14)))))</f>
        <v>SEM-RISCO</v>
      </c>
      <c r="AW14" s="86" t="str">
        <f>IF(AQ14="N/A","N/A",IF(AV14='Parâmetros'!$A$15,'Parâmetros'!$C$15,(IF(AV14='Parâmetros'!$A$17,'Parâmetros'!$C$17,IF(AV14='Parâmetros'!$A$16,'Parâmetros'!$C$16,IF(AV14='Parâmetros'!$A$14,'Parâmetros'!$C$12))))))</f>
        <v>LIBERADO</v>
      </c>
      <c r="AX14" s="82" t="str">
        <f>IF(Consultas!F14&gt;1,(IF(Consultas!F14&gt;5000,"SOLICITAR PED COMPRA","N/A")))</f>
        <v>SOLICITAR PED COMPRA</v>
      </c>
      <c r="AY14" s="167" t="str">
        <f>IF(AND(Consultas!M14&lt;&gt;"S", Consultas!H14="S"), "CHECAGEM REVERSA", "N/A")</f>
        <v>CHECAGEM REVERSA</v>
      </c>
      <c r="AZ14" s="167" t="str">
        <f>IF(Consultas!U14="N","PRECISA CORRIGIR END DIVERGENTE","N/A")</f>
        <v>N/A</v>
      </c>
    </row>
    <row r="15" ht="12.0" customHeight="1">
      <c r="A15" s="39" t="s">
        <v>90</v>
      </c>
      <c r="B15" s="82">
        <f>Consultas!B15</f>
        <v>175</v>
      </c>
      <c r="C15" s="82" t="str">
        <f>Consultas!D15</f>
        <v>Metalpleno</v>
      </c>
      <c r="D15" s="96" t="str">
        <f>Consultas!E15</f>
        <v>005031</v>
      </c>
      <c r="E15" s="104">
        <f>IF(Consultas!AB15&gt;0,YEAR('Parâmetros'!$B$1)-YEAR(Consultas!AB15),"NA")</f>
        <v>41</v>
      </c>
      <c r="F15" s="82">
        <f>IF(Consultas!F15&gt;'Parâmetros'!$B$2,-8,0)</f>
        <v>0</v>
      </c>
      <c r="G15" s="82">
        <f>IF(Consultas!H15='Parâmetros'!$E$1,100,0)</f>
        <v>0</v>
      </c>
      <c r="H15" s="82">
        <f>IF(Consultas!I15='Parâmetros'!$E$1,-4,12)</f>
        <v>-4</v>
      </c>
      <c r="I15" s="82">
        <f>IF(Consultas!J15='Parâmetros'!$E$1,1,-13)</f>
        <v>1</v>
      </c>
      <c r="J15" s="82">
        <f>IF(Consultas!K15='Parâmetros'!$E$1,2,-5)</f>
        <v>2</v>
      </c>
      <c r="K15" s="82" t="str">
        <f>IF(Consultas!L15='Parâmetros'!$D$1,"SOLIC CONTRATO DE ENTREGA","N/A")</f>
        <v>SOLIC CONTRATO DE ENTREGA</v>
      </c>
      <c r="L15" s="82">
        <f>IF(Consultas!R15='Parâmetros'!$E$1,1,-3)</f>
        <v>1</v>
      </c>
      <c r="M15" s="82">
        <f>IF(Consultas!S15&gt;1,(IF(Consultas!S15='Parâmetros'!$E$1,-3,9)))</f>
        <v>-3</v>
      </c>
      <c r="N15" s="82">
        <f>IF(Consultas!T15="S",23,0)</f>
        <v>0</v>
      </c>
      <c r="O15" s="82">
        <f>IF(Consultas!U15='Parâmetros'!$E$1,-3,3)</f>
        <v>3</v>
      </c>
      <c r="P15" s="82">
        <f>IF(Consultas!V15='Parâmetros'!$E$1,-100,2)</f>
        <v>2</v>
      </c>
      <c r="Q15" s="82">
        <f>IF(Consultas!M15='Parâmetros'!$D$1,2,-9)</f>
        <v>-9</v>
      </c>
      <c r="R15" s="82">
        <f>IF(Consultas!N15="RJ",-12,0)</f>
        <v>0</v>
      </c>
      <c r="S15" s="82">
        <f>IF(Consultas!O15="-",-3,IF(Consultas!O15=0,-6,IF(Consultas!O15=5,0,IF(Consultas!O15=10,6))))</f>
        <v>-6</v>
      </c>
      <c r="T15" s="82">
        <f>IF(Consultas!M15="S",0,(IF(Consultas!P15="S",6,0)))</f>
        <v>0</v>
      </c>
      <c r="U15" s="82">
        <f>IF(Consultas!Q15&gt;97,9,IF(Consultas!Q15&gt;75,0,-7))</f>
        <v>9</v>
      </c>
      <c r="V15" s="82">
        <f>IF(Consultas!W15='Parâmetros'!$E$1,1,-5)</f>
        <v>1</v>
      </c>
      <c r="W15" s="82">
        <f>IF(Consultas!X15="S",3,-3)</f>
        <v>3</v>
      </c>
      <c r="X15" s="82">
        <f>IF(Consultas!Y15="S",0,-7)</f>
        <v>0</v>
      </c>
      <c r="Y15" s="82">
        <f>IF(Consultas!Z15='Parâmetros'!$E$1,2,-8)</f>
        <v>2</v>
      </c>
      <c r="Z15" s="82">
        <f>IF(Consultas!AA15='Parâmetros'!$E$1,-15,1)</f>
        <v>1</v>
      </c>
      <c r="AA15" s="147" t="s">
        <v>140</v>
      </c>
      <c r="AB15" s="82">
        <f>IF(E15="NA","NA",IF(E15&gt;'Parâmetros'!$A$9,8,IF(E15&gt;'Parâmetros'!$A$8,4,IF(E15&gt;'Parâmetros'!$A$7,0,-6))))</f>
        <v>8</v>
      </c>
      <c r="AC15" s="82">
        <f>IF(Consultas!AC15='Parâmetros'!$E$1,0,5)</f>
        <v>0</v>
      </c>
      <c r="AD15" s="82">
        <f>IF(Consultas!AH15='Parâmetros'!$D$1,-10,5)</f>
        <v>5</v>
      </c>
      <c r="AE15" s="82">
        <f>IF(Consultas!AI15&gt;(Consultas!F15*2),-10,0)</f>
        <v>0</v>
      </c>
      <c r="AF15" s="82">
        <f>IF(Consultas!AD15&gt;1,(IF(Consultas!AI15&gt;(Consultas!AD15),-20,4)))</f>
        <v>4</v>
      </c>
      <c r="AG15" s="82">
        <f>IF(Consultas!AG15='Parâmetros'!$E$1,0,-6)</f>
        <v>0</v>
      </c>
      <c r="AH15" s="82">
        <f>IF(Consultas!AF15='Parâmetros'!$E$1,1,-5)</f>
        <v>-5</v>
      </c>
      <c r="AI15" s="82">
        <f>IF(Consultas!AJ15&gt;700,8,IF(Consultas!AJ15&gt;500,4,IF(Consultas!AJ15&gt;200,-4,IF(Consultas!AJ15&gt;1,-15,-20))))</f>
        <v>8</v>
      </c>
      <c r="AJ15" s="82">
        <f>IF(Consultas!AD15='Parâmetros'!$E$10,0,IF(Consultas!AD15&gt;'Parâmetros'!$A$30,12,IF(Consultas!AD15&gt;'Parâmetros'!$A$31,6,IF(Consultas!AD15&gt;'Parâmetros'!$A$32,0,IF(Consultas!AD15&gt;'Parâmetros'!$A$33,0,IF(Consultas!AD15&gt;'Parâmetros'!$A$34,-3,IF(Consultas!AD15&gt;'Parâmetros'!$A$35,-7,-1)))))))</f>
        <v>12</v>
      </c>
      <c r="AK15" s="82">
        <f>IF(Consultas!AO15='Parâmetros'!$D$1,3,-3)</f>
        <v>-3</v>
      </c>
      <c r="AL15" s="82">
        <f>IF(Consultas!AP15='Parâmetros'!$D$1,5,-3)</f>
        <v>-3</v>
      </c>
      <c r="AM15" s="82">
        <f>IF(Consultas!AL15="N",-6,0)</f>
        <v>0</v>
      </c>
      <c r="AN15" s="82">
        <f>IF(Consultas!AM15="N",-10,0)</f>
        <v>0</v>
      </c>
      <c r="AO15" s="82">
        <f>IF(Consultas!AN15="S",4,-2)</f>
        <v>-2</v>
      </c>
      <c r="AP15" s="39"/>
      <c r="AQ15" s="165">
        <f>IF(Consultas!F15&gt;1,(SUM(F15:AO15)),"N/A")</f>
        <v>27</v>
      </c>
      <c r="AR15" s="78" t="str">
        <f>IF((Consultas!AD15&gt;'Parâmetros'!$A$31),"X",AJ15+Y15+V15+AC15)</f>
        <v>X</v>
      </c>
      <c r="AS15" s="78" t="str">
        <f>IF((Consultas!AD15&gt;'Parâmetros'!$A$31),"X",(H15+I15+J15+Q15+T15+Y15+Z15+AJ15+AN15))</f>
        <v>X</v>
      </c>
      <c r="AT15" s="78">
        <f>IF((Consultas!AD15&lt;'Parâmetros'!$A$31),"X",(AD15+AC15+AB15))</f>
        <v>13</v>
      </c>
      <c r="AU15" s="78">
        <f t="shared" si="1"/>
        <v>13</v>
      </c>
      <c r="AV15" s="82" t="str">
        <f>IF(AQ15="N/A","N/A",IF(AQ15&gt;5,'Parâmetros'!$A$15,(IF(AU15=AR15,'Parâmetros'!$A$17,IF(AU15=AS15,'Parâmetros'!$A$16,'Parâmetros'!$A$14)))))</f>
        <v>SEM-RISCO</v>
      </c>
      <c r="AW15" s="86" t="str">
        <f>IF(AQ15="N/A","N/A",IF(AV15='Parâmetros'!$A$15,'Parâmetros'!$C$15,(IF(AV15='Parâmetros'!$A$17,'Parâmetros'!$C$17,IF(AV15='Parâmetros'!$A$16,'Parâmetros'!$C$16,IF(AV15='Parâmetros'!$A$14,'Parâmetros'!$C$12))))))</f>
        <v>LIBERADO</v>
      </c>
      <c r="AX15" s="82" t="str">
        <f>IF(Consultas!F15&gt;1,(IF(Consultas!F15&gt;5000,"SOLICITAR PED COMPRA","N/A")))</f>
        <v>SOLICITAR PED COMPRA</v>
      </c>
      <c r="AY15" s="167" t="str">
        <f>IF(AND(Consultas!M15&lt;&gt;"S", Consultas!H15="S"), "CHECAGEM REVERSA", "N/A")</f>
        <v>CHECAGEM REVERSA</v>
      </c>
      <c r="AZ15" s="167" t="str">
        <f>IF(Consultas!U15="N","PRECISA CORRIGIR END DIVERGENTE","N/A")</f>
        <v>N/A</v>
      </c>
    </row>
    <row r="16" ht="12.0" customHeight="1">
      <c r="A16" s="39" t="s">
        <v>90</v>
      </c>
      <c r="B16" s="82">
        <f>Consultas!B16</f>
        <v>177</v>
      </c>
      <c r="C16" s="82" t="str">
        <f>Consultas!D16</f>
        <v>Metalpleno</v>
      </c>
      <c r="D16" s="96" t="str">
        <f>Consultas!E16</f>
        <v>144489</v>
      </c>
      <c r="E16" s="104">
        <f>IF(Consultas!AB16&gt;0,YEAR('Parâmetros'!$B$1)-YEAR(Consultas!AB16),"NA")</f>
        <v>29</v>
      </c>
      <c r="F16" s="82">
        <f>IF(Consultas!F16&gt;'Parâmetros'!$B$2,-8,0)</f>
        <v>0</v>
      </c>
      <c r="G16" s="82">
        <f>IF(Consultas!H16='Parâmetros'!$E$1,100,0)</f>
        <v>0</v>
      </c>
      <c r="H16" s="82">
        <f>IF(Consultas!I16='Parâmetros'!$E$1,-4,12)</f>
        <v>-4</v>
      </c>
      <c r="I16" s="82">
        <f>IF(Consultas!J16='Parâmetros'!$E$1,1,-13)</f>
        <v>1</v>
      </c>
      <c r="J16" s="82">
        <f>IF(Consultas!K16='Parâmetros'!$E$1,2,-5)</f>
        <v>2</v>
      </c>
      <c r="K16" s="82" t="str">
        <f>IF(Consultas!L16='Parâmetros'!$D$1,"SOLIC CONTRATO DE ENTREGA","N/A")</f>
        <v>SOLIC CONTRATO DE ENTREGA</v>
      </c>
      <c r="L16" s="82">
        <f>IF(Consultas!R16='Parâmetros'!$E$1,1,-3)</f>
        <v>1</v>
      </c>
      <c r="M16" s="82">
        <f>IF(Consultas!S16&gt;1,(IF(Consultas!S16='Parâmetros'!$E$1,-3,9)))</f>
        <v>-3</v>
      </c>
      <c r="N16" s="82">
        <f>IF(Consultas!T16="S",23,0)</f>
        <v>0</v>
      </c>
      <c r="O16" s="82">
        <f>IF(Consultas!U16='Parâmetros'!$E$1,-3,3)</f>
        <v>3</v>
      </c>
      <c r="P16" s="82">
        <f>IF(Consultas!V16='Parâmetros'!$E$1,-100,2)</f>
        <v>2</v>
      </c>
      <c r="Q16" s="82">
        <f>IF(Consultas!M16='Parâmetros'!$D$1,2,-9)</f>
        <v>2</v>
      </c>
      <c r="R16" s="82">
        <f>IF(Consultas!N16="RJ",-12,0)</f>
        <v>0</v>
      </c>
      <c r="S16" s="82">
        <f>IF(Consultas!O16="-",-3,IF(Consultas!O16=0,-6,IF(Consultas!O16=5,0,IF(Consultas!O16=10,6))))</f>
        <v>0</v>
      </c>
      <c r="T16" s="82">
        <f>IF(Consultas!M16="S",0,(IF(Consultas!P16="S",6,0)))</f>
        <v>0</v>
      </c>
      <c r="U16" s="82">
        <f>IF(Consultas!Q16&gt;97,9,IF(Consultas!Q16&gt;75,0,-7))</f>
        <v>9</v>
      </c>
      <c r="V16" s="82">
        <f>IF(Consultas!W16='Parâmetros'!$E$1,1,-5)</f>
        <v>1</v>
      </c>
      <c r="W16" s="82">
        <f>IF(Consultas!X16="S",3,-3)</f>
        <v>3</v>
      </c>
      <c r="X16" s="82">
        <f>IF(Consultas!Y16="S",0,-7)</f>
        <v>0</v>
      </c>
      <c r="Y16" s="82">
        <f>IF(Consultas!Z16='Parâmetros'!$E$1,2,-8)</f>
        <v>2</v>
      </c>
      <c r="Z16" s="82">
        <f>IF(Consultas!AA16='Parâmetros'!$E$1,-15,1)</f>
        <v>1</v>
      </c>
      <c r="AA16" s="147" t="s">
        <v>140</v>
      </c>
      <c r="AB16" s="82">
        <f>IF(E16="NA","NA",IF(E16&gt;'Parâmetros'!$A$9,8,IF(E16&gt;'Parâmetros'!$A$8,4,IF(E16&gt;'Parâmetros'!$A$7,0,-6))))</f>
        <v>4</v>
      </c>
      <c r="AC16" s="82">
        <f>IF(Consultas!AC16='Parâmetros'!$E$1,0,5)</f>
        <v>0</v>
      </c>
      <c r="AD16" s="82">
        <f>IF(Consultas!AH16='Parâmetros'!$D$1,-10,5)</f>
        <v>5</v>
      </c>
      <c r="AE16" s="82">
        <f>IF(Consultas!AI16&gt;(Consultas!F16*2),-10,0)</f>
        <v>0</v>
      </c>
      <c r="AF16" s="82">
        <f>IF(Consultas!AD16&gt;1,(IF(Consultas!AI16&gt;(Consultas!AD16),-20,4)))</f>
        <v>4</v>
      </c>
      <c r="AG16" s="82">
        <f>IF(Consultas!AG16='Parâmetros'!$E$1,0,-6)</f>
        <v>0</v>
      </c>
      <c r="AH16" s="82">
        <f>IF(Consultas!AF16='Parâmetros'!$E$1,1,-5)</f>
        <v>1</v>
      </c>
      <c r="AI16" s="82">
        <f>IF(Consultas!AJ16&gt;700,8,IF(Consultas!AJ16&gt;500,4,IF(Consultas!AJ16&gt;200,-4,IF(Consultas!AJ16&gt;1,-15,-20))))</f>
        <v>4</v>
      </c>
      <c r="AJ16" s="82">
        <f>IF(Consultas!AD16='Parâmetros'!$E$10,0,IF(Consultas!AD16&gt;'Parâmetros'!$A$30,12,IF(Consultas!AD16&gt;'Parâmetros'!$A$31,6,IF(Consultas!AD16&gt;'Parâmetros'!$A$32,0,IF(Consultas!AD16&gt;'Parâmetros'!$A$33,0,IF(Consultas!AD16&gt;'Parâmetros'!$A$34,-3,IF(Consultas!AD16&gt;'Parâmetros'!$A$35,-7,-1)))))))</f>
        <v>12</v>
      </c>
      <c r="AK16" s="82">
        <f>IF(Consultas!AO16='Parâmetros'!$D$1,3,-3)</f>
        <v>-3</v>
      </c>
      <c r="AL16" s="82">
        <f>IF(Consultas!AP16='Parâmetros'!$D$1,5,-3)</f>
        <v>-3</v>
      </c>
      <c r="AM16" s="82">
        <f>IF(Consultas!AL16="N",-6,0)</f>
        <v>0</v>
      </c>
      <c r="AN16" s="82">
        <f>IF(Consultas!AM16="N",-10,0)</f>
        <v>0</v>
      </c>
      <c r="AO16" s="82">
        <f>IF(Consultas!AN16="S",4,-2)</f>
        <v>-2</v>
      </c>
      <c r="AP16" s="39"/>
      <c r="AQ16" s="165">
        <f>IF(Consultas!F16&gt;1,(SUM(F16:AO16)),"N/A")</f>
        <v>42</v>
      </c>
      <c r="AR16" s="78" t="str">
        <f>IF((Consultas!AD16&gt;'Parâmetros'!$A$31),"X",AJ16+Y16+V16+AC16)</f>
        <v>X</v>
      </c>
      <c r="AS16" s="78" t="str">
        <f>IF((Consultas!AD16&gt;'Parâmetros'!$A$31),"X",(H16+I16+J16+Q16+T16+Y16+Z16+AJ16+AN16))</f>
        <v>X</v>
      </c>
      <c r="AT16" s="78">
        <f>IF((Consultas!AD16&lt;'Parâmetros'!$A$31),"X",(AD16+AC16+AB16))</f>
        <v>9</v>
      </c>
      <c r="AU16" s="78">
        <f t="shared" si="1"/>
        <v>9</v>
      </c>
      <c r="AV16" s="82" t="str">
        <f>IF(AQ16="N/A","N/A",IF(AQ16&gt;5,'Parâmetros'!$A$15,(IF(AU16=AR16,'Parâmetros'!$A$17,IF(AU16=AS16,'Parâmetros'!$A$16,'Parâmetros'!$A$14)))))</f>
        <v>SEM-RISCO</v>
      </c>
      <c r="AW16" s="86" t="str">
        <f>IF(AQ16="N/A","N/A",IF(AV16='Parâmetros'!$A$15,'Parâmetros'!$C$15,(IF(AV16='Parâmetros'!$A$17,'Parâmetros'!$C$17,IF(AV16='Parâmetros'!$A$16,'Parâmetros'!$C$16,IF(AV16='Parâmetros'!$A$14,'Parâmetros'!$C$12))))))</f>
        <v>LIBERADO</v>
      </c>
      <c r="AX16" s="82" t="str">
        <f>IF(Consultas!F16&gt;1,(IF(Consultas!F16&gt;5000,"SOLICITAR PED COMPRA","N/A")))</f>
        <v>N/A</v>
      </c>
      <c r="AY16" s="167" t="str">
        <f>IF(AND(Consultas!M16&lt;&gt;"S", Consultas!H16="S"), "CHECAGEM REVERSA", "N/A")</f>
        <v>N/A</v>
      </c>
      <c r="AZ16" s="167" t="str">
        <f>IF(Consultas!U16="N","PRECISA CORRIGIR END DIVERGENTE","N/A")</f>
        <v>N/A</v>
      </c>
    </row>
    <row r="17" ht="12.0" customHeight="1">
      <c r="A17" s="39" t="s">
        <v>90</v>
      </c>
      <c r="B17" s="82">
        <f>Consultas!B17</f>
        <v>178</v>
      </c>
      <c r="C17" s="82" t="str">
        <f>Consultas!D17</f>
        <v>Metalpleno</v>
      </c>
      <c r="D17" s="96" t="str">
        <f>Consultas!E17</f>
        <v>144490</v>
      </c>
      <c r="E17" s="104">
        <f>IF(Consultas!AB17&gt;0,YEAR('Parâmetros'!$B$1)-YEAR(Consultas!AB17),"NA")</f>
        <v>44</v>
      </c>
      <c r="F17" s="82">
        <f>IF(Consultas!F17&gt;'Parâmetros'!$B$2,-8,0)</f>
        <v>-8</v>
      </c>
      <c r="G17" s="82">
        <f>IF(Consultas!H17='Parâmetros'!$E$1,100,0)</f>
        <v>0</v>
      </c>
      <c r="H17" s="82">
        <f>IF(Consultas!I17='Parâmetros'!$E$1,-4,12)</f>
        <v>12</v>
      </c>
      <c r="I17" s="82">
        <f>IF(Consultas!J17='Parâmetros'!$E$1,1,-13)</f>
        <v>1</v>
      </c>
      <c r="J17" s="82">
        <f>IF(Consultas!K17='Parâmetros'!$E$1,2,-5)</f>
        <v>2</v>
      </c>
      <c r="K17" s="82" t="str">
        <f>IF(Consultas!L17='Parâmetros'!$D$1,"SOLIC CONTRATO DE ENTREGA","N/A")</f>
        <v>SOLIC CONTRATO DE ENTREGA</v>
      </c>
      <c r="L17" s="82">
        <f>IF(Consultas!R17='Parâmetros'!$E$1,1,-3)</f>
        <v>1</v>
      </c>
      <c r="M17" s="82">
        <f>IF(Consultas!S17&gt;1,(IF(Consultas!S17='Parâmetros'!$E$1,-3,9)))</f>
        <v>-3</v>
      </c>
      <c r="N17" s="82">
        <f>IF(Consultas!T17="S",23,0)</f>
        <v>0</v>
      </c>
      <c r="O17" s="82">
        <f>IF(Consultas!U17='Parâmetros'!$E$1,-3,3)</f>
        <v>3</v>
      </c>
      <c r="P17" s="82">
        <f>IF(Consultas!V17='Parâmetros'!$E$1,-100,2)</f>
        <v>2</v>
      </c>
      <c r="Q17" s="82">
        <f>IF(Consultas!M17='Parâmetros'!$D$1,2,-9)</f>
        <v>2</v>
      </c>
      <c r="R17" s="82">
        <f>IF(Consultas!N17="RJ",-12,0)</f>
        <v>0</v>
      </c>
      <c r="S17" s="82">
        <f>IF(Consultas!O17="-",-3,IF(Consultas!O17=0,-6,IF(Consultas!O17=5,0,IF(Consultas!O17=10,6))))</f>
        <v>0</v>
      </c>
      <c r="T17" s="82">
        <f>IF(Consultas!M17="S",0,(IF(Consultas!P17="S",6,0)))</f>
        <v>0</v>
      </c>
      <c r="U17" s="82">
        <f>IF(Consultas!Q17&gt;97,9,IF(Consultas!Q17&gt;75,0,-7))</f>
        <v>9</v>
      </c>
      <c r="V17" s="82">
        <f>IF(Consultas!W17='Parâmetros'!$E$1,1,-5)</f>
        <v>1</v>
      </c>
      <c r="W17" s="82">
        <f>IF(Consultas!X17="S",3,-3)</f>
        <v>3</v>
      </c>
      <c r="X17" s="82">
        <f>IF(Consultas!Y17="S",0,-7)</f>
        <v>0</v>
      </c>
      <c r="Y17" s="82">
        <f>IF(Consultas!Z17='Parâmetros'!$E$1,2,-8)</f>
        <v>2</v>
      </c>
      <c r="Z17" s="82">
        <f>IF(Consultas!AA17='Parâmetros'!$E$1,-15,1)</f>
        <v>1</v>
      </c>
      <c r="AA17" s="147" t="s">
        <v>140</v>
      </c>
      <c r="AB17" s="82">
        <f>IF(E17="NA","NA",IF(E17&gt;'Parâmetros'!$A$9,8,IF(E17&gt;'Parâmetros'!$A$8,4,IF(E17&gt;'Parâmetros'!$A$7,0,-6))))</f>
        <v>8</v>
      </c>
      <c r="AC17" s="82">
        <f>IF(Consultas!AC17='Parâmetros'!$E$1,0,5)</f>
        <v>5</v>
      </c>
      <c r="AD17" s="82">
        <f>IF(Consultas!AH17='Parâmetros'!$D$1,-10,5)</f>
        <v>5</v>
      </c>
      <c r="AE17" s="82">
        <f>IF(Consultas!AI17&gt;(Consultas!F17*2),-10,0)</f>
        <v>-10</v>
      </c>
      <c r="AF17" s="82">
        <f>IF(Consultas!AD17&gt;1,(IF(Consultas!AI17&gt;(Consultas!AD17),-20,4)))</f>
        <v>4</v>
      </c>
      <c r="AG17" s="82">
        <f>IF(Consultas!AG17='Parâmetros'!$E$1,0,-6)</f>
        <v>0</v>
      </c>
      <c r="AH17" s="82">
        <f>IF(Consultas!AF17='Parâmetros'!$E$1,1,-5)</f>
        <v>-5</v>
      </c>
      <c r="AI17" s="82">
        <f>IF(Consultas!AJ17&gt;700,8,IF(Consultas!AJ17&gt;500,4,IF(Consultas!AJ17&gt;200,-4,IF(Consultas!AJ17&gt;1,-15,-20))))</f>
        <v>-20</v>
      </c>
      <c r="AJ17" s="82">
        <f>IF(Consultas!AD17='Parâmetros'!$E$10,0,IF(Consultas!AD17&gt;'Parâmetros'!$A$30,12,IF(Consultas!AD17&gt;'Parâmetros'!$A$31,6,IF(Consultas!AD17&gt;'Parâmetros'!$A$32,0,IF(Consultas!AD17&gt;'Parâmetros'!$A$33,0,IF(Consultas!AD17&gt;'Parâmetros'!$A$34,-3,IF(Consultas!AD17&gt;'Parâmetros'!$A$35,-7,-1)))))))</f>
        <v>12</v>
      </c>
      <c r="AK17" s="82">
        <f>IF(Consultas!AO17='Parâmetros'!$D$1,3,-3)</f>
        <v>-3</v>
      </c>
      <c r="AL17" s="82">
        <f>IF(Consultas!AP17='Parâmetros'!$D$1,5,-3)</f>
        <v>-3</v>
      </c>
      <c r="AM17" s="82">
        <f>IF(Consultas!AL17="N",-6,0)</f>
        <v>0</v>
      </c>
      <c r="AN17" s="82">
        <f>IF(Consultas!AM17="N",-10,0)</f>
        <v>0</v>
      </c>
      <c r="AO17" s="82">
        <f>IF(Consultas!AN17="S",4,-2)</f>
        <v>-2</v>
      </c>
      <c r="AP17" s="39"/>
      <c r="AQ17" s="165">
        <f>IF(Consultas!F17&gt;1,(SUM(F17:AO17)),"N/A")</f>
        <v>19</v>
      </c>
      <c r="AR17" s="78" t="str">
        <f>IF((Consultas!AD17&gt;'Parâmetros'!$A$31),"X",AJ17+Y17+V17+AC17)</f>
        <v>X</v>
      </c>
      <c r="AS17" s="78" t="str">
        <f>IF((Consultas!AD17&gt;'Parâmetros'!$A$31),"X",(H17+I17+J17+Q17+T17+Y17+Z17+AJ17+AN17))</f>
        <v>X</v>
      </c>
      <c r="AT17" s="78">
        <f>IF((Consultas!AD17&lt;'Parâmetros'!$A$31),"X",(AD17+AC17+AB17))</f>
        <v>18</v>
      </c>
      <c r="AU17" s="78">
        <f t="shared" si="1"/>
        <v>18</v>
      </c>
      <c r="AV17" s="82" t="str">
        <f>IF(AQ17="N/A","N/A",IF(AQ17&gt;5,'Parâmetros'!$A$15,(IF(AU17=AR17,'Parâmetros'!$A$17,IF(AU17=AS17,'Parâmetros'!$A$16,'Parâmetros'!$A$14)))))</f>
        <v>SEM-RISCO</v>
      </c>
      <c r="AW17" s="86" t="str">
        <f>IF(AQ17="N/A","N/A",IF(AV17='Parâmetros'!$A$15,'Parâmetros'!$C$15,(IF(AV17='Parâmetros'!$A$17,'Parâmetros'!$C$17,IF(AV17='Parâmetros'!$A$16,'Parâmetros'!$C$16,IF(AV17='Parâmetros'!$A$14,'Parâmetros'!$C$12))))))</f>
        <v>LIBERADO</v>
      </c>
      <c r="AX17" s="82" t="str">
        <f>IF(Consultas!F17&gt;1,(IF(Consultas!F17&gt;5000,"SOLICITAR PED COMPRA","N/A")))</f>
        <v>SOLICITAR PED COMPRA</v>
      </c>
      <c r="AY17" s="167" t="str">
        <f>IF(AND(Consultas!M17&lt;&gt;"S", Consultas!H17="S"), "CHECAGEM REVERSA", "N/A")</f>
        <v>N/A</v>
      </c>
      <c r="AZ17" s="167" t="str">
        <f>IF(Consultas!U17="N","PRECISA CORRIGIR END DIVERGENTE","N/A")</f>
        <v>N/A</v>
      </c>
    </row>
    <row r="18" ht="12.0" customHeight="1">
      <c r="A18" s="39" t="s">
        <v>90</v>
      </c>
      <c r="B18" s="82">
        <f>Consultas!B18</f>
        <v>466</v>
      </c>
      <c r="C18" s="82" t="str">
        <f>Consultas!D18</f>
        <v>Oaco</v>
      </c>
      <c r="D18" s="96" t="str">
        <f>Consultas!E18</f>
        <v>028293</v>
      </c>
      <c r="E18" s="104">
        <f>IF(Consultas!AB18&gt;0,YEAR('Parâmetros'!$B$1)-YEAR(Consultas!AB18),"NA")</f>
        <v>23</v>
      </c>
      <c r="F18" s="82">
        <f>IF(Consultas!F18&gt;'Parâmetros'!$B$2,-8,0)</f>
        <v>0</v>
      </c>
      <c r="G18" s="82">
        <f>IF(Consultas!H18='Parâmetros'!$E$1,100,0)</f>
        <v>0</v>
      </c>
      <c r="H18" s="82">
        <f>IF(Consultas!I18='Parâmetros'!$E$1,-4,12)</f>
        <v>-4</v>
      </c>
      <c r="I18" s="82">
        <f>IF(Consultas!J18='Parâmetros'!$E$1,1,-13)</f>
        <v>1</v>
      </c>
      <c r="J18" s="82">
        <f>IF(Consultas!K18='Parâmetros'!$E$1,2,-5)</f>
        <v>2</v>
      </c>
      <c r="K18" s="82" t="str">
        <f>IF(Consultas!L18='Parâmetros'!$D$1,"SOLIC CONTRATO DE ENTREGA","N/A")</f>
        <v>N/A</v>
      </c>
      <c r="L18" s="82">
        <f>IF(Consultas!R18='Parâmetros'!$E$1,1,-3)</f>
        <v>1</v>
      </c>
      <c r="M18" s="82">
        <f>IF(Consultas!S18&gt;1,(IF(Consultas!S18='Parâmetros'!$E$1,-3,9)))</f>
        <v>9</v>
      </c>
      <c r="N18" s="82">
        <f>IF(Consultas!T18="S",23,0)</f>
        <v>23</v>
      </c>
      <c r="O18" s="82">
        <f>IF(Consultas!U18='Parâmetros'!$E$1,-3,3)</f>
        <v>3</v>
      </c>
      <c r="P18" s="82">
        <f>IF(Consultas!V18='Parâmetros'!$E$1,-100,2)</f>
        <v>2</v>
      </c>
      <c r="Q18" s="82">
        <f>IF(Consultas!M18='Parâmetros'!$D$1,2,-9)</f>
        <v>2</v>
      </c>
      <c r="R18" s="82">
        <f>IF(Consultas!N18="RJ",-12,0)</f>
        <v>0</v>
      </c>
      <c r="S18" s="82">
        <f>IF(Consultas!O18="-",-3,IF(Consultas!O18=0,-6,IF(Consultas!O18=5,0,IF(Consultas!O18=10,6))))</f>
        <v>-3</v>
      </c>
      <c r="T18" s="82">
        <f>IF(Consultas!M18="S",0,(IF(Consultas!P18="S",6,0)))</f>
        <v>0</v>
      </c>
      <c r="U18" s="82">
        <f>IF(Consultas!Q18&gt;97,9,IF(Consultas!Q18&gt;75,0,-7))</f>
        <v>9</v>
      </c>
      <c r="V18" s="82">
        <f>IF(Consultas!W18='Parâmetros'!$E$1,1,-5)</f>
        <v>1</v>
      </c>
      <c r="W18" s="82">
        <f>IF(Consultas!X18="S",3,-3)</f>
        <v>3</v>
      </c>
      <c r="X18" s="82">
        <f>IF(Consultas!Y18="S",0,-7)</f>
        <v>0</v>
      </c>
      <c r="Y18" s="82">
        <f>IF(Consultas!Z18='Parâmetros'!$E$1,2,-8)</f>
        <v>2</v>
      </c>
      <c r="Z18" s="82">
        <f>IF(Consultas!AA18='Parâmetros'!$E$1,-15,1)</f>
        <v>1</v>
      </c>
      <c r="AA18" s="147" t="s">
        <v>140</v>
      </c>
      <c r="AB18" s="82">
        <f>IF(E18="NA","NA",IF(E18&gt;'Parâmetros'!$A$9,8,IF(E18&gt;'Parâmetros'!$A$8,4,IF(E18&gt;'Parâmetros'!$A$7,0,-6))))</f>
        <v>4</v>
      </c>
      <c r="AC18" s="82">
        <f>IF(Consultas!AC18='Parâmetros'!$E$1,0,5)</f>
        <v>5</v>
      </c>
      <c r="AD18" s="82">
        <f>IF(Consultas!AH18='Parâmetros'!$D$1,-10,5)</f>
        <v>-10</v>
      </c>
      <c r="AE18" s="82">
        <f>IF(Consultas!AI18&gt;(Consultas!F18*2),-10,0)</f>
        <v>-10</v>
      </c>
      <c r="AF18" s="82">
        <f>IF(Consultas!AD18&gt;1,(IF(Consultas!AI18&gt;(Consultas!AD18),-20,4)))</f>
        <v>4</v>
      </c>
      <c r="AG18" s="82">
        <f>IF(Consultas!AG18='Parâmetros'!$E$1,0,-6)</f>
        <v>0</v>
      </c>
      <c r="AH18" s="82">
        <f>IF(Consultas!AF18='Parâmetros'!$E$1,1,-5)</f>
        <v>-5</v>
      </c>
      <c r="AI18" s="82">
        <f>IF(Consultas!AJ18&gt;700,8,IF(Consultas!AJ18&gt;500,4,IF(Consultas!AJ18&gt;200,-4,IF(Consultas!AJ18&gt;1,-15,-20))))</f>
        <v>8</v>
      </c>
      <c r="AJ18" s="82">
        <f>IF(Consultas!AD18='Parâmetros'!$E$10,0,IF(Consultas!AD18&gt;'Parâmetros'!$A$30,12,IF(Consultas!AD18&gt;'Parâmetros'!$A$31,6,IF(Consultas!AD18&gt;'Parâmetros'!$A$32,0,IF(Consultas!AD18&gt;'Parâmetros'!$A$33,0,IF(Consultas!AD18&gt;'Parâmetros'!$A$34,-3,IF(Consultas!AD18&gt;'Parâmetros'!$A$35,-7,-1)))))))</f>
        <v>12</v>
      </c>
      <c r="AK18" s="82">
        <f>IF(Consultas!AO18='Parâmetros'!$D$1,3,-3)</f>
        <v>-3</v>
      </c>
      <c r="AL18" s="82">
        <f>IF(Consultas!AP18='Parâmetros'!$D$1,5,-3)</f>
        <v>-3</v>
      </c>
      <c r="AM18" s="82">
        <f>IF(Consultas!AL18="N",-6,0)</f>
        <v>0</v>
      </c>
      <c r="AN18" s="82">
        <f>IF(Consultas!AM18="N",-10,0)</f>
        <v>0</v>
      </c>
      <c r="AO18" s="82">
        <f>IF(Consultas!AN18="S",4,-2)</f>
        <v>-2</v>
      </c>
      <c r="AP18" s="39"/>
      <c r="AQ18" s="165">
        <f>IF(Consultas!F18&gt;1,(SUM(F18:AO18)),"N/A")</f>
        <v>52</v>
      </c>
      <c r="AR18" s="78" t="str">
        <f>IF((Consultas!AD18&gt;'Parâmetros'!$A$31),"X",AJ18+Y18+V18+AC18)</f>
        <v>X</v>
      </c>
      <c r="AS18" s="78" t="str">
        <f>IF((Consultas!AD18&gt;'Parâmetros'!$A$31),"X",(H18+I18+J18+Q18+T18+Y18+Z18+AJ18+AN18))</f>
        <v>X</v>
      </c>
      <c r="AT18" s="78">
        <f>IF((Consultas!AD18&lt;'Parâmetros'!$A$31),"X",(AD18+AC18+AB18))</f>
        <v>-1</v>
      </c>
      <c r="AU18" s="78">
        <f t="shared" si="1"/>
        <v>-1</v>
      </c>
      <c r="AV18" s="82" t="str">
        <f>IF(AQ18="N/A","N/A",IF(AQ18&gt;5,'Parâmetros'!$A$15,(IF(AU18=AR18,'Parâmetros'!$A$17,IF(AU18=AS18,'Parâmetros'!$A$16,'Parâmetros'!$A$14)))))</f>
        <v>SEM-RISCO</v>
      </c>
      <c r="AW18" s="86" t="str">
        <f>IF(AQ18="N/A","N/A",IF(AV18='Parâmetros'!$A$15,'Parâmetros'!$C$15,(IF(AV18='Parâmetros'!$A$17,'Parâmetros'!$C$17,IF(AV18='Parâmetros'!$A$16,'Parâmetros'!$C$16,IF(AV18='Parâmetros'!$A$14,'Parâmetros'!$C$12))))))</f>
        <v>LIBERADO</v>
      </c>
      <c r="AX18" s="82" t="str">
        <f>IF(Consultas!F18&gt;1,(IF(Consultas!F18&gt;5000,"SOLICITAR PED COMPRA","N/A")))</f>
        <v>N/A</v>
      </c>
      <c r="AY18" s="167" t="str">
        <f>IF(AND(Consultas!M18&lt;&gt;"S", Consultas!H18="S"), "CHECAGEM REVERSA", "N/A")</f>
        <v>N/A</v>
      </c>
      <c r="AZ18" s="167" t="str">
        <f>IF(Consultas!U18="N","PRECISA CORRIGIR END DIVERGENTE","N/A")</f>
        <v>N/A</v>
      </c>
    </row>
    <row r="19" ht="12.0" customHeight="1">
      <c r="A19" s="39" t="s">
        <v>90</v>
      </c>
      <c r="B19" s="82">
        <f>Consultas!B19</f>
        <v>182</v>
      </c>
      <c r="C19" s="82" t="str">
        <f>Consultas!D19</f>
        <v>Metalpleno</v>
      </c>
      <c r="D19" s="96" t="str">
        <f>Consultas!E19</f>
        <v>143634</v>
      </c>
      <c r="E19" s="104">
        <f>IF(Consultas!AB19&gt;0,YEAR('Parâmetros'!$B$1)-YEAR(Consultas!AB19),"NA")</f>
        <v>41</v>
      </c>
      <c r="F19" s="82">
        <f>IF(Consultas!F19&gt;'Parâmetros'!$B$2,-8,0)</f>
        <v>0</v>
      </c>
      <c r="G19" s="82">
        <f>IF(Consultas!H19='Parâmetros'!$E$1,100,0)</f>
        <v>0</v>
      </c>
      <c r="H19" s="82">
        <f>IF(Consultas!I19='Parâmetros'!$E$1,-4,12)</f>
        <v>-4</v>
      </c>
      <c r="I19" s="82">
        <f>IF(Consultas!J19='Parâmetros'!$E$1,1,-13)</f>
        <v>1</v>
      </c>
      <c r="J19" s="82">
        <f>IF(Consultas!K19='Parâmetros'!$E$1,2,-5)</f>
        <v>2</v>
      </c>
      <c r="K19" s="82" t="str">
        <f>IF(Consultas!L19='Parâmetros'!$D$1,"SOLIC CONTRATO DE ENTREGA","N/A")</f>
        <v>SOLIC CONTRATO DE ENTREGA</v>
      </c>
      <c r="L19" s="82">
        <f>IF(Consultas!R19='Parâmetros'!$E$1,1,-3)</f>
        <v>1</v>
      </c>
      <c r="M19" s="82">
        <f>IF(Consultas!S19&gt;1,(IF(Consultas!S19='Parâmetros'!$E$1,-3,9)))</f>
        <v>9</v>
      </c>
      <c r="N19" s="82">
        <f>IF(Consultas!T19="S",23,0)</f>
        <v>0</v>
      </c>
      <c r="O19" s="82">
        <f>IF(Consultas!U19='Parâmetros'!$E$1,-3,3)</f>
        <v>3</v>
      </c>
      <c r="P19" s="82">
        <f>IF(Consultas!V19='Parâmetros'!$E$1,-100,2)</f>
        <v>2</v>
      </c>
      <c r="Q19" s="82">
        <f>IF(Consultas!M19='Parâmetros'!$D$1,2,-9)</f>
        <v>2</v>
      </c>
      <c r="R19" s="82">
        <f>IF(Consultas!N19="RJ",-12,0)</f>
        <v>0</v>
      </c>
      <c r="S19" s="82">
        <f>IF(Consultas!O19="-",-3,IF(Consultas!O19=0,-6,IF(Consultas!O19=5,0,IF(Consultas!O19=10,6))))</f>
        <v>0</v>
      </c>
      <c r="T19" s="82">
        <f>IF(Consultas!M19="S",0,(IF(Consultas!P19="S",6,0)))</f>
        <v>0</v>
      </c>
      <c r="U19" s="82">
        <f>IF(Consultas!Q19&gt;97,9,IF(Consultas!Q19&gt;75,0,-7))</f>
        <v>9</v>
      </c>
      <c r="V19" s="82">
        <f>IF(Consultas!W19='Parâmetros'!$E$1,1,-5)</f>
        <v>1</v>
      </c>
      <c r="W19" s="82">
        <f>IF(Consultas!X19="S",3,-3)</f>
        <v>3</v>
      </c>
      <c r="X19" s="82">
        <f>IF(Consultas!Y19="S",0,-7)</f>
        <v>-7</v>
      </c>
      <c r="Y19" s="82">
        <f>IF(Consultas!Z19='Parâmetros'!$E$1,2,-8)</f>
        <v>2</v>
      </c>
      <c r="Z19" s="82">
        <f>IF(Consultas!AA19='Parâmetros'!$E$1,-15,1)</f>
        <v>1</v>
      </c>
      <c r="AA19" s="147" t="s">
        <v>140</v>
      </c>
      <c r="AB19" s="82">
        <f>IF(E19="NA","NA",IF(E19&gt;'Parâmetros'!$A$9,8,IF(E19&gt;'Parâmetros'!$A$8,4,IF(E19&gt;'Parâmetros'!$A$7,0,-6))))</f>
        <v>8</v>
      </c>
      <c r="AC19" s="82">
        <f>IF(Consultas!AC19='Parâmetros'!$E$1,0,5)</f>
        <v>5</v>
      </c>
      <c r="AD19" s="82">
        <f>IF(Consultas!AH19='Parâmetros'!$D$1,-10,5)</f>
        <v>-10</v>
      </c>
      <c r="AE19" s="82">
        <f>IF(Consultas!AI19&gt;(Consultas!F19*2),-10,0)</f>
        <v>0</v>
      </c>
      <c r="AF19" s="82">
        <f>IF(Consultas!AD19&gt;1,(IF(Consultas!AI19&gt;(Consultas!AD19),-20,4)))</f>
        <v>4</v>
      </c>
      <c r="AG19" s="82">
        <f>IF(Consultas!AG19='Parâmetros'!$E$1,0,-6)</f>
        <v>0</v>
      </c>
      <c r="AH19" s="82">
        <f>IF(Consultas!AF19='Parâmetros'!$E$1,1,-5)</f>
        <v>-5</v>
      </c>
      <c r="AI19" s="82">
        <f>IF(Consultas!AJ19&gt;700,8,IF(Consultas!AJ19&gt;500,4,IF(Consultas!AJ19&gt;200,-4,IF(Consultas!AJ19&gt;1,-15,-20))))</f>
        <v>8</v>
      </c>
      <c r="AJ19" s="82">
        <f>IF(Consultas!AD19='Parâmetros'!$E$10,0,IF(Consultas!AD19&gt;'Parâmetros'!$A$30,12,IF(Consultas!AD19&gt;'Parâmetros'!$A$31,6,IF(Consultas!AD19&gt;'Parâmetros'!$A$32,0,IF(Consultas!AD19&gt;'Parâmetros'!$A$33,0,IF(Consultas!AD19&gt;'Parâmetros'!$A$34,-3,IF(Consultas!AD19&gt;'Parâmetros'!$A$35,-7,-1)))))))</f>
        <v>12</v>
      </c>
      <c r="AK19" s="82">
        <f>IF(Consultas!AO19='Parâmetros'!$D$1,3,-3)</f>
        <v>-3</v>
      </c>
      <c r="AL19" s="82">
        <f>IF(Consultas!AP19='Parâmetros'!$D$1,5,-3)</f>
        <v>-3</v>
      </c>
      <c r="AM19" s="82">
        <f>IF(Consultas!AL19="N",-6,0)</f>
        <v>0</v>
      </c>
      <c r="AN19" s="82">
        <f>IF(Consultas!AM19="N",-10,0)</f>
        <v>0</v>
      </c>
      <c r="AO19" s="82">
        <f>IF(Consultas!AN19="S",4,-2)</f>
        <v>-2</v>
      </c>
      <c r="AP19" s="39"/>
      <c r="AQ19" s="165">
        <f>IF(Consultas!F19&gt;1,(SUM(F19:AO19)),"N/A")</f>
        <v>39</v>
      </c>
      <c r="AR19" s="78" t="str">
        <f>IF((Consultas!AD19&gt;'Parâmetros'!$A$31),"X",AJ19+Y19+V19+AC19)</f>
        <v>X</v>
      </c>
      <c r="AS19" s="78" t="str">
        <f>IF((Consultas!AD19&gt;'Parâmetros'!$A$31),"X",(H19+I19+J19+Q19+T19+Y19+Z19+AJ19+AN19))</f>
        <v>X</v>
      </c>
      <c r="AT19" s="78">
        <f>IF((Consultas!AD19&lt;'Parâmetros'!$A$31),"X",(AD19+AC19+AB19))</f>
        <v>3</v>
      </c>
      <c r="AU19" s="78">
        <f t="shared" si="1"/>
        <v>3</v>
      </c>
      <c r="AV19" s="82" t="str">
        <f>IF(AQ19="N/A","N/A",IF(AQ19&gt;5,'Parâmetros'!$A$15,(IF(AU19=AR19,'Parâmetros'!$A$17,IF(AU19=AS19,'Parâmetros'!$A$16,'Parâmetros'!$A$14)))))</f>
        <v>SEM-RISCO</v>
      </c>
      <c r="AW19" s="86" t="str">
        <f>IF(AQ19="N/A","N/A",IF(AV19='Parâmetros'!$A$15,'Parâmetros'!$C$15,(IF(AV19='Parâmetros'!$A$17,'Parâmetros'!$C$17,IF(AV19='Parâmetros'!$A$16,'Parâmetros'!$C$16,IF(AV19='Parâmetros'!$A$14,'Parâmetros'!$C$12))))))</f>
        <v>LIBERADO</v>
      </c>
      <c r="AX19" s="82" t="str">
        <f>IF(Consultas!F19&gt;1,(IF(Consultas!F19&gt;5000,"SOLICITAR PED COMPRA","N/A")))</f>
        <v>SOLICITAR PED COMPRA</v>
      </c>
      <c r="AY19" s="167" t="str">
        <f>IF(AND(Consultas!M19&lt;&gt;"S", Consultas!H19="S"), "CHECAGEM REVERSA", "N/A")</f>
        <v>N/A</v>
      </c>
      <c r="AZ19" s="167" t="str">
        <f>IF(Consultas!U19="N","PRECISA CORRIGIR END DIVERGENTE","N/A")</f>
        <v>N/A</v>
      </c>
    </row>
    <row r="20" ht="12.0" customHeight="1">
      <c r="A20" s="39" t="s">
        <v>90</v>
      </c>
      <c r="B20" s="82">
        <f>Consultas!B20</f>
        <v>185</v>
      </c>
      <c r="C20" s="82" t="str">
        <f>Consultas!D20</f>
        <v>Metalpleno</v>
      </c>
      <c r="D20" s="96" t="str">
        <f>Consultas!E20</f>
        <v>144500</v>
      </c>
      <c r="E20" s="104">
        <f>IF(Consultas!AB20&gt;0,YEAR('Parâmetros'!$B$1)-YEAR(Consultas!AB20),"NA")</f>
        <v>12</v>
      </c>
      <c r="F20" s="82">
        <f>IF(Consultas!F20&gt;'Parâmetros'!$B$2,-8,0)</f>
        <v>0</v>
      </c>
      <c r="G20" s="82">
        <f>IF(Consultas!H20='Parâmetros'!$E$1,100,0)</f>
        <v>0</v>
      </c>
      <c r="H20" s="82">
        <f>IF(Consultas!I20='Parâmetros'!$E$1,-4,12)</f>
        <v>-4</v>
      </c>
      <c r="I20" s="82">
        <f>IF(Consultas!J20='Parâmetros'!$E$1,1,-13)</f>
        <v>1</v>
      </c>
      <c r="J20" s="82">
        <f>IF(Consultas!K20='Parâmetros'!$E$1,2,-5)</f>
        <v>2</v>
      </c>
      <c r="K20" s="82" t="str">
        <f>IF(Consultas!L20='Parâmetros'!$D$1,"SOLIC CONTRATO DE ENTREGA","N/A")</f>
        <v>SOLIC CONTRATO DE ENTREGA</v>
      </c>
      <c r="L20" s="82">
        <f>IF(Consultas!R20='Parâmetros'!$E$1,1,-3)</f>
        <v>1</v>
      </c>
      <c r="M20" s="82">
        <f>IF(Consultas!S20&gt;1,(IF(Consultas!S20='Parâmetros'!$E$1,-3,9)))</f>
        <v>9</v>
      </c>
      <c r="N20" s="82">
        <f>IF(Consultas!T20="S",23,0)</f>
        <v>0</v>
      </c>
      <c r="O20" s="82">
        <f>IF(Consultas!U20='Parâmetros'!$E$1,-3,3)</f>
        <v>3</v>
      </c>
      <c r="P20" s="82">
        <f>IF(Consultas!V20='Parâmetros'!$E$1,-100,2)</f>
        <v>2</v>
      </c>
      <c r="Q20" s="82">
        <f>IF(Consultas!M20='Parâmetros'!$D$1,2,-9)</f>
        <v>2</v>
      </c>
      <c r="R20" s="82">
        <f>IF(Consultas!N20="RJ",-12,0)</f>
        <v>0</v>
      </c>
      <c r="S20" s="82">
        <f>IF(Consultas!O20="-",-3,IF(Consultas!O20=0,-6,IF(Consultas!O20=5,0,IF(Consultas!O20=10,6))))</f>
        <v>-3</v>
      </c>
      <c r="T20" s="82">
        <f>IF(Consultas!M20="S",0,(IF(Consultas!P20="S",6,0)))</f>
        <v>0</v>
      </c>
      <c r="U20" s="82">
        <f>IF(Consultas!Q20&gt;97,9,IF(Consultas!Q20&gt;75,0,-7))</f>
        <v>9</v>
      </c>
      <c r="V20" s="82">
        <f>IF(Consultas!W20='Parâmetros'!$E$1,1,-5)</f>
        <v>-5</v>
      </c>
      <c r="W20" s="82">
        <f>IF(Consultas!X20="S",3,-3)</f>
        <v>3</v>
      </c>
      <c r="X20" s="82">
        <f>IF(Consultas!Y20="S",0,-7)</f>
        <v>-7</v>
      </c>
      <c r="Y20" s="82">
        <f>IF(Consultas!Z20='Parâmetros'!$E$1,2,-8)</f>
        <v>2</v>
      </c>
      <c r="Z20" s="82">
        <f>IF(Consultas!AA20='Parâmetros'!$E$1,-15,1)</f>
        <v>1</v>
      </c>
      <c r="AA20" s="147" t="s">
        <v>140</v>
      </c>
      <c r="AB20" s="82">
        <f>IF(E20="NA","NA",IF(E20&gt;'Parâmetros'!$A$9,8,IF(E20&gt;'Parâmetros'!$A$8,4,IF(E20&gt;'Parâmetros'!$A$7,0,-6))))</f>
        <v>0</v>
      </c>
      <c r="AC20" s="82">
        <f>IF(Consultas!AC20='Parâmetros'!$E$1,0,5)</f>
        <v>5</v>
      </c>
      <c r="AD20" s="82">
        <f>IF(Consultas!AH20='Parâmetros'!$D$1,-10,5)</f>
        <v>5</v>
      </c>
      <c r="AE20" s="82">
        <f>IF(Consultas!AI20&gt;(Consultas!F20*2),-10,0)</f>
        <v>0</v>
      </c>
      <c r="AF20" s="82">
        <f>IF(Consultas!AD20&gt;1,(IF(Consultas!AI20&gt;(Consultas!AD20),-20,4)))</f>
        <v>4</v>
      </c>
      <c r="AG20" s="82">
        <f>IF(Consultas!AG20='Parâmetros'!$E$1,0,-6)</f>
        <v>0</v>
      </c>
      <c r="AH20" s="82">
        <f>IF(Consultas!AF20='Parâmetros'!$E$1,1,-5)</f>
        <v>-5</v>
      </c>
      <c r="AI20" s="82">
        <f>IF(Consultas!AJ20&gt;700,8,IF(Consultas!AJ20&gt;500,4,IF(Consultas!AJ20&gt;200,-4,IF(Consultas!AJ20&gt;1,-15,-20))))</f>
        <v>-20</v>
      </c>
      <c r="AJ20" s="82">
        <f>IF(Consultas!AD20='Parâmetros'!$E$10,0,IF(Consultas!AD20&gt;'Parâmetros'!$A$30,12,IF(Consultas!AD20&gt;'Parâmetros'!$A$31,6,IF(Consultas!AD20&gt;'Parâmetros'!$A$32,0,IF(Consultas!AD20&gt;'Parâmetros'!$A$33,0,IF(Consultas!AD20&gt;'Parâmetros'!$A$34,-3,IF(Consultas!AD20&gt;'Parâmetros'!$A$35,-7,-1)))))))</f>
        <v>12</v>
      </c>
      <c r="AK20" s="82">
        <f>IF(Consultas!AO20='Parâmetros'!$D$1,3,-3)</f>
        <v>-3</v>
      </c>
      <c r="AL20" s="82">
        <f>IF(Consultas!AP20='Parâmetros'!$D$1,5,-3)</f>
        <v>-3</v>
      </c>
      <c r="AM20" s="82">
        <f>IF(Consultas!AL20="N",-6,0)</f>
        <v>0</v>
      </c>
      <c r="AN20" s="82">
        <f>IF(Consultas!AM20="N",-10,0)</f>
        <v>0</v>
      </c>
      <c r="AO20" s="82">
        <f>IF(Consultas!AN20="S",4,-2)</f>
        <v>-2</v>
      </c>
      <c r="AP20" s="39"/>
      <c r="AQ20" s="165">
        <f>IF(Consultas!F20&gt;1,(SUM(F20:AO20)),"N/A")</f>
        <v>9</v>
      </c>
      <c r="AR20" s="78" t="str">
        <f>IF((Consultas!AD20&gt;'Parâmetros'!$A$31),"X",AJ20+Y20+V20+AC20)</f>
        <v>X</v>
      </c>
      <c r="AS20" s="78" t="str">
        <f>IF((Consultas!AD20&gt;'Parâmetros'!$A$31),"X",(H20+I20+J20+Q20+T20+Y20+Z20+AJ20+AN20))</f>
        <v>X</v>
      </c>
      <c r="AT20" s="78">
        <f>IF((Consultas!AD20&lt;'Parâmetros'!$A$31),"X",(AD20+AC20+AB20))</f>
        <v>10</v>
      </c>
      <c r="AU20" s="78">
        <f t="shared" si="1"/>
        <v>10</v>
      </c>
      <c r="AV20" s="82" t="str">
        <f>IF(AQ20="N/A","N/A",IF(AQ20&gt;5,'Parâmetros'!$A$15,(IF(AU20=AR20,'Parâmetros'!$A$17,IF(AU20=AS20,'Parâmetros'!$A$16,'Parâmetros'!$A$14)))))</f>
        <v>SEM-RISCO</v>
      </c>
      <c r="AW20" s="86" t="str">
        <f>IF(AQ20="N/A","N/A",IF(AV20='Parâmetros'!$A$15,'Parâmetros'!$C$15,(IF(AV20='Parâmetros'!$A$17,'Parâmetros'!$C$17,IF(AV20='Parâmetros'!$A$16,'Parâmetros'!$C$16,IF(AV20='Parâmetros'!$A$14,'Parâmetros'!$C$12))))))</f>
        <v>LIBERADO</v>
      </c>
      <c r="AX20" s="82" t="str">
        <f>IF(Consultas!F20&gt;1,(IF(Consultas!F20&gt;5000,"SOLICITAR PED COMPRA","N/A")))</f>
        <v>SOLICITAR PED COMPRA</v>
      </c>
      <c r="AY20" s="167" t="str">
        <f>IF(AND(Consultas!M20&lt;&gt;"S", Consultas!H20="S"), "CHECAGEM REVERSA", "N/A")</f>
        <v>N/A</v>
      </c>
      <c r="AZ20" s="167" t="str">
        <f>IF(Consultas!U20="N","PRECISA CORRIGIR END DIVERGENTE","N/A")</f>
        <v>N/A</v>
      </c>
    </row>
    <row r="21" ht="12.0" customHeight="1">
      <c r="A21" s="39" t="s">
        <v>90</v>
      </c>
      <c r="B21" s="82">
        <f>Consultas!B21</f>
        <v>186</v>
      </c>
      <c r="C21" s="82" t="str">
        <f>Consultas!D21</f>
        <v>Metalpleno</v>
      </c>
      <c r="D21" s="96" t="str">
        <f>Consultas!E21</f>
        <v>144343</v>
      </c>
      <c r="E21" s="104">
        <f>IF(Consultas!AB21&gt;0,YEAR('Parâmetros'!$B$1)-YEAR(Consultas!AB21),"NA")</f>
        <v>10</v>
      </c>
      <c r="F21" s="82">
        <f>IF(Consultas!F21&gt;'Parâmetros'!$B$2,-8,0)</f>
        <v>0</v>
      </c>
      <c r="G21" s="82">
        <f>IF(Consultas!H21='Parâmetros'!$E$1,100,0)</f>
        <v>0</v>
      </c>
      <c r="H21" s="82">
        <f>IF(Consultas!I21='Parâmetros'!$E$1,-4,12)</f>
        <v>-4</v>
      </c>
      <c r="I21" s="82">
        <f>IF(Consultas!J21='Parâmetros'!$E$1,1,-13)</f>
        <v>1</v>
      </c>
      <c r="J21" s="82">
        <f>IF(Consultas!K21='Parâmetros'!$E$1,2,-5)</f>
        <v>2</v>
      </c>
      <c r="K21" s="82" t="str">
        <f>IF(Consultas!L21='Parâmetros'!$D$1,"SOLIC CONTRATO DE ENTREGA","N/A")</f>
        <v>N/A</v>
      </c>
      <c r="L21" s="82">
        <f>IF(Consultas!R21='Parâmetros'!$E$1,1,-3)</f>
        <v>1</v>
      </c>
      <c r="M21" s="82">
        <f>IF(Consultas!S21&gt;1,(IF(Consultas!S21='Parâmetros'!$E$1,-3,9)))</f>
        <v>9</v>
      </c>
      <c r="N21" s="82">
        <f>IF(Consultas!T21="S",23,0)</f>
        <v>0</v>
      </c>
      <c r="O21" s="82">
        <f>IF(Consultas!U21='Parâmetros'!$E$1,-3,3)</f>
        <v>3</v>
      </c>
      <c r="P21" s="82">
        <f>IF(Consultas!V21='Parâmetros'!$E$1,-100,2)</f>
        <v>2</v>
      </c>
      <c r="Q21" s="82">
        <f>IF(Consultas!M21='Parâmetros'!$D$1,2,-9)</f>
        <v>2</v>
      </c>
      <c r="R21" s="82">
        <f>IF(Consultas!N21="RJ",-12,0)</f>
        <v>0</v>
      </c>
      <c r="S21" s="82">
        <f>IF(Consultas!O21="-",-3,IF(Consultas!O21=0,-6,IF(Consultas!O21=5,0,IF(Consultas!O21=10,6))))</f>
        <v>0</v>
      </c>
      <c r="T21" s="82">
        <f>IF(Consultas!M21="S",0,(IF(Consultas!P21="S",6,0)))</f>
        <v>0</v>
      </c>
      <c r="U21" s="82">
        <f>IF(Consultas!Q21&gt;97,9,IF(Consultas!Q21&gt;75,0,-7))</f>
        <v>9</v>
      </c>
      <c r="V21" s="82">
        <f>IF(Consultas!W21='Parâmetros'!$E$1,1,-5)</f>
        <v>-5</v>
      </c>
      <c r="W21" s="82">
        <f>IF(Consultas!X21="S",3,-3)</f>
        <v>3</v>
      </c>
      <c r="X21" s="82">
        <f>IF(Consultas!Y21="S",0,-7)</f>
        <v>-7</v>
      </c>
      <c r="Y21" s="82">
        <f>IF(Consultas!Z21='Parâmetros'!$E$1,2,-8)</f>
        <v>2</v>
      </c>
      <c r="Z21" s="82">
        <f>IF(Consultas!AA21='Parâmetros'!$E$1,-15,1)</f>
        <v>1</v>
      </c>
      <c r="AA21" s="147" t="s">
        <v>140</v>
      </c>
      <c r="AB21" s="82">
        <f>IF(E21="NA","NA",IF(E21&gt;'Parâmetros'!$A$9,8,IF(E21&gt;'Parâmetros'!$A$8,4,IF(E21&gt;'Parâmetros'!$A$7,0,-6))))</f>
        <v>0</v>
      </c>
      <c r="AC21" s="82">
        <f>IF(Consultas!AC21='Parâmetros'!$E$1,0,5)</f>
        <v>0</v>
      </c>
      <c r="AD21" s="82">
        <f>IF(Consultas!AH21='Parâmetros'!$D$1,-10,5)</f>
        <v>-10</v>
      </c>
      <c r="AE21" s="82">
        <f>IF(Consultas!AI21&gt;(Consultas!F21*2),-10,0)</f>
        <v>-10</v>
      </c>
      <c r="AF21" s="82">
        <f>IF(Consultas!AD21&gt;1,(IF(Consultas!AI21&gt;(Consultas!AD21),-20,4)))</f>
        <v>4</v>
      </c>
      <c r="AG21" s="82">
        <f>IF(Consultas!AG21='Parâmetros'!$E$1,0,-6)</f>
        <v>0</v>
      </c>
      <c r="AH21" s="82">
        <f>IF(Consultas!AF21='Parâmetros'!$E$1,1,-5)</f>
        <v>1</v>
      </c>
      <c r="AI21" s="82">
        <f>IF(Consultas!AJ21&gt;700,8,IF(Consultas!AJ21&gt;500,4,IF(Consultas!AJ21&gt;200,-4,IF(Consultas!AJ21&gt;1,-15,-20))))</f>
        <v>4</v>
      </c>
      <c r="AJ21" s="82">
        <f>IF(Consultas!AD21='Parâmetros'!$E$10,0,IF(Consultas!AD21&gt;'Parâmetros'!$A$30,12,IF(Consultas!AD21&gt;'Parâmetros'!$A$31,6,IF(Consultas!AD21&gt;'Parâmetros'!$A$32,0,IF(Consultas!AD21&gt;'Parâmetros'!$A$33,0,IF(Consultas!AD21&gt;'Parâmetros'!$A$34,-3,IF(Consultas!AD21&gt;'Parâmetros'!$A$35,-7,-1)))))))</f>
        <v>12</v>
      </c>
      <c r="AK21" s="82">
        <f>IF(Consultas!AO21='Parâmetros'!$D$1,3,-3)</f>
        <v>-3</v>
      </c>
      <c r="AL21" s="82">
        <f>IF(Consultas!AP21='Parâmetros'!$D$1,5,-3)</f>
        <v>-3</v>
      </c>
      <c r="AM21" s="82">
        <f>IF(Consultas!AL21="N",-6,0)</f>
        <v>0</v>
      </c>
      <c r="AN21" s="82">
        <f>IF(Consultas!AM21="N",-10,0)</f>
        <v>0</v>
      </c>
      <c r="AO21" s="82">
        <f>IF(Consultas!AN21="S",4,-2)</f>
        <v>-2</v>
      </c>
      <c r="AP21" s="39"/>
      <c r="AQ21" s="165">
        <f>IF(Consultas!F21&gt;1,(SUM(F21:AO21)),"N/A")</f>
        <v>12</v>
      </c>
      <c r="AR21" s="78" t="str">
        <f>IF((Consultas!AD21&gt;'Parâmetros'!$A$31),"X",AJ21+Y21+V21+AC21)</f>
        <v>X</v>
      </c>
      <c r="AS21" s="78" t="str">
        <f>IF((Consultas!AD21&gt;'Parâmetros'!$A$31),"X",(H21+I21+J21+Q21+T21+Y21+Z21+AJ21+AN21))</f>
        <v>X</v>
      </c>
      <c r="AT21" s="78">
        <f>IF((Consultas!AD21&lt;'Parâmetros'!$A$31),"X",(AD21+AC21+AB21))</f>
        <v>-10</v>
      </c>
      <c r="AU21" s="78">
        <f t="shared" si="1"/>
        <v>-10</v>
      </c>
      <c r="AV21" s="82" t="str">
        <f>IF(AQ21="N/A","N/A",IF(AQ21&gt;5,'Parâmetros'!$A$15,(IF(AU21=AR21,'Parâmetros'!$A$17,IF(AU21=AS21,'Parâmetros'!$A$16,'Parâmetros'!$A$14)))))</f>
        <v>SEM-RISCO</v>
      </c>
      <c r="AW21" s="86" t="str">
        <f>IF(AQ21="N/A","N/A",IF(AV21='Parâmetros'!$A$15,'Parâmetros'!$C$15,(IF(AV21='Parâmetros'!$A$17,'Parâmetros'!$C$17,IF(AV21='Parâmetros'!$A$16,'Parâmetros'!$C$16,IF(AV21='Parâmetros'!$A$14,'Parâmetros'!$C$12))))))</f>
        <v>LIBERADO</v>
      </c>
      <c r="AX21" s="82" t="str">
        <f>IF(Consultas!F21&gt;1,(IF(Consultas!F21&gt;5000,"SOLICITAR PED COMPRA","N/A")))</f>
        <v>N/A</v>
      </c>
      <c r="AY21" s="167" t="str">
        <f>IF(AND(Consultas!M21&lt;&gt;"S", Consultas!H21="S"), "CHECAGEM REVERSA", "N/A")</f>
        <v>N/A</v>
      </c>
      <c r="AZ21" s="167" t="str">
        <f>IF(Consultas!U21="N","PRECISA CORRIGIR END DIVERGENTE","N/A")</f>
        <v>N/A</v>
      </c>
    </row>
    <row r="22" ht="12.0" customHeight="1">
      <c r="A22" s="39" t="s">
        <v>90</v>
      </c>
      <c r="B22" s="82">
        <f>Consultas!B22</f>
        <v>187</v>
      </c>
      <c r="C22" s="82" t="str">
        <f>Consultas!D22</f>
        <v>Metalpleno</v>
      </c>
      <c r="D22" s="96" t="str">
        <f>Consultas!E22</f>
        <v>144160</v>
      </c>
      <c r="E22" s="104">
        <f>IF(Consultas!AB22&gt;0,YEAR('Parâmetros'!$B$1)-YEAR(Consultas!AB22),"NA")</f>
        <v>3</v>
      </c>
      <c r="F22" s="82">
        <f>IF(Consultas!F22&gt;'Parâmetros'!$B$2,-8,0)</f>
        <v>0</v>
      </c>
      <c r="G22" s="82">
        <f>IF(Consultas!H22='Parâmetros'!$E$1,100,0)</f>
        <v>0</v>
      </c>
      <c r="H22" s="82">
        <f>IF(Consultas!I22='Parâmetros'!$E$1,-4,12)</f>
        <v>-4</v>
      </c>
      <c r="I22" s="82">
        <f>IF(Consultas!J22='Parâmetros'!$E$1,1,-13)</f>
        <v>1</v>
      </c>
      <c r="J22" s="82">
        <f>IF(Consultas!K22='Parâmetros'!$E$1,2,-5)</f>
        <v>2</v>
      </c>
      <c r="K22" s="82" t="str">
        <f>IF(Consultas!L22='Parâmetros'!$D$1,"SOLIC CONTRATO DE ENTREGA","N/A")</f>
        <v>SOLIC CONTRATO DE ENTREGA</v>
      </c>
      <c r="L22" s="82">
        <f>IF(Consultas!R22='Parâmetros'!$E$1,1,-3)</f>
        <v>1</v>
      </c>
      <c r="M22" s="82">
        <f>IF(Consultas!S22&gt;1,(IF(Consultas!S22='Parâmetros'!$E$1,-3,9)))</f>
        <v>9</v>
      </c>
      <c r="N22" s="82">
        <f>IF(Consultas!T22="S",23,0)</f>
        <v>0</v>
      </c>
      <c r="O22" s="82">
        <f>IF(Consultas!U22='Parâmetros'!$E$1,-3,3)</f>
        <v>3</v>
      </c>
      <c r="P22" s="82">
        <f>IF(Consultas!V22='Parâmetros'!$E$1,-100,2)</f>
        <v>2</v>
      </c>
      <c r="Q22" s="82">
        <f>IF(Consultas!M22='Parâmetros'!$D$1,2,-9)</f>
        <v>-9</v>
      </c>
      <c r="R22" s="82">
        <f>IF(Consultas!N22="RJ",-12,0)</f>
        <v>0</v>
      </c>
      <c r="S22" s="82">
        <f>IF(Consultas!O22="-",-3,IF(Consultas!O22=0,-6,IF(Consultas!O22=5,0,IF(Consultas!O22=10,6))))</f>
        <v>-3</v>
      </c>
      <c r="T22" s="82">
        <f>IF(Consultas!M22="S",0,(IF(Consultas!P22="S",6,0)))</f>
        <v>0</v>
      </c>
      <c r="U22" s="82">
        <f>IF(Consultas!Q22&gt;97,9,IF(Consultas!Q22&gt;75,0,-7))</f>
        <v>9</v>
      </c>
      <c r="V22" s="82">
        <f>IF(Consultas!W22='Parâmetros'!$E$1,1,-5)</f>
        <v>1</v>
      </c>
      <c r="W22" s="82">
        <f>IF(Consultas!X22="S",3,-3)</f>
        <v>3</v>
      </c>
      <c r="X22" s="82">
        <f>IF(Consultas!Y22="S",0,-7)</f>
        <v>0</v>
      </c>
      <c r="Y22" s="82">
        <f>IF(Consultas!Z22='Parâmetros'!$E$1,2,-8)</f>
        <v>2</v>
      </c>
      <c r="Z22" s="82">
        <f>IF(Consultas!AA22='Parâmetros'!$E$1,-15,1)</f>
        <v>1</v>
      </c>
      <c r="AA22" s="147" t="s">
        <v>140</v>
      </c>
      <c r="AB22" s="82">
        <f>IF(E22="NA","NA",IF(E22&gt;'Parâmetros'!$A$9,8,IF(E22&gt;'Parâmetros'!$A$8,4,IF(E22&gt;'Parâmetros'!$A$7,0,-6))))</f>
        <v>-6</v>
      </c>
      <c r="AC22" s="82">
        <f>IF(Consultas!AC22='Parâmetros'!$E$1,0,5)</f>
        <v>0</v>
      </c>
      <c r="AD22" s="82">
        <f>IF(Consultas!AH22='Parâmetros'!$D$1,-10,5)</f>
        <v>5</v>
      </c>
      <c r="AE22" s="82">
        <f>IF(Consultas!AI22&gt;(Consultas!F22*2),-10,0)</f>
        <v>0</v>
      </c>
      <c r="AF22" s="82">
        <f>IF(Consultas!AD22&gt;1,(IF(Consultas!AI22&gt;(Consultas!AD22),-20,4)))</f>
        <v>4</v>
      </c>
      <c r="AG22" s="82">
        <f>IF(Consultas!AG22='Parâmetros'!$E$1,0,-6)</f>
        <v>0</v>
      </c>
      <c r="AH22" s="82">
        <f>IF(Consultas!AF22='Parâmetros'!$E$1,1,-5)</f>
        <v>1</v>
      </c>
      <c r="AI22" s="82">
        <f>IF(Consultas!AJ22&gt;700,8,IF(Consultas!AJ22&gt;500,4,IF(Consultas!AJ22&gt;200,-4,IF(Consultas!AJ22&gt;1,-15,-20))))</f>
        <v>4</v>
      </c>
      <c r="AJ22" s="82">
        <f>IF(Consultas!AD22='Parâmetros'!$E$10,0,IF(Consultas!AD22&gt;'Parâmetros'!$A$30,12,IF(Consultas!AD22&gt;'Parâmetros'!$A$31,6,IF(Consultas!AD22&gt;'Parâmetros'!$A$32,0,IF(Consultas!AD22&gt;'Parâmetros'!$A$33,0,IF(Consultas!AD22&gt;'Parâmetros'!$A$34,-3,IF(Consultas!AD22&gt;'Parâmetros'!$A$35,-7,-1)))))))</f>
        <v>12</v>
      </c>
      <c r="AK22" s="82">
        <f>IF(Consultas!AO22='Parâmetros'!$D$1,3,-3)</f>
        <v>-3</v>
      </c>
      <c r="AL22" s="82">
        <f>IF(Consultas!AP22='Parâmetros'!$D$1,5,-3)</f>
        <v>-3</v>
      </c>
      <c r="AM22" s="82">
        <f>IF(Consultas!AL22="N",-6,0)</f>
        <v>0</v>
      </c>
      <c r="AN22" s="82">
        <f>IF(Consultas!AM22="N",-10,0)</f>
        <v>0</v>
      </c>
      <c r="AO22" s="82">
        <f>IF(Consultas!AN22="S",4,-2)</f>
        <v>-2</v>
      </c>
      <c r="AP22" s="39"/>
      <c r="AQ22" s="165">
        <f>IF(Consultas!F22&gt;1,(SUM(F22:AO22)),"N/A")</f>
        <v>30</v>
      </c>
      <c r="AR22" s="78" t="str">
        <f>IF((Consultas!AD22&gt;'Parâmetros'!$A$31),"X",AJ22+Y22+V22+AC22)</f>
        <v>X</v>
      </c>
      <c r="AS22" s="78" t="str">
        <f>IF((Consultas!AD22&gt;'Parâmetros'!$A$31),"X",(H22+I22+J22+Q22+T22+Y22+Z22+AJ22+AN22))</f>
        <v>X</v>
      </c>
      <c r="AT22" s="78">
        <f>IF((Consultas!AD22&lt;'Parâmetros'!$A$31),"X",(AD22+AC22+AB22))</f>
        <v>-1</v>
      </c>
      <c r="AU22" s="78">
        <f t="shared" si="1"/>
        <v>-1</v>
      </c>
      <c r="AV22" s="82" t="str">
        <f>IF(AQ22="N/A","N/A",IF(AQ22&gt;5,'Parâmetros'!$A$15,(IF(AU22=AR22,'Parâmetros'!$A$17,IF(AU22=AS22,'Parâmetros'!$A$16,'Parâmetros'!$A$14)))))</f>
        <v>SEM-RISCO</v>
      </c>
      <c r="AW22" s="86" t="str">
        <f>IF(AQ22="N/A","N/A",IF(AV22='Parâmetros'!$A$15,'Parâmetros'!$C$15,(IF(AV22='Parâmetros'!$A$17,'Parâmetros'!$C$17,IF(AV22='Parâmetros'!$A$16,'Parâmetros'!$C$16,IF(AV22='Parâmetros'!$A$14,'Parâmetros'!$C$12))))))</f>
        <v>LIBERADO</v>
      </c>
      <c r="AX22" s="82" t="str">
        <f>IF(Consultas!F22&gt;1,(IF(Consultas!F22&gt;5000,"SOLICITAR PED COMPRA","N/A")))</f>
        <v>SOLICITAR PED COMPRA</v>
      </c>
      <c r="AY22" s="167" t="str">
        <f>IF(AND(Consultas!M22&lt;&gt;"S", Consultas!H22="S"), "CHECAGEM REVERSA", "N/A")</f>
        <v>CHECAGEM REVERSA</v>
      </c>
      <c r="AZ22" s="167" t="str">
        <f>IF(Consultas!U22="N","PRECISA CORRIGIR END DIVERGENTE","N/A")</f>
        <v>N/A</v>
      </c>
    </row>
    <row r="23" ht="12.0" customHeight="1">
      <c r="A23" s="39" t="s">
        <v>90</v>
      </c>
      <c r="B23" s="82">
        <f>Consultas!B23</f>
        <v>188</v>
      </c>
      <c r="C23" s="82" t="str">
        <f>Consultas!D23</f>
        <v>Metalpleno</v>
      </c>
      <c r="D23" s="96" t="str">
        <f>Consultas!E23</f>
        <v>144504</v>
      </c>
      <c r="E23" s="104">
        <f>IF(Consultas!AB23&gt;0,YEAR('Parâmetros'!$B$1)-YEAR(Consultas!AB23),"NA")</f>
        <v>9</v>
      </c>
      <c r="F23" s="82">
        <f>IF(Consultas!F23&gt;'Parâmetros'!$B$2,-8,0)</f>
        <v>0</v>
      </c>
      <c r="G23" s="82">
        <f>IF(Consultas!H23='Parâmetros'!$E$1,100,0)</f>
        <v>0</v>
      </c>
      <c r="H23" s="82">
        <f>IF(Consultas!I23='Parâmetros'!$E$1,-4,12)</f>
        <v>-4</v>
      </c>
      <c r="I23" s="82">
        <f>IF(Consultas!J23='Parâmetros'!$E$1,1,-13)</f>
        <v>1</v>
      </c>
      <c r="J23" s="82">
        <f>IF(Consultas!K23='Parâmetros'!$E$1,2,-5)</f>
        <v>2</v>
      </c>
      <c r="K23" s="82" t="str">
        <f>IF(Consultas!L23='Parâmetros'!$D$1,"SOLIC CONTRATO DE ENTREGA","N/A")</f>
        <v>SOLIC CONTRATO DE ENTREGA</v>
      </c>
      <c r="L23" s="82">
        <f>IF(Consultas!R23='Parâmetros'!$E$1,1,-3)</f>
        <v>1</v>
      </c>
      <c r="M23" s="82">
        <f>IF(Consultas!S23&gt;1,(IF(Consultas!S23='Parâmetros'!$E$1,-3,9)))</f>
        <v>-3</v>
      </c>
      <c r="N23" s="82">
        <f>IF(Consultas!T23="S",23,0)</f>
        <v>0</v>
      </c>
      <c r="O23" s="82">
        <f>IF(Consultas!U23='Parâmetros'!$E$1,-3,3)</f>
        <v>3</v>
      </c>
      <c r="P23" s="82">
        <f>IF(Consultas!V23='Parâmetros'!$E$1,-100,2)</f>
        <v>2</v>
      </c>
      <c r="Q23" s="82">
        <f>IF(Consultas!M23='Parâmetros'!$D$1,2,-9)</f>
        <v>2</v>
      </c>
      <c r="R23" s="82">
        <f>IF(Consultas!N23="RJ",-12,0)</f>
        <v>0</v>
      </c>
      <c r="S23" s="82">
        <f>IF(Consultas!O23="-",-3,IF(Consultas!O23=0,-6,IF(Consultas!O23=5,0,IF(Consultas!O23=10,6))))</f>
        <v>-3</v>
      </c>
      <c r="T23" s="82">
        <f>IF(Consultas!M23="S",0,(IF(Consultas!P23="S",6,0)))</f>
        <v>0</v>
      </c>
      <c r="U23" s="82">
        <f>IF(Consultas!Q23&gt;97,9,IF(Consultas!Q23&gt;75,0,-7))</f>
        <v>9</v>
      </c>
      <c r="V23" s="82">
        <f>IF(Consultas!W23='Parâmetros'!$E$1,1,-5)</f>
        <v>-5</v>
      </c>
      <c r="W23" s="82">
        <f>IF(Consultas!X23="S",3,-3)</f>
        <v>-3</v>
      </c>
      <c r="X23" s="82">
        <f>IF(Consultas!Y23="S",0,-7)</f>
        <v>-7</v>
      </c>
      <c r="Y23" s="82">
        <f>IF(Consultas!Z23='Parâmetros'!$E$1,2,-8)</f>
        <v>-8</v>
      </c>
      <c r="Z23" s="82">
        <f>IF(Consultas!AA23='Parâmetros'!$E$1,-15,1)</f>
        <v>1</v>
      </c>
      <c r="AA23" s="147" t="s">
        <v>140</v>
      </c>
      <c r="AB23" s="82">
        <f>IF(E23="NA","NA",IF(E23&gt;'Parâmetros'!$A$9,8,IF(E23&gt;'Parâmetros'!$A$8,4,IF(E23&gt;'Parâmetros'!$A$7,0,-6))))</f>
        <v>0</v>
      </c>
      <c r="AC23" s="82">
        <f>IF(Consultas!AC23='Parâmetros'!$E$1,0,5)</f>
        <v>0</v>
      </c>
      <c r="AD23" s="82">
        <f>IF(Consultas!AH23='Parâmetros'!$D$1,-10,5)</f>
        <v>5</v>
      </c>
      <c r="AE23" s="82">
        <f>IF(Consultas!AI23&gt;(Consultas!F23*2),-10,0)</f>
        <v>0</v>
      </c>
      <c r="AF23" s="82">
        <f>IF(Consultas!AD23&gt;1,(IF(Consultas!AI23&gt;(Consultas!AD23),-20,4)))</f>
        <v>4</v>
      </c>
      <c r="AG23" s="82">
        <f>IF(Consultas!AG23='Parâmetros'!$E$1,0,-6)</f>
        <v>0</v>
      </c>
      <c r="AH23" s="82">
        <f>IF(Consultas!AF23='Parâmetros'!$E$1,1,-5)</f>
        <v>1</v>
      </c>
      <c r="AI23" s="82">
        <f>IF(Consultas!AJ23&gt;700,8,IF(Consultas!AJ23&gt;500,4,IF(Consultas!AJ23&gt;200,-4,IF(Consultas!AJ23&gt;1,-15,-20))))</f>
        <v>4</v>
      </c>
      <c r="AJ23" s="82">
        <f>IF(Consultas!AD23='Parâmetros'!$E$10,0,IF(Consultas!AD23&gt;'Parâmetros'!$A$30,12,IF(Consultas!AD23&gt;'Parâmetros'!$A$31,6,IF(Consultas!AD23&gt;'Parâmetros'!$A$32,0,IF(Consultas!AD23&gt;'Parâmetros'!$A$33,0,IF(Consultas!AD23&gt;'Parâmetros'!$A$34,-3,IF(Consultas!AD23&gt;'Parâmetros'!$A$35,-7,-1)))))))</f>
        <v>12</v>
      </c>
      <c r="AK23" s="82">
        <f>IF(Consultas!AO23='Parâmetros'!$D$1,3,-3)</f>
        <v>-3</v>
      </c>
      <c r="AL23" s="82">
        <f>IF(Consultas!AP23='Parâmetros'!$D$1,5,-3)</f>
        <v>-3</v>
      </c>
      <c r="AM23" s="82">
        <f>IF(Consultas!AL23="N",-6,0)</f>
        <v>0</v>
      </c>
      <c r="AN23" s="82">
        <f>IF(Consultas!AM23="N",-10,0)</f>
        <v>0</v>
      </c>
      <c r="AO23" s="82">
        <f>IF(Consultas!AN23="S",4,-2)</f>
        <v>-2</v>
      </c>
      <c r="AP23" s="39"/>
      <c r="AQ23" s="165">
        <f>IF(Consultas!F23&gt;1,(SUM(F23:AO23)),"N/A")</f>
        <v>6</v>
      </c>
      <c r="AR23" s="78" t="str">
        <f>IF((Consultas!AD23&gt;'Parâmetros'!$A$31),"X",AJ23+Y23+V23+AC23)</f>
        <v>X</v>
      </c>
      <c r="AS23" s="78" t="str">
        <f>IF((Consultas!AD23&gt;'Parâmetros'!$A$31),"X",(H23+I23+J23+Q23+T23+Y23+Z23+AJ23+AN23))</f>
        <v>X</v>
      </c>
      <c r="AT23" s="78">
        <f>IF((Consultas!AD23&lt;'Parâmetros'!$A$31),"X",(AD23+AC23+AB23))</f>
        <v>5</v>
      </c>
      <c r="AU23" s="78">
        <f t="shared" si="1"/>
        <v>5</v>
      </c>
      <c r="AV23" s="82" t="str">
        <f>IF(AQ23="N/A","N/A",IF(AQ23&gt;5,'Parâmetros'!$A$15,(IF(AU23=AR23,'Parâmetros'!$A$17,IF(AU23=AS23,'Parâmetros'!$A$16,'Parâmetros'!$A$14)))))</f>
        <v>SEM-RISCO</v>
      </c>
      <c r="AW23" s="86" t="str">
        <f>IF(AQ23="N/A","N/A",IF(AV23='Parâmetros'!$A$15,'Parâmetros'!$C$15,(IF(AV23='Parâmetros'!$A$17,'Parâmetros'!$C$17,IF(AV23='Parâmetros'!$A$16,'Parâmetros'!$C$16,IF(AV23='Parâmetros'!$A$14,'Parâmetros'!$C$12))))))</f>
        <v>LIBERADO</v>
      </c>
      <c r="AX23" s="82" t="str">
        <f>IF(Consultas!F23&gt;1,(IF(Consultas!F23&gt;5000,"SOLICITAR PED COMPRA","N/A")))</f>
        <v>N/A</v>
      </c>
      <c r="AY23" s="167" t="str">
        <f>IF(AND(Consultas!M23&lt;&gt;"S", Consultas!H23="S"), "CHECAGEM REVERSA", "N/A")</f>
        <v>N/A</v>
      </c>
      <c r="AZ23" s="167" t="str">
        <f>IF(Consultas!U23="N","PRECISA CORRIGIR END DIVERGENTE","N/A")</f>
        <v>N/A</v>
      </c>
    </row>
    <row r="24" ht="12.0" customHeight="1">
      <c r="A24" s="39" t="s">
        <v>90</v>
      </c>
      <c r="B24" s="82" t="str">
        <f>Consultas!B24</f>
        <v>-</v>
      </c>
      <c r="C24" s="82" t="str">
        <f>Consultas!D24</f>
        <v>Metalpleno</v>
      </c>
      <c r="D24" s="96" t="str">
        <f>Consultas!E24</f>
        <v>-</v>
      </c>
      <c r="E24" s="104">
        <f>IF(Consultas!AB24&gt;0,YEAR('Parâmetros'!$B$1)-YEAR(Consultas!AB24),"NA")</f>
        <v>34</v>
      </c>
      <c r="F24" s="82">
        <f>IF(Consultas!F24&gt;'Parâmetros'!$B$2,-8,0)</f>
        <v>0</v>
      </c>
      <c r="G24" s="82">
        <f>IF(Consultas!H24='Parâmetros'!$E$1,100,0)</f>
        <v>0</v>
      </c>
      <c r="H24" s="82">
        <f>IF(Consultas!I24='Parâmetros'!$E$1,-4,12)</f>
        <v>-4</v>
      </c>
      <c r="I24" s="82">
        <f>IF(Consultas!J24='Parâmetros'!$E$1,1,-13)</f>
        <v>1</v>
      </c>
      <c r="J24" s="82">
        <f>IF(Consultas!K24='Parâmetros'!$E$1,2,-5)</f>
        <v>2</v>
      </c>
      <c r="K24" s="82" t="str">
        <f>IF(Consultas!L24='Parâmetros'!$D$1,"SOLIC CONTRATO DE ENTREGA","N/A")</f>
        <v>SOLIC CONTRATO DE ENTREGA</v>
      </c>
      <c r="L24" s="82">
        <f>IF(Consultas!R24='Parâmetros'!$E$1,1,-3)</f>
        <v>1</v>
      </c>
      <c r="M24" s="82">
        <f>IF(Consultas!S24&gt;1,(IF(Consultas!S24='Parâmetros'!$E$1,-3,9)))</f>
        <v>-3</v>
      </c>
      <c r="N24" s="82">
        <f>IF(Consultas!T24="S",23,0)</f>
        <v>0</v>
      </c>
      <c r="O24" s="82">
        <f>IF(Consultas!U24='Parâmetros'!$E$1,-3,3)</f>
        <v>3</v>
      </c>
      <c r="P24" s="82">
        <f>IF(Consultas!V24='Parâmetros'!$E$1,-100,2)</f>
        <v>2</v>
      </c>
      <c r="Q24" s="82">
        <f>IF(Consultas!M24='Parâmetros'!$D$1,2,-9)</f>
        <v>-9</v>
      </c>
      <c r="R24" s="82">
        <f>IF(Consultas!N24="RJ",-12,0)</f>
        <v>0</v>
      </c>
      <c r="S24" s="82">
        <f>IF(Consultas!O24="-",-3,IF(Consultas!O24=0,-6,IF(Consultas!O24=5,0,IF(Consultas!O24=10,6))))</f>
        <v>-3</v>
      </c>
      <c r="T24" s="82">
        <f>IF(Consultas!M24="S",0,(IF(Consultas!P24="S",6,0)))</f>
        <v>0</v>
      </c>
      <c r="U24" s="82">
        <f>IF(Consultas!Q24&gt;97,9,IF(Consultas!Q24&gt;75,0,-7))</f>
        <v>9</v>
      </c>
      <c r="V24" s="82">
        <f>IF(Consultas!W24='Parâmetros'!$E$1,1,-5)</f>
        <v>1</v>
      </c>
      <c r="W24" s="82">
        <f>IF(Consultas!X24="S",3,-3)</f>
        <v>3</v>
      </c>
      <c r="X24" s="82">
        <f>IF(Consultas!Y24="S",0,-7)</f>
        <v>-7</v>
      </c>
      <c r="Y24" s="82">
        <f>IF(Consultas!Z24='Parâmetros'!$E$1,2,-8)</f>
        <v>2</v>
      </c>
      <c r="Z24" s="82">
        <f>IF(Consultas!AA24='Parâmetros'!$E$1,-15,1)</f>
        <v>1</v>
      </c>
      <c r="AA24" s="147" t="s">
        <v>140</v>
      </c>
      <c r="AB24" s="82">
        <f>IF(E24="NA","NA",IF(E24&gt;'Parâmetros'!$A$9,8,IF(E24&gt;'Parâmetros'!$A$8,4,IF(E24&gt;'Parâmetros'!$A$7,0,-6))))</f>
        <v>8</v>
      </c>
      <c r="AC24" s="82">
        <f>IF(Consultas!AC24='Parâmetros'!$E$1,0,5)</f>
        <v>0</v>
      </c>
      <c r="AD24" s="82">
        <f>IF(Consultas!AH24='Parâmetros'!$D$1,-10,5)</f>
        <v>5</v>
      </c>
      <c r="AE24" s="82">
        <f>IF(Consultas!AI24&gt;(Consultas!F24*2),-10,0)</f>
        <v>0</v>
      </c>
      <c r="AF24" s="82">
        <f>IF(Consultas!AD24&gt;1,(IF(Consultas!AI24&gt;(Consultas!AD24),-20,4)))</f>
        <v>4</v>
      </c>
      <c r="AG24" s="82">
        <f>IF(Consultas!AG24='Parâmetros'!$E$1,0,-6)</f>
        <v>0</v>
      </c>
      <c r="AH24" s="82">
        <f>IF(Consultas!AF24='Parâmetros'!$E$1,1,-5)</f>
        <v>1</v>
      </c>
      <c r="AI24" s="82">
        <f>IF(Consultas!AJ24&gt;700,8,IF(Consultas!AJ24&gt;500,4,IF(Consultas!AJ24&gt;200,-4,IF(Consultas!AJ24&gt;1,-15,-20))))</f>
        <v>8</v>
      </c>
      <c r="AJ24" s="82">
        <f>IF(Consultas!AD24='Parâmetros'!$E$10,0,IF(Consultas!AD24&gt;'Parâmetros'!$A$30,12,IF(Consultas!AD24&gt;'Parâmetros'!$A$31,6,IF(Consultas!AD24&gt;'Parâmetros'!$A$32,0,IF(Consultas!AD24&gt;'Parâmetros'!$A$33,0,IF(Consultas!AD24&gt;'Parâmetros'!$A$34,-3,IF(Consultas!AD24&gt;'Parâmetros'!$A$35,-7,-1)))))))</f>
        <v>12</v>
      </c>
      <c r="AK24" s="82">
        <f>IF(Consultas!AO24='Parâmetros'!$D$1,3,-3)</f>
        <v>-3</v>
      </c>
      <c r="AL24" s="82">
        <f>IF(Consultas!AP24='Parâmetros'!$D$1,5,-3)</f>
        <v>-3</v>
      </c>
      <c r="AM24" s="82">
        <f>IF(Consultas!AL24="N",-6,0)</f>
        <v>0</v>
      </c>
      <c r="AN24" s="82">
        <f>IF(Consultas!AM24="N",-10,0)</f>
        <v>0</v>
      </c>
      <c r="AO24" s="82">
        <f>IF(Consultas!AN24="S",4,-2)</f>
        <v>-2</v>
      </c>
      <c r="AP24" s="39"/>
      <c r="AQ24" s="165">
        <f>IF(Consultas!F24&gt;1,(SUM(F24:AO24)),"N/A")</f>
        <v>29</v>
      </c>
      <c r="AR24" s="78" t="str">
        <f>IF((Consultas!AD24&gt;'Parâmetros'!$A$31),"X",AJ24+Y24+V24+AC24)</f>
        <v>X</v>
      </c>
      <c r="AS24" s="78" t="str">
        <f>IF((Consultas!AD24&gt;'Parâmetros'!$A$31),"X",(H24+I24+J24+Q24+T24+Y24+Z24+AJ24+AN24))</f>
        <v>X</v>
      </c>
      <c r="AT24" s="78">
        <f>IF((Consultas!AD24&lt;'Parâmetros'!$A$31),"X",(AD24+AC24+AB24))</f>
        <v>13</v>
      </c>
      <c r="AU24" s="78">
        <f t="shared" si="1"/>
        <v>13</v>
      </c>
      <c r="AV24" s="82" t="str">
        <f>IF(AQ24="N/A","N/A",IF(AQ24&gt;5,'Parâmetros'!$A$15,(IF(AU24=AR24,'Parâmetros'!$A$17,IF(AU24=AS24,'Parâmetros'!$A$16,'Parâmetros'!$A$14)))))</f>
        <v>SEM-RISCO</v>
      </c>
      <c r="AW24" s="86" t="str">
        <f>IF(AQ24="N/A","N/A",IF(AV24='Parâmetros'!$A$15,'Parâmetros'!$C$15,(IF(AV24='Parâmetros'!$A$17,'Parâmetros'!$C$17,IF(AV24='Parâmetros'!$A$16,'Parâmetros'!$C$16,IF(AV24='Parâmetros'!$A$14,'Parâmetros'!$C$12))))))</f>
        <v>LIBERADO</v>
      </c>
      <c r="AX24" s="82" t="str">
        <f>IF(Consultas!F24&gt;1,(IF(Consultas!F24&gt;5000,"SOLICITAR PED COMPRA","N/A")))</f>
        <v>SOLICITAR PED COMPRA</v>
      </c>
      <c r="AY24" s="167" t="str">
        <f>IF(AND(Consultas!M24&lt;&gt;"S", Consultas!H24="S"), "CHECAGEM REVERSA", "N/A")</f>
        <v>CHECAGEM REVERSA</v>
      </c>
      <c r="AZ24" s="167" t="str">
        <f>IF(Consultas!U24="N","PRECISA CORRIGIR END DIVERGENTE","N/A")</f>
        <v>N/A</v>
      </c>
    </row>
    <row r="25" ht="12.0" customHeight="1">
      <c r="A25" s="39" t="s">
        <v>90</v>
      </c>
      <c r="B25" s="82">
        <f>Consultas!B25</f>
        <v>1866</v>
      </c>
      <c r="C25" s="82" t="str">
        <f>Consultas!D25</f>
        <v>GsiBW</v>
      </c>
      <c r="D25" s="96" t="str">
        <f>Consultas!E25</f>
        <v>016801</v>
      </c>
      <c r="E25" s="104">
        <f>IF(Consultas!AB25&gt;0,YEAR('Parâmetros'!$B$1)-YEAR(Consultas!AB25),"NA")</f>
        <v>60</v>
      </c>
      <c r="F25" s="82">
        <f>IF(Consultas!F25&gt;'Parâmetros'!$B$2,-8,0)</f>
        <v>0</v>
      </c>
      <c r="G25" s="82">
        <f>IF(Consultas!H25='Parâmetros'!$E$1,100,0)</f>
        <v>0</v>
      </c>
      <c r="H25" s="82">
        <f>IF(Consultas!I25='Parâmetros'!$E$1,-4,12)</f>
        <v>-4</v>
      </c>
      <c r="I25" s="82">
        <f>IF(Consultas!J25='Parâmetros'!$E$1,1,-13)</f>
        <v>1</v>
      </c>
      <c r="J25" s="82">
        <f>IF(Consultas!K25='Parâmetros'!$E$1,2,-5)</f>
        <v>2</v>
      </c>
      <c r="K25" s="82" t="str">
        <f>IF(Consultas!L25='Parâmetros'!$D$1,"SOLIC CONTRATO DE ENTREGA","N/A")</f>
        <v>N/A</v>
      </c>
      <c r="L25" s="82">
        <f>IF(Consultas!R25='Parâmetros'!$E$1,1,-3)</f>
        <v>1</v>
      </c>
      <c r="M25" s="82">
        <f>IF(Consultas!S25&gt;1,(IF(Consultas!S25='Parâmetros'!$E$1,-3,9)))</f>
        <v>9</v>
      </c>
      <c r="N25" s="82">
        <f>IF(Consultas!T25="S",23,0)</f>
        <v>23</v>
      </c>
      <c r="O25" s="82">
        <f>IF(Consultas!U25='Parâmetros'!$E$1,-3,3)</f>
        <v>3</v>
      </c>
      <c r="P25" s="82">
        <f>IF(Consultas!V25='Parâmetros'!$E$1,-100,2)</f>
        <v>2</v>
      </c>
      <c r="Q25" s="82">
        <f>IF(Consultas!M25='Parâmetros'!$D$1,2,-9)</f>
        <v>2</v>
      </c>
      <c r="R25" s="82">
        <f>IF(Consultas!N25="RJ",-12,0)</f>
        <v>0</v>
      </c>
      <c r="S25" s="82">
        <f>IF(Consultas!O25="-",-3,IF(Consultas!O25=0,-6,IF(Consultas!O25=5,0,IF(Consultas!O25=10,6))))</f>
        <v>-3</v>
      </c>
      <c r="T25" s="82">
        <f>IF(Consultas!M25="S",0,(IF(Consultas!P25="S",6,0)))</f>
        <v>0</v>
      </c>
      <c r="U25" s="82">
        <f>IF(Consultas!Q25&gt;97,9,IF(Consultas!Q25&gt;75,0,-7))</f>
        <v>9</v>
      </c>
      <c r="V25" s="82">
        <f>IF(Consultas!W25='Parâmetros'!$E$1,1,-5)</f>
        <v>1</v>
      </c>
      <c r="W25" s="82">
        <f>IF(Consultas!X25="S",3,-3)</f>
        <v>3</v>
      </c>
      <c r="X25" s="82">
        <f>IF(Consultas!Y25="S",0,-7)</f>
        <v>0</v>
      </c>
      <c r="Y25" s="82">
        <f>IF(Consultas!Z25='Parâmetros'!$E$1,2,-8)</f>
        <v>2</v>
      </c>
      <c r="Z25" s="82">
        <f>IF(Consultas!AA25='Parâmetros'!$E$1,-15,1)</f>
        <v>1</v>
      </c>
      <c r="AA25" s="147" t="s">
        <v>140</v>
      </c>
      <c r="AB25" s="82">
        <f>IF(E25="NA","NA",IF(E25&gt;'Parâmetros'!$A$9,8,IF(E25&gt;'Parâmetros'!$A$8,4,IF(E25&gt;'Parâmetros'!$A$7,0,-6))))</f>
        <v>8</v>
      </c>
      <c r="AC25" s="82">
        <f>IF(Consultas!AC25='Parâmetros'!$E$1,0,5)</f>
        <v>5</v>
      </c>
      <c r="AD25" s="82">
        <f>IF(Consultas!AH25='Parâmetros'!$D$1,-10,5)</f>
        <v>-10</v>
      </c>
      <c r="AE25" s="82">
        <f>IF(Consultas!AI25&gt;(Consultas!F25*2),-10,0)</f>
        <v>-10</v>
      </c>
      <c r="AF25" s="82">
        <f>IF(Consultas!AD25&gt;1,(IF(Consultas!AI25&gt;(Consultas!AD25),-20,4)))</f>
        <v>4</v>
      </c>
      <c r="AG25" s="82">
        <f>IF(Consultas!AG25='Parâmetros'!$E$1,0,-6)</f>
        <v>0</v>
      </c>
      <c r="AH25" s="82">
        <f>IF(Consultas!AF25='Parâmetros'!$E$1,1,-5)</f>
        <v>-5</v>
      </c>
      <c r="AI25" s="82">
        <f>IF(Consultas!AJ25&gt;700,8,IF(Consultas!AJ25&gt;500,4,IF(Consultas!AJ25&gt;200,-4,IF(Consultas!AJ25&gt;1,-15,-20))))</f>
        <v>-20</v>
      </c>
      <c r="AJ25" s="82">
        <f>IF(Consultas!AD25='Parâmetros'!$E$10,0,IF(Consultas!AD25&gt;'Parâmetros'!$A$30,12,IF(Consultas!AD25&gt;'Parâmetros'!$A$31,6,IF(Consultas!AD25&gt;'Parâmetros'!$A$32,0,IF(Consultas!AD25&gt;'Parâmetros'!$A$33,0,IF(Consultas!AD25&gt;'Parâmetros'!$A$34,-3,IF(Consultas!AD25&gt;'Parâmetros'!$A$35,-7,-1)))))))</f>
        <v>12</v>
      </c>
      <c r="AK25" s="82">
        <f>IF(Consultas!AO25='Parâmetros'!$D$1,3,-3)</f>
        <v>-3</v>
      </c>
      <c r="AL25" s="82">
        <f>IF(Consultas!AP25='Parâmetros'!$D$1,5,-3)</f>
        <v>-3</v>
      </c>
      <c r="AM25" s="82">
        <f>IF(Consultas!AL25="N",-6,0)</f>
        <v>0</v>
      </c>
      <c r="AN25" s="82">
        <f>IF(Consultas!AM25="N",-10,0)</f>
        <v>0</v>
      </c>
      <c r="AO25" s="82">
        <f>IF(Consultas!AN25="S",4,-2)</f>
        <v>-2</v>
      </c>
      <c r="AP25" s="39"/>
      <c r="AQ25" s="165">
        <f>IF(Consultas!F25&gt;1,(SUM(F25:AO25)),"N/A")</f>
        <v>28</v>
      </c>
      <c r="AR25" s="78" t="str">
        <f>IF((Consultas!AD25&gt;'Parâmetros'!$A$31),"X",AJ25+Y25+V25+AC25)</f>
        <v>X</v>
      </c>
      <c r="AS25" s="78" t="str">
        <f>IF((Consultas!AD25&gt;'Parâmetros'!$A$31),"X",(H25+I25+J25+Q25+T25+Y25+Z25+AJ25+AN25))</f>
        <v>X</v>
      </c>
      <c r="AT25" s="78">
        <f>IF((Consultas!AD25&lt;'Parâmetros'!$A$31),"X",(AD25+AC25+AB25))</f>
        <v>3</v>
      </c>
      <c r="AU25" s="78">
        <f t="shared" si="1"/>
        <v>3</v>
      </c>
      <c r="AV25" s="82" t="str">
        <f>IF(AQ25="N/A","N/A",IF(AQ25&gt;5,'Parâmetros'!$A$15,(IF(AU25=AR25,'Parâmetros'!$A$17,IF(AU25=AS25,'Parâmetros'!$A$16,'Parâmetros'!$A$14)))))</f>
        <v>SEM-RISCO</v>
      </c>
      <c r="AW25" s="86" t="str">
        <f>IF(AQ25="N/A","N/A",IF(AV25='Parâmetros'!$A$15,'Parâmetros'!$C$15,(IF(AV25='Parâmetros'!$A$17,'Parâmetros'!$C$17,IF(AV25='Parâmetros'!$A$16,'Parâmetros'!$C$16,IF(AV25='Parâmetros'!$A$14,'Parâmetros'!$C$12))))))</f>
        <v>LIBERADO</v>
      </c>
      <c r="AX25" s="82" t="str">
        <f>IF(Consultas!F25&gt;1,(IF(Consultas!F25&gt;5000,"SOLICITAR PED COMPRA","N/A")))</f>
        <v>N/A</v>
      </c>
      <c r="AY25" s="167" t="str">
        <f>IF(AND(Consultas!M25&lt;&gt;"S", Consultas!H25="S"), "CHECAGEM REVERSA", "N/A")</f>
        <v>N/A</v>
      </c>
      <c r="AZ25" s="167" t="str">
        <f>IF(Consultas!U25="N","PRECISA CORRIGIR END DIVERGENTE","N/A")</f>
        <v>N/A</v>
      </c>
    </row>
    <row r="26" ht="12.0" customHeight="1">
      <c r="A26" s="39" t="s">
        <v>90</v>
      </c>
      <c r="B26" s="82">
        <f>Consultas!B26</f>
        <v>191</v>
      </c>
      <c r="C26" s="82" t="str">
        <f>Consultas!D26</f>
        <v>Metalpleno</v>
      </c>
      <c r="D26" s="96" t="str">
        <f>Consultas!E26</f>
        <v>143436</v>
      </c>
      <c r="E26" s="104">
        <f>IF(Consultas!AB26&gt;0,YEAR('Parâmetros'!$B$1)-YEAR(Consultas!AB26),"NA")</f>
        <v>9</v>
      </c>
      <c r="F26" s="82">
        <f>IF(Consultas!F26&gt;'Parâmetros'!$B$2,-8,0)</f>
        <v>0</v>
      </c>
      <c r="G26" s="82">
        <f>IF(Consultas!H26='Parâmetros'!$E$1,100,0)</f>
        <v>0</v>
      </c>
      <c r="H26" s="82">
        <f>IF(Consultas!I26='Parâmetros'!$E$1,-4,12)</f>
        <v>-4</v>
      </c>
      <c r="I26" s="82">
        <f>IF(Consultas!J26='Parâmetros'!$E$1,1,-13)</f>
        <v>1</v>
      </c>
      <c r="J26" s="82">
        <f>IF(Consultas!K26='Parâmetros'!$E$1,2,-5)</f>
        <v>2</v>
      </c>
      <c r="K26" s="82" t="str">
        <f>IF(Consultas!L26='Parâmetros'!$D$1,"SOLIC CONTRATO DE ENTREGA","N/A")</f>
        <v>SOLIC CONTRATO DE ENTREGA</v>
      </c>
      <c r="L26" s="82">
        <f>IF(Consultas!R26='Parâmetros'!$E$1,1,-3)</f>
        <v>1</v>
      </c>
      <c r="M26" s="82">
        <f>IF(Consultas!S26&gt;1,(IF(Consultas!S26='Parâmetros'!$E$1,-3,9)))</f>
        <v>9</v>
      </c>
      <c r="N26" s="82">
        <f>IF(Consultas!T26="S",23,0)</f>
        <v>0</v>
      </c>
      <c r="O26" s="82">
        <f>IF(Consultas!U26='Parâmetros'!$E$1,-3,3)</f>
        <v>3</v>
      </c>
      <c r="P26" s="82">
        <f>IF(Consultas!V26='Parâmetros'!$E$1,-100,2)</f>
        <v>2</v>
      </c>
      <c r="Q26" s="82">
        <f>IF(Consultas!M26='Parâmetros'!$D$1,2,-9)</f>
        <v>2</v>
      </c>
      <c r="R26" s="82">
        <f>IF(Consultas!N26="RJ",-12,0)</f>
        <v>0</v>
      </c>
      <c r="S26" s="82">
        <f>IF(Consultas!O26="-",-3,IF(Consultas!O26=0,-6,IF(Consultas!O26=5,0,IF(Consultas!O26=10,6))))</f>
        <v>0</v>
      </c>
      <c r="T26" s="82">
        <f>IF(Consultas!M26="S",0,(IF(Consultas!P26="S",6,0)))</f>
        <v>0</v>
      </c>
      <c r="U26" s="82">
        <f>IF(Consultas!Q26&gt;97,9,IF(Consultas!Q26&gt;75,0,-7))</f>
        <v>9</v>
      </c>
      <c r="V26" s="82">
        <f>IF(Consultas!W26='Parâmetros'!$E$1,1,-5)</f>
        <v>1</v>
      </c>
      <c r="W26" s="82">
        <f>IF(Consultas!X26="S",3,-3)</f>
        <v>3</v>
      </c>
      <c r="X26" s="82">
        <f>IF(Consultas!Y26="S",0,-7)</f>
        <v>0</v>
      </c>
      <c r="Y26" s="82">
        <f>IF(Consultas!Z26='Parâmetros'!$E$1,2,-8)</f>
        <v>2</v>
      </c>
      <c r="Z26" s="82">
        <f>IF(Consultas!AA26='Parâmetros'!$E$1,-15,1)</f>
        <v>1</v>
      </c>
      <c r="AA26" s="147" t="s">
        <v>140</v>
      </c>
      <c r="AB26" s="82">
        <f>IF(E26="NA","NA",IF(E26&gt;'Parâmetros'!$A$9,8,IF(E26&gt;'Parâmetros'!$A$8,4,IF(E26&gt;'Parâmetros'!$A$7,0,-6))))</f>
        <v>0</v>
      </c>
      <c r="AC26" s="82">
        <f>IF(Consultas!AC26='Parâmetros'!$E$1,0,5)</f>
        <v>0</v>
      </c>
      <c r="AD26" s="82">
        <f>IF(Consultas!AH26='Parâmetros'!$D$1,-10,5)</f>
        <v>5</v>
      </c>
      <c r="AE26" s="82">
        <f>IF(Consultas!AI26&gt;(Consultas!F26*2),-10,0)</f>
        <v>0</v>
      </c>
      <c r="AF26" s="82">
        <f>IF(Consultas!AD26&gt;1,(IF(Consultas!AI26&gt;(Consultas!AD26),-20,4)))</f>
        <v>4</v>
      </c>
      <c r="AG26" s="82">
        <f>IF(Consultas!AG26='Parâmetros'!$E$1,0,-6)</f>
        <v>0</v>
      </c>
      <c r="AH26" s="82">
        <f>IF(Consultas!AF26='Parâmetros'!$E$1,1,-5)</f>
        <v>1</v>
      </c>
      <c r="AI26" s="82">
        <f>IF(Consultas!AJ26&gt;700,8,IF(Consultas!AJ26&gt;500,4,IF(Consultas!AJ26&gt;200,-4,IF(Consultas!AJ26&gt;1,-15,-20))))</f>
        <v>8</v>
      </c>
      <c r="AJ26" s="82">
        <f>IF(Consultas!AD26='Parâmetros'!$E$10,0,IF(Consultas!AD26&gt;'Parâmetros'!$A$30,12,IF(Consultas!AD26&gt;'Parâmetros'!$A$31,6,IF(Consultas!AD26&gt;'Parâmetros'!$A$32,0,IF(Consultas!AD26&gt;'Parâmetros'!$A$33,0,IF(Consultas!AD26&gt;'Parâmetros'!$A$34,-3,IF(Consultas!AD26&gt;'Parâmetros'!$A$35,-7,-1)))))))</f>
        <v>12</v>
      </c>
      <c r="AK26" s="82">
        <f>IF(Consultas!AO26='Parâmetros'!$D$1,3,-3)</f>
        <v>-3</v>
      </c>
      <c r="AL26" s="82">
        <f>IF(Consultas!AP26='Parâmetros'!$D$1,5,-3)</f>
        <v>-3</v>
      </c>
      <c r="AM26" s="82">
        <f>IF(Consultas!AL26="N",-6,0)</f>
        <v>0</v>
      </c>
      <c r="AN26" s="82">
        <f>IF(Consultas!AM26="N",-10,0)</f>
        <v>0</v>
      </c>
      <c r="AO26" s="82">
        <f>IF(Consultas!AN26="S",4,-2)</f>
        <v>-2</v>
      </c>
      <c r="AP26" s="39"/>
      <c r="AQ26" s="165">
        <f>IF(Consultas!F26&gt;1,(SUM(F26:AO26)),"N/A")</f>
        <v>54</v>
      </c>
      <c r="AR26" s="78" t="str">
        <f>IF((Consultas!AD26&gt;'Parâmetros'!$A$31),"X",AJ26+Y26+V26+AC26)</f>
        <v>X</v>
      </c>
      <c r="AS26" s="78" t="str">
        <f>IF((Consultas!AD26&gt;'Parâmetros'!$A$31),"X",(H26+I26+J26+Q26+T26+Y26+Z26+AJ26+AN26))</f>
        <v>X</v>
      </c>
      <c r="AT26" s="78">
        <f>IF((Consultas!AD26&lt;'Parâmetros'!$A$31),"X",(AD26+AC26+AB26))</f>
        <v>5</v>
      </c>
      <c r="AU26" s="78">
        <f t="shared" si="1"/>
        <v>5</v>
      </c>
      <c r="AV26" s="82" t="str">
        <f>IF(AQ26="N/A","N/A",IF(AQ26&gt;5,'Parâmetros'!$A$15,(IF(AU26=AR26,'Parâmetros'!$A$17,IF(AU26=AS26,'Parâmetros'!$A$16,'Parâmetros'!$A$14)))))</f>
        <v>SEM-RISCO</v>
      </c>
      <c r="AW26" s="86" t="str">
        <f>IF(AQ26="N/A","N/A",IF(AV26='Parâmetros'!$A$15,'Parâmetros'!$C$15,(IF(AV26='Parâmetros'!$A$17,'Parâmetros'!$C$17,IF(AV26='Parâmetros'!$A$16,'Parâmetros'!$C$16,IF(AV26='Parâmetros'!$A$14,'Parâmetros'!$C$12))))))</f>
        <v>LIBERADO</v>
      </c>
      <c r="AX26" s="82" t="str">
        <f>IF(Consultas!F26&gt;1,(IF(Consultas!F26&gt;5000,"SOLICITAR PED COMPRA","N/A")))</f>
        <v>SOLICITAR PED COMPRA</v>
      </c>
      <c r="AY26" s="167" t="str">
        <f>IF(AND(Consultas!M26&lt;&gt;"S", Consultas!H26="S"), "CHECAGEM REVERSA", "N/A")</f>
        <v>N/A</v>
      </c>
      <c r="AZ26" s="167" t="str">
        <f>IF(Consultas!U26="N","PRECISA CORRIGIR END DIVERGENTE","N/A")</f>
        <v>N/A</v>
      </c>
    </row>
    <row r="27" ht="12.0" customHeight="1">
      <c r="A27" s="39" t="s">
        <v>90</v>
      </c>
      <c r="B27" s="82">
        <f>Consultas!B27</f>
        <v>193</v>
      </c>
      <c r="C27" s="82" t="str">
        <f>Consultas!D27</f>
        <v>Metalpleno</v>
      </c>
      <c r="D27" s="96" t="str">
        <f>Consultas!E27</f>
        <v>144160</v>
      </c>
      <c r="E27" s="104">
        <f>IF(Consultas!AB27&gt;0,YEAR('Parâmetros'!$B$1)-YEAR(Consultas!AB27),"NA")</f>
        <v>3</v>
      </c>
      <c r="F27" s="82">
        <f>IF(Consultas!F27&gt;'Parâmetros'!$B$2,-8,0)</f>
        <v>0</v>
      </c>
      <c r="G27" s="82">
        <f>IF(Consultas!H27='Parâmetros'!$E$1,100,0)</f>
        <v>0</v>
      </c>
      <c r="H27" s="82">
        <f>IF(Consultas!I27='Parâmetros'!$E$1,-4,12)</f>
        <v>-4</v>
      </c>
      <c r="I27" s="82">
        <f>IF(Consultas!J27='Parâmetros'!$E$1,1,-13)</f>
        <v>1</v>
      </c>
      <c r="J27" s="82">
        <f>IF(Consultas!K27='Parâmetros'!$E$1,2,-5)</f>
        <v>2</v>
      </c>
      <c r="K27" s="82" t="str">
        <f>IF(Consultas!L27='Parâmetros'!$D$1,"SOLIC CONTRATO DE ENTREGA","N/A")</f>
        <v>SOLIC CONTRATO DE ENTREGA</v>
      </c>
      <c r="L27" s="82">
        <f>IF(Consultas!R27='Parâmetros'!$E$1,1,-3)</f>
        <v>1</v>
      </c>
      <c r="M27" s="82">
        <f>IF(Consultas!S27&gt;1,(IF(Consultas!S27='Parâmetros'!$E$1,-3,9)))</f>
        <v>9</v>
      </c>
      <c r="N27" s="82">
        <f>IF(Consultas!T27="S",23,0)</f>
        <v>0</v>
      </c>
      <c r="O27" s="82">
        <f>IF(Consultas!U27='Parâmetros'!$E$1,-3,3)</f>
        <v>3</v>
      </c>
      <c r="P27" s="82">
        <f>IF(Consultas!V27='Parâmetros'!$E$1,-100,2)</f>
        <v>2</v>
      </c>
      <c r="Q27" s="82">
        <f>IF(Consultas!M27='Parâmetros'!$D$1,2,-9)</f>
        <v>-9</v>
      </c>
      <c r="R27" s="82">
        <f>IF(Consultas!N27="RJ",-12,0)</f>
        <v>0</v>
      </c>
      <c r="S27" s="82">
        <f>IF(Consultas!O27="-",-3,IF(Consultas!O27=0,-6,IF(Consultas!O27=5,0,IF(Consultas!O27=10,6))))</f>
        <v>-3</v>
      </c>
      <c r="T27" s="82">
        <f>IF(Consultas!M27="S",0,(IF(Consultas!P27="S",6,0)))</f>
        <v>0</v>
      </c>
      <c r="U27" s="82">
        <f>IF(Consultas!Q27&gt;97,9,IF(Consultas!Q27&gt;75,0,-7))</f>
        <v>9</v>
      </c>
      <c r="V27" s="82">
        <f>IF(Consultas!W27='Parâmetros'!$E$1,1,-5)</f>
        <v>1</v>
      </c>
      <c r="W27" s="82">
        <f>IF(Consultas!X27="S",3,-3)</f>
        <v>3</v>
      </c>
      <c r="X27" s="82">
        <f>IF(Consultas!Y27="S",0,-7)</f>
        <v>0</v>
      </c>
      <c r="Y27" s="82">
        <f>IF(Consultas!Z27='Parâmetros'!$E$1,2,-8)</f>
        <v>2</v>
      </c>
      <c r="Z27" s="82">
        <f>IF(Consultas!AA27='Parâmetros'!$E$1,-15,1)</f>
        <v>1</v>
      </c>
      <c r="AA27" s="147" t="s">
        <v>140</v>
      </c>
      <c r="AB27" s="82">
        <f>IF(E27="NA","NA",IF(E27&gt;'Parâmetros'!$A$9,8,IF(E27&gt;'Parâmetros'!$A$8,4,IF(E27&gt;'Parâmetros'!$A$7,0,-6))))</f>
        <v>-6</v>
      </c>
      <c r="AC27" s="82">
        <f>IF(Consultas!AC27='Parâmetros'!$E$1,0,5)</f>
        <v>0</v>
      </c>
      <c r="AD27" s="82">
        <f>IF(Consultas!AH27='Parâmetros'!$D$1,-10,5)</f>
        <v>5</v>
      </c>
      <c r="AE27" s="82">
        <f>IF(Consultas!AI27&gt;(Consultas!F27*2),-10,0)</f>
        <v>0</v>
      </c>
      <c r="AF27" s="82">
        <f>IF(Consultas!AD27&gt;1,(IF(Consultas!AI27&gt;(Consultas!AD27),-20,4)))</f>
        <v>4</v>
      </c>
      <c r="AG27" s="82">
        <f>IF(Consultas!AG27='Parâmetros'!$E$1,0,-6)</f>
        <v>0</v>
      </c>
      <c r="AH27" s="82">
        <f>IF(Consultas!AF27='Parâmetros'!$E$1,1,-5)</f>
        <v>1</v>
      </c>
      <c r="AI27" s="82">
        <f>IF(Consultas!AJ27&gt;700,8,IF(Consultas!AJ27&gt;500,4,IF(Consultas!AJ27&gt;200,-4,IF(Consultas!AJ27&gt;1,-15,-20))))</f>
        <v>4</v>
      </c>
      <c r="AJ27" s="82">
        <f>IF(Consultas!AD27='Parâmetros'!$E$10,0,IF(Consultas!AD27&gt;'Parâmetros'!$A$30,12,IF(Consultas!AD27&gt;'Parâmetros'!$A$31,6,IF(Consultas!AD27&gt;'Parâmetros'!$A$32,0,IF(Consultas!AD27&gt;'Parâmetros'!$A$33,0,IF(Consultas!AD27&gt;'Parâmetros'!$A$34,-3,IF(Consultas!AD27&gt;'Parâmetros'!$A$35,-7,-1)))))))</f>
        <v>12</v>
      </c>
      <c r="AK27" s="82">
        <f>IF(Consultas!AO27='Parâmetros'!$D$1,3,-3)</f>
        <v>-3</v>
      </c>
      <c r="AL27" s="82">
        <f>IF(Consultas!AP27='Parâmetros'!$D$1,5,-3)</f>
        <v>-3</v>
      </c>
      <c r="AM27" s="82">
        <f>IF(Consultas!AL27="N",-6,0)</f>
        <v>0</v>
      </c>
      <c r="AN27" s="82">
        <f>IF(Consultas!AM27="N",-10,0)</f>
        <v>0</v>
      </c>
      <c r="AO27" s="82">
        <f>IF(Consultas!AN27="S",4,-2)</f>
        <v>-2</v>
      </c>
      <c r="AP27" s="39"/>
      <c r="AQ27" s="165">
        <f>IF(Consultas!F27&gt;1,(SUM(F27:AO27)),"N/A")</f>
        <v>30</v>
      </c>
      <c r="AR27" s="78" t="str">
        <f>IF((Consultas!AD27&gt;'Parâmetros'!$A$31),"X",AJ27+Y27+V27+AC27)</f>
        <v>X</v>
      </c>
      <c r="AS27" s="78" t="str">
        <f>IF((Consultas!AD27&gt;'Parâmetros'!$A$31),"X",(H27+I27+J27+Q27+T27+Y27+Z27+AJ27+AN27))</f>
        <v>X</v>
      </c>
      <c r="AT27" s="78">
        <f>IF((Consultas!AD27&lt;'Parâmetros'!$A$31),"X",(AD27+AC27+AB27))</f>
        <v>-1</v>
      </c>
      <c r="AU27" s="78">
        <f t="shared" si="1"/>
        <v>-1</v>
      </c>
      <c r="AV27" s="82" t="str">
        <f>IF(AQ27="N/A","N/A",IF(AQ27&gt;5,'Parâmetros'!$A$15,(IF(AU27=AR27,'Parâmetros'!$A$17,IF(AU27=AS27,'Parâmetros'!$A$16,'Parâmetros'!$A$14)))))</f>
        <v>SEM-RISCO</v>
      </c>
      <c r="AW27" s="86" t="str">
        <f>IF(AQ27="N/A","N/A",IF(AV27='Parâmetros'!$A$15,'Parâmetros'!$C$15,(IF(AV27='Parâmetros'!$A$17,'Parâmetros'!$C$17,IF(AV27='Parâmetros'!$A$16,'Parâmetros'!$C$16,IF(AV27='Parâmetros'!$A$14,'Parâmetros'!$C$12))))))</f>
        <v>LIBERADO</v>
      </c>
      <c r="AX27" s="82" t="str">
        <f>IF(Consultas!F27&gt;1,(IF(Consultas!F27&gt;5000,"SOLICITAR PED COMPRA","N/A")))</f>
        <v>SOLICITAR PED COMPRA</v>
      </c>
      <c r="AY27" s="167" t="str">
        <f>IF(AND(Consultas!M27&lt;&gt;"S", Consultas!H27="S"), "CHECAGEM REVERSA", "N/A")</f>
        <v>CHECAGEM REVERSA</v>
      </c>
      <c r="AZ27" s="167" t="str">
        <f>IF(Consultas!U27="N","PRECISA CORRIGIR END DIVERGENTE","N/A")</f>
        <v>N/A</v>
      </c>
    </row>
    <row r="28" ht="12.0" customHeight="1">
      <c r="A28" s="39" t="s">
        <v>90</v>
      </c>
      <c r="B28" s="82">
        <f>Consultas!B28</f>
        <v>487</v>
      </c>
      <c r="C28" s="82" t="str">
        <f>Consultas!D28</f>
        <v>Oaco</v>
      </c>
      <c r="D28" s="96" t="str">
        <f>Consultas!E28</f>
        <v>144512</v>
      </c>
      <c r="E28" s="104">
        <f>IF(Consultas!AB28&gt;0,YEAR('Parâmetros'!$B$1)-YEAR(Consultas!AB28),"NA")</f>
        <v>15</v>
      </c>
      <c r="F28" s="82">
        <f>IF(Consultas!F28&gt;'Parâmetros'!$B$2,-8,0)</f>
        <v>0</v>
      </c>
      <c r="G28" s="82">
        <f>IF(Consultas!H28='Parâmetros'!$E$1,100,0)</f>
        <v>0</v>
      </c>
      <c r="H28" s="82">
        <f>IF(Consultas!I28='Parâmetros'!$E$1,-4,12)</f>
        <v>-4</v>
      </c>
      <c r="I28" s="82">
        <f>IF(Consultas!J28='Parâmetros'!$E$1,1,-13)</f>
        <v>1</v>
      </c>
      <c r="J28" s="82">
        <f>IF(Consultas!K28='Parâmetros'!$E$1,2,-5)</f>
        <v>2</v>
      </c>
      <c r="K28" s="82" t="str">
        <f>IF(Consultas!L28='Parâmetros'!$D$1,"SOLIC CONTRATO DE ENTREGA","N/A")</f>
        <v>N/A</v>
      </c>
      <c r="L28" s="82">
        <f>IF(Consultas!R28='Parâmetros'!$E$1,1,-3)</f>
        <v>1</v>
      </c>
      <c r="M28" s="82">
        <f>IF(Consultas!S28&gt;1,(IF(Consultas!S28='Parâmetros'!$E$1,-3,9)))</f>
        <v>9</v>
      </c>
      <c r="N28" s="82">
        <f>IF(Consultas!T28="S",23,0)</f>
        <v>23</v>
      </c>
      <c r="O28" s="82">
        <f>IF(Consultas!U28='Parâmetros'!$E$1,-3,3)</f>
        <v>3</v>
      </c>
      <c r="P28" s="82">
        <f>IF(Consultas!V28='Parâmetros'!$E$1,-100,2)</f>
        <v>2</v>
      </c>
      <c r="Q28" s="82">
        <f>IF(Consultas!M28='Parâmetros'!$D$1,2,-9)</f>
        <v>2</v>
      </c>
      <c r="R28" s="82">
        <f>IF(Consultas!N28="RJ",-12,0)</f>
        <v>0</v>
      </c>
      <c r="S28" s="82">
        <f>IF(Consultas!O28="-",-3,IF(Consultas!O28=0,-6,IF(Consultas!O28=5,0,IF(Consultas!O28=10,6))))</f>
        <v>-3</v>
      </c>
      <c r="T28" s="82">
        <f>IF(Consultas!M28="S",0,(IF(Consultas!P28="S",6,0)))</f>
        <v>0</v>
      </c>
      <c r="U28" s="82">
        <f>IF(Consultas!Q28&gt;97,9,IF(Consultas!Q28&gt;75,0,-7))</f>
        <v>9</v>
      </c>
      <c r="V28" s="82">
        <f>IF(Consultas!W28='Parâmetros'!$E$1,1,-5)</f>
        <v>1</v>
      </c>
      <c r="W28" s="82">
        <f>IF(Consultas!X28="S",3,-3)</f>
        <v>3</v>
      </c>
      <c r="X28" s="82">
        <f>IF(Consultas!Y28="S",0,-7)</f>
        <v>-7</v>
      </c>
      <c r="Y28" s="82">
        <f>IF(Consultas!Z28='Parâmetros'!$E$1,2,-8)</f>
        <v>2</v>
      </c>
      <c r="Z28" s="82">
        <f>IF(Consultas!AA28='Parâmetros'!$E$1,-15,1)</f>
        <v>1</v>
      </c>
      <c r="AA28" s="147" t="s">
        <v>140</v>
      </c>
      <c r="AB28" s="82">
        <f>IF(E28="NA","NA",IF(E28&gt;'Parâmetros'!$A$9,8,IF(E28&gt;'Parâmetros'!$A$8,4,IF(E28&gt;'Parâmetros'!$A$7,0,-6))))</f>
        <v>0</v>
      </c>
      <c r="AC28" s="82">
        <f>IF(Consultas!AC28='Parâmetros'!$E$1,0,5)</f>
        <v>5</v>
      </c>
      <c r="AD28" s="82">
        <f>IF(Consultas!AH28='Parâmetros'!$D$1,-10,5)</f>
        <v>-10</v>
      </c>
      <c r="AE28" s="82">
        <f>IF(Consultas!AI28&gt;(Consultas!F28*2),-10,0)</f>
        <v>-10</v>
      </c>
      <c r="AF28" s="82">
        <f>IF(Consultas!AD28&gt;1,(IF(Consultas!AI28&gt;(Consultas!AD28),-20,4)))</f>
        <v>4</v>
      </c>
      <c r="AG28" s="82">
        <f>IF(Consultas!AG28='Parâmetros'!$E$1,0,-6)</f>
        <v>0</v>
      </c>
      <c r="AH28" s="82">
        <f>IF(Consultas!AF28='Parâmetros'!$E$1,1,-5)</f>
        <v>1</v>
      </c>
      <c r="AI28" s="82">
        <f>IF(Consultas!AJ28&gt;700,8,IF(Consultas!AJ28&gt;500,4,IF(Consultas!AJ28&gt;200,-4,IF(Consultas!AJ28&gt;1,-15,-20))))</f>
        <v>8</v>
      </c>
      <c r="AJ28" s="82">
        <f>IF(Consultas!AD28='Parâmetros'!$E$10,0,IF(Consultas!AD28&gt;'Parâmetros'!$A$30,12,IF(Consultas!AD28&gt;'Parâmetros'!$A$31,6,IF(Consultas!AD28&gt;'Parâmetros'!$A$32,0,IF(Consultas!AD28&gt;'Parâmetros'!$A$33,0,IF(Consultas!AD28&gt;'Parâmetros'!$A$34,-3,IF(Consultas!AD28&gt;'Parâmetros'!$A$35,-7,-1)))))))</f>
        <v>12</v>
      </c>
      <c r="AK28" s="82">
        <f>IF(Consultas!AO28='Parâmetros'!$D$1,3,-3)</f>
        <v>-3</v>
      </c>
      <c r="AL28" s="82">
        <f>IF(Consultas!AP28='Parâmetros'!$D$1,5,-3)</f>
        <v>-3</v>
      </c>
      <c r="AM28" s="82">
        <f>IF(Consultas!AL28="N",-6,0)</f>
        <v>0</v>
      </c>
      <c r="AN28" s="82">
        <f>IF(Consultas!AM28="N",-10,0)</f>
        <v>0</v>
      </c>
      <c r="AO28" s="82">
        <f>IF(Consultas!AN28="S",4,-2)</f>
        <v>-2</v>
      </c>
      <c r="AP28" s="39"/>
      <c r="AQ28" s="165">
        <f>IF(Consultas!F28&gt;1,(SUM(F28:AO28)),"N/A")</f>
        <v>47</v>
      </c>
      <c r="AR28" s="78" t="str">
        <f>IF((Consultas!AD28&gt;'Parâmetros'!$A$31),"X",AJ28+Y28+V28+AC28)</f>
        <v>X</v>
      </c>
      <c r="AS28" s="78" t="str">
        <f>IF((Consultas!AD28&gt;'Parâmetros'!$A$31),"X",(H28+I28+J28+Q28+T28+Y28+Z28+AJ28+AN28))</f>
        <v>X</v>
      </c>
      <c r="AT28" s="78">
        <f>IF((Consultas!AD28&lt;'Parâmetros'!$A$31),"X",(AD28+AC28+AB28))</f>
        <v>-5</v>
      </c>
      <c r="AU28" s="78">
        <f t="shared" si="1"/>
        <v>-5</v>
      </c>
      <c r="AV28" s="82" t="str">
        <f>IF(AQ28="N/A","N/A",IF(AQ28&gt;5,'Parâmetros'!$A$15,(IF(AU28=AR28,'Parâmetros'!$A$17,IF(AU28=AS28,'Parâmetros'!$A$16,'Parâmetros'!$A$14)))))</f>
        <v>SEM-RISCO</v>
      </c>
      <c r="AW28" s="86" t="str">
        <f>IF(AQ28="N/A","N/A",IF(AV28='Parâmetros'!$A$15,'Parâmetros'!$C$15,(IF(AV28='Parâmetros'!$A$17,'Parâmetros'!$C$17,IF(AV28='Parâmetros'!$A$16,'Parâmetros'!$C$16,IF(AV28='Parâmetros'!$A$14,'Parâmetros'!$C$12))))))</f>
        <v>LIBERADO</v>
      </c>
      <c r="AX28" s="82" t="str">
        <f>IF(Consultas!F28&gt;1,(IF(Consultas!F28&gt;5000,"SOLICITAR PED COMPRA","N/A")))</f>
        <v>N/A</v>
      </c>
      <c r="AY28" s="167" t="str">
        <f>IF(AND(Consultas!M28&lt;&gt;"S", Consultas!H28="S"), "CHECAGEM REVERSA", "N/A")</f>
        <v>N/A</v>
      </c>
      <c r="AZ28" s="167" t="str">
        <f>IF(Consultas!U28="N","PRECISA CORRIGIR END DIVERGENTE","N/A")</f>
        <v>N/A</v>
      </c>
    </row>
    <row r="29" ht="12.0" customHeight="1">
      <c r="A29" s="39" t="s">
        <v>90</v>
      </c>
      <c r="B29" s="82">
        <f>Consultas!B29</f>
        <v>488</v>
      </c>
      <c r="C29" s="82" t="str">
        <f>Consultas!D29</f>
        <v>Oaco</v>
      </c>
      <c r="D29" s="96" t="str">
        <f>Consultas!E29</f>
        <v>144513</v>
      </c>
      <c r="E29" s="104">
        <f>IF(Consultas!AB29&gt;0,YEAR('Parâmetros'!$B$1)-YEAR(Consultas!AB29),"NA")</f>
        <v>15</v>
      </c>
      <c r="F29" s="82">
        <f>IF(Consultas!F29&gt;'Parâmetros'!$B$2,-8,0)</f>
        <v>0</v>
      </c>
      <c r="G29" s="82">
        <f>IF(Consultas!H29='Parâmetros'!$E$1,100,0)</f>
        <v>0</v>
      </c>
      <c r="H29" s="82">
        <f>IF(Consultas!I29='Parâmetros'!$E$1,-4,12)</f>
        <v>-4</v>
      </c>
      <c r="I29" s="82">
        <f>IF(Consultas!J29='Parâmetros'!$E$1,1,-13)</f>
        <v>1</v>
      </c>
      <c r="J29" s="82">
        <f>IF(Consultas!K29='Parâmetros'!$E$1,2,-5)</f>
        <v>2</v>
      </c>
      <c r="K29" s="82" t="str">
        <f>IF(Consultas!L29='Parâmetros'!$D$1,"SOLIC CONTRATO DE ENTREGA","N/A")</f>
        <v>N/A</v>
      </c>
      <c r="L29" s="82">
        <f>IF(Consultas!R29='Parâmetros'!$E$1,1,-3)</f>
        <v>1</v>
      </c>
      <c r="M29" s="82">
        <f>IF(Consultas!S29&gt;1,(IF(Consultas!S29='Parâmetros'!$E$1,-3,9)))</f>
        <v>9</v>
      </c>
      <c r="N29" s="82">
        <f>IF(Consultas!T29="S",23,0)</f>
        <v>23</v>
      </c>
      <c r="O29" s="82">
        <f>IF(Consultas!U29='Parâmetros'!$E$1,-3,3)</f>
        <v>3</v>
      </c>
      <c r="P29" s="82">
        <f>IF(Consultas!V29='Parâmetros'!$E$1,-100,2)</f>
        <v>2</v>
      </c>
      <c r="Q29" s="82">
        <f>IF(Consultas!M29='Parâmetros'!$D$1,2,-9)</f>
        <v>2</v>
      </c>
      <c r="R29" s="82">
        <f>IF(Consultas!N29="RJ",-12,0)</f>
        <v>0</v>
      </c>
      <c r="S29" s="82">
        <f>IF(Consultas!O29="-",-3,IF(Consultas!O29=0,-6,IF(Consultas!O29=5,0,IF(Consultas!O29=10,6))))</f>
        <v>-3</v>
      </c>
      <c r="T29" s="82">
        <f>IF(Consultas!M29="S",0,(IF(Consultas!P29="S",6,0)))</f>
        <v>0</v>
      </c>
      <c r="U29" s="82">
        <f>IF(Consultas!Q29&gt;97,9,IF(Consultas!Q29&gt;75,0,-7))</f>
        <v>9</v>
      </c>
      <c r="V29" s="82">
        <f>IF(Consultas!W29='Parâmetros'!$E$1,1,-5)</f>
        <v>1</v>
      </c>
      <c r="W29" s="82">
        <f>IF(Consultas!X29="S",3,-3)</f>
        <v>3</v>
      </c>
      <c r="X29" s="82">
        <f>IF(Consultas!Y29="S",0,-7)</f>
        <v>-7</v>
      </c>
      <c r="Y29" s="82">
        <f>IF(Consultas!Z29='Parâmetros'!$E$1,2,-8)</f>
        <v>2</v>
      </c>
      <c r="Z29" s="82">
        <f>IF(Consultas!AA29='Parâmetros'!$E$1,-15,1)</f>
        <v>1</v>
      </c>
      <c r="AA29" s="147" t="s">
        <v>140</v>
      </c>
      <c r="AB29" s="82">
        <f>IF(E29="NA","NA",IF(E29&gt;'Parâmetros'!$A$9,8,IF(E29&gt;'Parâmetros'!$A$8,4,IF(E29&gt;'Parâmetros'!$A$7,0,-6))))</f>
        <v>0</v>
      </c>
      <c r="AC29" s="82">
        <f>IF(Consultas!AC29='Parâmetros'!$E$1,0,5)</f>
        <v>5</v>
      </c>
      <c r="AD29" s="82">
        <f>IF(Consultas!AH29='Parâmetros'!$D$1,-10,5)</f>
        <v>-10</v>
      </c>
      <c r="AE29" s="82">
        <f>IF(Consultas!AI29&gt;(Consultas!F29*2),-10,0)</f>
        <v>-10</v>
      </c>
      <c r="AF29" s="82">
        <f>IF(Consultas!AD29&gt;1,(IF(Consultas!AI29&gt;(Consultas!AD29),-20,4)))</f>
        <v>4</v>
      </c>
      <c r="AG29" s="82">
        <f>IF(Consultas!AG29='Parâmetros'!$E$1,0,-6)</f>
        <v>0</v>
      </c>
      <c r="AH29" s="82">
        <f>IF(Consultas!AF29='Parâmetros'!$E$1,1,-5)</f>
        <v>1</v>
      </c>
      <c r="AI29" s="82">
        <f>IF(Consultas!AJ29&gt;700,8,IF(Consultas!AJ29&gt;500,4,IF(Consultas!AJ29&gt;200,-4,IF(Consultas!AJ29&gt;1,-15,-20))))</f>
        <v>8</v>
      </c>
      <c r="AJ29" s="82">
        <f>IF(Consultas!AD29='Parâmetros'!$E$10,0,IF(Consultas!AD29&gt;'Parâmetros'!$A$30,12,IF(Consultas!AD29&gt;'Parâmetros'!$A$31,6,IF(Consultas!AD29&gt;'Parâmetros'!$A$32,0,IF(Consultas!AD29&gt;'Parâmetros'!$A$33,0,IF(Consultas!AD29&gt;'Parâmetros'!$A$34,-3,IF(Consultas!AD29&gt;'Parâmetros'!$A$35,-7,-1)))))))</f>
        <v>12</v>
      </c>
      <c r="AK29" s="82">
        <f>IF(Consultas!AO29='Parâmetros'!$D$1,3,-3)</f>
        <v>-3</v>
      </c>
      <c r="AL29" s="82">
        <f>IF(Consultas!AP29='Parâmetros'!$D$1,5,-3)</f>
        <v>-3</v>
      </c>
      <c r="AM29" s="82">
        <f>IF(Consultas!AL29="N",-6,0)</f>
        <v>0</v>
      </c>
      <c r="AN29" s="82">
        <f>IF(Consultas!AM29="N",-10,0)</f>
        <v>0</v>
      </c>
      <c r="AO29" s="82">
        <f>IF(Consultas!AN29="S",4,-2)</f>
        <v>-2</v>
      </c>
      <c r="AP29" s="39"/>
      <c r="AQ29" s="165">
        <f>IF(Consultas!F29&gt;1,(SUM(F29:AO29)),"N/A")</f>
        <v>47</v>
      </c>
      <c r="AR29" s="78" t="str">
        <f>IF((Consultas!AD29&gt;'Parâmetros'!$A$31),"X",AJ29+Y29+V29+AC29)</f>
        <v>X</v>
      </c>
      <c r="AS29" s="78" t="str">
        <f>IF((Consultas!AD29&gt;'Parâmetros'!$A$31),"X",(H29+I29+J29+Q29+T29+Y29+Z29+AJ29+AN29))</f>
        <v>X</v>
      </c>
      <c r="AT29" s="78">
        <f>IF((Consultas!AD29&lt;'Parâmetros'!$A$31),"X",(AD29+AC29+AB29))</f>
        <v>-5</v>
      </c>
      <c r="AU29" s="78">
        <f t="shared" si="1"/>
        <v>-5</v>
      </c>
      <c r="AV29" s="82" t="str">
        <f>IF(AQ29="N/A","N/A",IF(AQ29&gt;5,'Parâmetros'!$A$15,(IF(AU29=AR29,'Parâmetros'!$A$17,IF(AU29=AS29,'Parâmetros'!$A$16,'Parâmetros'!$A$14)))))</f>
        <v>SEM-RISCO</v>
      </c>
      <c r="AW29" s="86" t="str">
        <f>IF(AQ29="N/A","N/A",IF(AV29='Parâmetros'!$A$15,'Parâmetros'!$C$15,(IF(AV29='Parâmetros'!$A$17,'Parâmetros'!$C$17,IF(AV29='Parâmetros'!$A$16,'Parâmetros'!$C$16,IF(AV29='Parâmetros'!$A$14,'Parâmetros'!$C$12))))))</f>
        <v>LIBERADO</v>
      </c>
      <c r="AX29" s="82" t="str">
        <f>IF(Consultas!F29&gt;1,(IF(Consultas!F29&gt;5000,"SOLICITAR PED COMPRA","N/A")))</f>
        <v>N/A</v>
      </c>
      <c r="AY29" s="167" t="str">
        <f>IF(AND(Consultas!M29&lt;&gt;"S", Consultas!H29="S"), "CHECAGEM REVERSA", "N/A")</f>
        <v>N/A</v>
      </c>
      <c r="AZ29" s="167" t="str">
        <f>IF(Consultas!U29="N","PRECISA CORRIGIR END DIVERGENTE","N/A")</f>
        <v>N/A</v>
      </c>
    </row>
    <row r="30" ht="12.0" customHeight="1">
      <c r="A30" s="39" t="s">
        <v>90</v>
      </c>
      <c r="B30" s="82">
        <f>Consultas!B30</f>
        <v>496</v>
      </c>
      <c r="C30" s="82" t="str">
        <f>Consultas!D30</f>
        <v>Oaco</v>
      </c>
      <c r="D30" s="96" t="str">
        <f>Consultas!E30</f>
        <v>144520</v>
      </c>
      <c r="E30" s="104">
        <f>IF(Consultas!AB30&gt;0,YEAR('Parâmetros'!$B$1)-YEAR(Consultas!AB30),"NA")</f>
        <v>15</v>
      </c>
      <c r="F30" s="82">
        <f>IF(Consultas!F30&gt;'Parâmetros'!$B$2,-8,0)</f>
        <v>0</v>
      </c>
      <c r="G30" s="82">
        <f>IF(Consultas!H30='Parâmetros'!$E$1,100,0)</f>
        <v>0</v>
      </c>
      <c r="H30" s="82">
        <f>IF(Consultas!I30='Parâmetros'!$E$1,-4,12)</f>
        <v>-4</v>
      </c>
      <c r="I30" s="82">
        <f>IF(Consultas!J30='Parâmetros'!$E$1,1,-13)</f>
        <v>1</v>
      </c>
      <c r="J30" s="82">
        <f>IF(Consultas!K30='Parâmetros'!$E$1,2,-5)</f>
        <v>2</v>
      </c>
      <c r="K30" s="82" t="str">
        <f>IF(Consultas!L30='Parâmetros'!$D$1,"SOLIC CONTRATO DE ENTREGA","N/A")</f>
        <v>N/A</v>
      </c>
      <c r="L30" s="82">
        <f>IF(Consultas!R30='Parâmetros'!$E$1,1,-3)</f>
        <v>1</v>
      </c>
      <c r="M30" s="82">
        <f>IF(Consultas!S30&gt;1,(IF(Consultas!S30='Parâmetros'!$E$1,-3,9)))</f>
        <v>9</v>
      </c>
      <c r="N30" s="82">
        <f>IF(Consultas!T30="S",23,0)</f>
        <v>23</v>
      </c>
      <c r="O30" s="82">
        <f>IF(Consultas!U30='Parâmetros'!$E$1,-3,3)</f>
        <v>3</v>
      </c>
      <c r="P30" s="82">
        <f>IF(Consultas!V30='Parâmetros'!$E$1,-100,2)</f>
        <v>2</v>
      </c>
      <c r="Q30" s="82">
        <f>IF(Consultas!M30='Parâmetros'!$D$1,2,-9)</f>
        <v>2</v>
      </c>
      <c r="R30" s="82">
        <f>IF(Consultas!N30="RJ",-12,0)</f>
        <v>0</v>
      </c>
      <c r="S30" s="82">
        <f>IF(Consultas!O30="-",-3,IF(Consultas!O30=0,-6,IF(Consultas!O30=5,0,IF(Consultas!O30=10,6))))</f>
        <v>-3</v>
      </c>
      <c r="T30" s="82">
        <f>IF(Consultas!M30="S",0,(IF(Consultas!P30="S",6,0)))</f>
        <v>0</v>
      </c>
      <c r="U30" s="82">
        <f>IF(Consultas!Q30&gt;97,9,IF(Consultas!Q30&gt;75,0,-7))</f>
        <v>9</v>
      </c>
      <c r="V30" s="82">
        <f>IF(Consultas!W30='Parâmetros'!$E$1,1,-5)</f>
        <v>1</v>
      </c>
      <c r="W30" s="82">
        <f>IF(Consultas!X30="S",3,-3)</f>
        <v>3</v>
      </c>
      <c r="X30" s="82">
        <f>IF(Consultas!Y30="S",0,-7)</f>
        <v>-7</v>
      </c>
      <c r="Y30" s="82">
        <f>IF(Consultas!Z30='Parâmetros'!$E$1,2,-8)</f>
        <v>2</v>
      </c>
      <c r="Z30" s="82">
        <f>IF(Consultas!AA30='Parâmetros'!$E$1,-15,1)</f>
        <v>1</v>
      </c>
      <c r="AA30" s="147" t="s">
        <v>140</v>
      </c>
      <c r="AB30" s="82">
        <f>IF(E30="NA","NA",IF(E30&gt;'Parâmetros'!$A$9,8,IF(E30&gt;'Parâmetros'!$A$8,4,IF(E30&gt;'Parâmetros'!$A$7,0,-6))))</f>
        <v>0</v>
      </c>
      <c r="AC30" s="82">
        <f>IF(Consultas!AC30='Parâmetros'!$E$1,0,5)</f>
        <v>5</v>
      </c>
      <c r="AD30" s="82">
        <f>IF(Consultas!AH30='Parâmetros'!$D$1,-10,5)</f>
        <v>-10</v>
      </c>
      <c r="AE30" s="82">
        <f>IF(Consultas!AI30&gt;(Consultas!F30*2),-10,0)</f>
        <v>-10</v>
      </c>
      <c r="AF30" s="82">
        <f>IF(Consultas!AD30&gt;1,(IF(Consultas!AI30&gt;(Consultas!AD30),-20,4)))</f>
        <v>4</v>
      </c>
      <c r="AG30" s="82">
        <f>IF(Consultas!AG30='Parâmetros'!$E$1,0,-6)</f>
        <v>0</v>
      </c>
      <c r="AH30" s="82">
        <f>IF(Consultas!AF30='Parâmetros'!$E$1,1,-5)</f>
        <v>1</v>
      </c>
      <c r="AI30" s="82">
        <f>IF(Consultas!AJ30&gt;700,8,IF(Consultas!AJ30&gt;500,4,IF(Consultas!AJ30&gt;200,-4,IF(Consultas!AJ30&gt;1,-15,-20))))</f>
        <v>8</v>
      </c>
      <c r="AJ30" s="82">
        <f>IF(Consultas!AD30='Parâmetros'!$E$10,0,IF(Consultas!AD30&gt;'Parâmetros'!$A$30,12,IF(Consultas!AD30&gt;'Parâmetros'!$A$31,6,IF(Consultas!AD30&gt;'Parâmetros'!$A$32,0,IF(Consultas!AD30&gt;'Parâmetros'!$A$33,0,IF(Consultas!AD30&gt;'Parâmetros'!$A$34,-3,IF(Consultas!AD30&gt;'Parâmetros'!$A$35,-7,-1)))))))</f>
        <v>12</v>
      </c>
      <c r="AK30" s="82">
        <f>IF(Consultas!AO30='Parâmetros'!$D$1,3,-3)</f>
        <v>-3</v>
      </c>
      <c r="AL30" s="82">
        <f>IF(Consultas!AP30='Parâmetros'!$D$1,5,-3)</f>
        <v>-3</v>
      </c>
      <c r="AM30" s="82">
        <f>IF(Consultas!AL30="N",-6,0)</f>
        <v>0</v>
      </c>
      <c r="AN30" s="82">
        <f>IF(Consultas!AM30="N",-10,0)</f>
        <v>0</v>
      </c>
      <c r="AO30" s="82">
        <f>IF(Consultas!AN30="S",4,-2)</f>
        <v>-2</v>
      </c>
      <c r="AP30" s="39"/>
      <c r="AQ30" s="165">
        <f>IF(Consultas!F30&gt;1,(SUM(F30:AO30)),"N/A")</f>
        <v>47</v>
      </c>
      <c r="AR30" s="78" t="str">
        <f>IF((Consultas!AD30&gt;'Parâmetros'!$A$31),"X",AJ30+Y30+V30+AC30)</f>
        <v>X</v>
      </c>
      <c r="AS30" s="78" t="str">
        <f>IF((Consultas!AD30&gt;'Parâmetros'!$A$31),"X",(H30+I30+J30+Q30+T30+Y30+Z30+AJ30+AN30))</f>
        <v>X</v>
      </c>
      <c r="AT30" s="78">
        <f>IF((Consultas!AD30&lt;'Parâmetros'!$A$31),"X",(AD30+AC30+AB30))</f>
        <v>-5</v>
      </c>
      <c r="AU30" s="78">
        <f t="shared" si="1"/>
        <v>-5</v>
      </c>
      <c r="AV30" s="82" t="str">
        <f>IF(AQ30="N/A","N/A",IF(AQ30&gt;5,'Parâmetros'!$A$15,(IF(AU30=AR30,'Parâmetros'!$A$17,IF(AU30=AS30,'Parâmetros'!$A$16,'Parâmetros'!$A$14)))))</f>
        <v>SEM-RISCO</v>
      </c>
      <c r="AW30" s="86" t="str">
        <f>IF(AQ30="N/A","N/A",IF(AV30='Parâmetros'!$A$15,'Parâmetros'!$C$15,(IF(AV30='Parâmetros'!$A$17,'Parâmetros'!$C$17,IF(AV30='Parâmetros'!$A$16,'Parâmetros'!$C$16,IF(AV30='Parâmetros'!$A$14,'Parâmetros'!$C$12))))))</f>
        <v>LIBERADO</v>
      </c>
      <c r="AX30" s="82" t="str">
        <f>IF(Consultas!F30&gt;1,(IF(Consultas!F30&gt;5000,"SOLICITAR PED COMPRA","N/A")))</f>
        <v>N/A</v>
      </c>
      <c r="AY30" s="167" t="str">
        <f>IF(AND(Consultas!M30&lt;&gt;"S", Consultas!H30="S"), "CHECAGEM REVERSA", "N/A")</f>
        <v>N/A</v>
      </c>
      <c r="AZ30" s="167" t="str">
        <f>IF(Consultas!U30="N","PRECISA CORRIGIR END DIVERGENTE","N/A")</f>
        <v>N/A</v>
      </c>
    </row>
    <row r="31" ht="12.0" customHeight="1">
      <c r="A31" s="39" t="s">
        <v>90</v>
      </c>
      <c r="B31" s="82">
        <f>Consultas!B31</f>
        <v>499</v>
      </c>
      <c r="C31" s="82" t="str">
        <f>Consultas!D31</f>
        <v>Oaco</v>
      </c>
      <c r="D31" s="96" t="str">
        <f>Consultas!E31</f>
        <v>029288</v>
      </c>
      <c r="E31" s="104">
        <f>IF(Consultas!AB31&gt;0,YEAR('Parâmetros'!$B$1)-YEAR(Consultas!AB31),"NA")</f>
        <v>27</v>
      </c>
      <c r="F31" s="82">
        <f>IF(Consultas!F31&gt;'Parâmetros'!$B$2,-8,0)</f>
        <v>0</v>
      </c>
      <c r="G31" s="82">
        <f>IF(Consultas!H31='Parâmetros'!$E$1,100,0)</f>
        <v>0</v>
      </c>
      <c r="H31" s="82">
        <f>IF(Consultas!I31='Parâmetros'!$E$1,-4,12)</f>
        <v>-4</v>
      </c>
      <c r="I31" s="82">
        <f>IF(Consultas!J31='Parâmetros'!$E$1,1,-13)</f>
        <v>1</v>
      </c>
      <c r="J31" s="82">
        <f>IF(Consultas!K31='Parâmetros'!$E$1,2,-5)</f>
        <v>2</v>
      </c>
      <c r="K31" s="82" t="str">
        <f>IF(Consultas!L31='Parâmetros'!$D$1,"SOLIC CONTRATO DE ENTREGA","N/A")</f>
        <v>SOLIC CONTRATO DE ENTREGA</v>
      </c>
      <c r="L31" s="82">
        <f>IF(Consultas!R31='Parâmetros'!$E$1,1,-3)</f>
        <v>1</v>
      </c>
      <c r="M31" s="82">
        <f>IF(Consultas!S31&gt;1,(IF(Consultas!S31='Parâmetros'!$E$1,-3,9)))</f>
        <v>-3</v>
      </c>
      <c r="N31" s="82">
        <f>IF(Consultas!T31="S",23,0)</f>
        <v>0</v>
      </c>
      <c r="O31" s="82">
        <f>IF(Consultas!U31='Parâmetros'!$E$1,-3,3)</f>
        <v>3</v>
      </c>
      <c r="P31" s="82">
        <f>IF(Consultas!V31='Parâmetros'!$E$1,-100,2)</f>
        <v>2</v>
      </c>
      <c r="Q31" s="82">
        <f>IF(Consultas!M31='Parâmetros'!$D$1,2,-9)</f>
        <v>2</v>
      </c>
      <c r="R31" s="82">
        <f>IF(Consultas!N31="RJ",-12,0)</f>
        <v>0</v>
      </c>
      <c r="S31" s="82">
        <f>IF(Consultas!O31="-",-3,IF(Consultas!O31=0,-6,IF(Consultas!O31=5,0,IF(Consultas!O31=10,6))))</f>
        <v>-3</v>
      </c>
      <c r="T31" s="82">
        <f>IF(Consultas!M31="S",0,(IF(Consultas!P31="S",6,0)))</f>
        <v>0</v>
      </c>
      <c r="U31" s="82">
        <f>IF(Consultas!Q31&gt;97,9,IF(Consultas!Q31&gt;75,0,-7))</f>
        <v>9</v>
      </c>
      <c r="V31" s="82">
        <f>IF(Consultas!W31='Parâmetros'!$E$1,1,-5)</f>
        <v>1</v>
      </c>
      <c r="W31" s="82">
        <f>IF(Consultas!X31="S",3,-3)</f>
        <v>3</v>
      </c>
      <c r="X31" s="82">
        <f>IF(Consultas!Y31="S",0,-7)</f>
        <v>0</v>
      </c>
      <c r="Y31" s="82">
        <f>IF(Consultas!Z31='Parâmetros'!$E$1,2,-8)</f>
        <v>2</v>
      </c>
      <c r="Z31" s="82">
        <f>IF(Consultas!AA31='Parâmetros'!$E$1,-15,1)</f>
        <v>1</v>
      </c>
      <c r="AA31" s="147" t="s">
        <v>140</v>
      </c>
      <c r="AB31" s="82">
        <f>IF(E31="NA","NA",IF(E31&gt;'Parâmetros'!$A$9,8,IF(E31&gt;'Parâmetros'!$A$8,4,IF(E31&gt;'Parâmetros'!$A$7,0,-6))))</f>
        <v>4</v>
      </c>
      <c r="AC31" s="82">
        <f>IF(Consultas!AC31='Parâmetros'!$E$1,0,5)</f>
        <v>0</v>
      </c>
      <c r="AD31" s="82">
        <f>IF(Consultas!AH31='Parâmetros'!$D$1,-10,5)</f>
        <v>5</v>
      </c>
      <c r="AE31" s="82">
        <f>IF(Consultas!AI31&gt;(Consultas!F31*2),-10,0)</f>
        <v>0</v>
      </c>
      <c r="AF31" s="82" t="b">
        <f>IF(Consultas!AD31&gt;1,(IF(Consultas!AI31&gt;(Consultas!AD31),-20,4)))</f>
        <v>0</v>
      </c>
      <c r="AG31" s="82">
        <f>IF(Consultas!AG31='Parâmetros'!$E$1,0,-6)</f>
        <v>0</v>
      </c>
      <c r="AH31" s="82">
        <f>IF(Consultas!AF31='Parâmetros'!$E$1,1,-5)</f>
        <v>1</v>
      </c>
      <c r="AI31" s="82">
        <f>IF(Consultas!AJ31&gt;700,8,IF(Consultas!AJ31&gt;500,4,IF(Consultas!AJ31&gt;200,-4,IF(Consultas!AJ31&gt;1,-15,-20))))</f>
        <v>8</v>
      </c>
      <c r="AJ31" s="82">
        <f>IF(Consultas!AD31='Parâmetros'!$E$10,0,IF(Consultas!AD31&gt;'Parâmetros'!$A$30,12,IF(Consultas!AD31&gt;'Parâmetros'!$A$31,6,IF(Consultas!AD31&gt;'Parâmetros'!$A$32,0,IF(Consultas!AD31&gt;'Parâmetros'!$A$33,0,IF(Consultas!AD31&gt;'Parâmetros'!$A$34,-3,IF(Consultas!AD31&gt;'Parâmetros'!$A$35,-7,-1)))))))</f>
        <v>-1</v>
      </c>
      <c r="AK31" s="82">
        <f>IF(Consultas!AO31='Parâmetros'!$D$1,3,-3)</f>
        <v>-3</v>
      </c>
      <c r="AL31" s="82">
        <f>IF(Consultas!AP31='Parâmetros'!$D$1,5,-3)</f>
        <v>-3</v>
      </c>
      <c r="AM31" s="82">
        <f>IF(Consultas!AL31="N",-6,0)</f>
        <v>0</v>
      </c>
      <c r="AN31" s="82">
        <f>IF(Consultas!AM31="N",-10,0)</f>
        <v>0</v>
      </c>
      <c r="AO31" s="82">
        <f>IF(Consultas!AN31="S",4,-2)</f>
        <v>-2</v>
      </c>
      <c r="AP31" s="39"/>
      <c r="AQ31" s="165">
        <f>IF(Consultas!F31&gt;1,(SUM(F31:AO31)),"N/A")</f>
        <v>26</v>
      </c>
      <c r="AR31" s="78">
        <f>IF((Consultas!AD31&gt;'Parâmetros'!$A$31),"X",AJ31+Y31+V31+AC31)</f>
        <v>2</v>
      </c>
      <c r="AS31" s="78">
        <f>IF((Consultas!AD31&gt;'Parâmetros'!$A$31),"X",(H31+I31+J31+Q31+T31+Y31+Z31+AJ31+AN31))</f>
        <v>3</v>
      </c>
      <c r="AT31" s="78" t="str">
        <f>IF((Consultas!AD31&lt;'Parâmetros'!$A$31),"X",(AD31+AC31+AB31))</f>
        <v>X</v>
      </c>
      <c r="AU31" s="78">
        <f t="shared" si="1"/>
        <v>2</v>
      </c>
      <c r="AV31" s="82" t="str">
        <f>IF(AQ31="N/A","N/A",IF(AQ31&gt;5,'Parâmetros'!$A$15,(IF(AU31=AR31,'Parâmetros'!$A$17,IF(AU31=AS31,'Parâmetros'!$A$16,'Parâmetros'!$A$14)))))</f>
        <v>SEM-RISCO</v>
      </c>
      <c r="AW31" s="86" t="str">
        <f>IF(AQ31="N/A","N/A",IF(AV31='Parâmetros'!$A$15,'Parâmetros'!$C$15,(IF(AV31='Parâmetros'!$A$17,'Parâmetros'!$C$17,IF(AV31='Parâmetros'!$A$16,'Parâmetros'!$C$16,IF(AV31='Parâmetros'!$A$14,'Parâmetros'!$C$12))))))</f>
        <v>LIBERADO</v>
      </c>
      <c r="AX31" s="82" t="str">
        <f>IF(Consultas!F31&gt;1,(IF(Consultas!F31&gt;5000,"SOLICITAR PED COMPRA","N/A")))</f>
        <v>SOLICITAR PED COMPRA</v>
      </c>
      <c r="AY31" s="167" t="str">
        <f>IF(AND(Consultas!M31&lt;&gt;"S", Consultas!H31="S"), "CHECAGEM REVERSA", "N/A")</f>
        <v>N/A</v>
      </c>
      <c r="AZ31" s="167" t="str">
        <f>IF(Consultas!U31="N","PRECISA CORRIGIR END DIVERGENTE","N/A")</f>
        <v>N/A</v>
      </c>
    </row>
    <row r="32" ht="12.0" customHeight="1">
      <c r="A32" s="39" t="s">
        <v>90</v>
      </c>
      <c r="B32" s="82">
        <f>Consultas!B32</f>
        <v>194</v>
      </c>
      <c r="C32" s="82" t="str">
        <f>Consultas!D32</f>
        <v>Metalpleno</v>
      </c>
      <c r="D32" s="96" t="str">
        <f>Consultas!E32</f>
        <v>027081</v>
      </c>
      <c r="E32" s="104">
        <f>IF(Consultas!AB32&gt;0,YEAR('Parâmetros'!$B$1)-YEAR(Consultas!AB32),"NA")</f>
        <v>28</v>
      </c>
      <c r="F32" s="82">
        <f>IF(Consultas!F32&gt;'Parâmetros'!$B$2,-8,0)</f>
        <v>0</v>
      </c>
      <c r="G32" s="82">
        <f>IF(Consultas!H32='Parâmetros'!$E$1,100,0)</f>
        <v>0</v>
      </c>
      <c r="H32" s="82">
        <f>IF(Consultas!I32='Parâmetros'!$E$1,-4,12)</f>
        <v>-4</v>
      </c>
      <c r="I32" s="82">
        <f>IF(Consultas!J32='Parâmetros'!$E$1,1,-13)</f>
        <v>1</v>
      </c>
      <c r="J32" s="82">
        <f>IF(Consultas!K32='Parâmetros'!$E$1,2,-5)</f>
        <v>2</v>
      </c>
      <c r="K32" s="82" t="str">
        <f>IF(Consultas!L32='Parâmetros'!$D$1,"SOLIC CONTRATO DE ENTREGA","N/A")</f>
        <v>SOLIC CONTRATO DE ENTREGA</v>
      </c>
      <c r="L32" s="82">
        <f>IF(Consultas!R32='Parâmetros'!$E$1,1,-3)</f>
        <v>1</v>
      </c>
      <c r="M32" s="82">
        <f>IF(Consultas!S32&gt;1,(IF(Consultas!S32='Parâmetros'!$E$1,-3,9)))</f>
        <v>9</v>
      </c>
      <c r="N32" s="82">
        <f>IF(Consultas!T32="S",23,0)</f>
        <v>0</v>
      </c>
      <c r="O32" s="82">
        <f>IF(Consultas!U32='Parâmetros'!$E$1,-3,3)</f>
        <v>3</v>
      </c>
      <c r="P32" s="82">
        <f>IF(Consultas!V32='Parâmetros'!$E$1,-100,2)</f>
        <v>2</v>
      </c>
      <c r="Q32" s="82">
        <f>IF(Consultas!M32='Parâmetros'!$D$1,2,-9)</f>
        <v>-9</v>
      </c>
      <c r="R32" s="82">
        <f>IF(Consultas!N32="RJ",-12,0)</f>
        <v>0</v>
      </c>
      <c r="S32" s="82">
        <f>IF(Consultas!O32="-",-3,IF(Consultas!O32=0,-6,IF(Consultas!O32=5,0,IF(Consultas!O32=10,6))))</f>
        <v>-6</v>
      </c>
      <c r="T32" s="82">
        <f>IF(Consultas!M32="S",0,(IF(Consultas!P32="S",6,0)))</f>
        <v>6</v>
      </c>
      <c r="U32" s="82">
        <f>IF(Consultas!Q32&gt;97,9,IF(Consultas!Q32&gt;75,0,-7))</f>
        <v>9</v>
      </c>
      <c r="V32" s="82">
        <f>IF(Consultas!W32='Parâmetros'!$E$1,1,-5)</f>
        <v>1</v>
      </c>
      <c r="W32" s="82">
        <f>IF(Consultas!X32="S",3,-3)</f>
        <v>3</v>
      </c>
      <c r="X32" s="82">
        <f>IF(Consultas!Y32="S",0,-7)</f>
        <v>0</v>
      </c>
      <c r="Y32" s="82">
        <f>IF(Consultas!Z32='Parâmetros'!$E$1,2,-8)</f>
        <v>2</v>
      </c>
      <c r="Z32" s="82">
        <f>IF(Consultas!AA32='Parâmetros'!$E$1,-15,1)</f>
        <v>1</v>
      </c>
      <c r="AA32" s="147" t="s">
        <v>140</v>
      </c>
      <c r="AB32" s="82">
        <f>IF(E32="NA","NA",IF(E32&gt;'Parâmetros'!$A$9,8,IF(E32&gt;'Parâmetros'!$A$8,4,IF(E32&gt;'Parâmetros'!$A$7,0,-6))))</f>
        <v>4</v>
      </c>
      <c r="AC32" s="82">
        <f>IF(Consultas!AC32='Parâmetros'!$E$1,0,5)</f>
        <v>5</v>
      </c>
      <c r="AD32" s="82">
        <f>IF(Consultas!AH32='Parâmetros'!$D$1,-10,5)</f>
        <v>-10</v>
      </c>
      <c r="AE32" s="82">
        <f>IF(Consultas!AI32&gt;(Consultas!F32*2),-10,0)</f>
        <v>-10</v>
      </c>
      <c r="AF32" s="82">
        <f>IF(Consultas!AD32&gt;1,(IF(Consultas!AI32&gt;(Consultas!AD32),-20,4)))</f>
        <v>4</v>
      </c>
      <c r="AG32" s="82">
        <f>IF(Consultas!AG32='Parâmetros'!$E$1,0,-6)</f>
        <v>0</v>
      </c>
      <c r="AH32" s="82">
        <f>IF(Consultas!AF32='Parâmetros'!$E$1,1,-5)</f>
        <v>-5</v>
      </c>
      <c r="AI32" s="82">
        <f>IF(Consultas!AJ32&gt;700,8,IF(Consultas!AJ32&gt;500,4,IF(Consultas!AJ32&gt;200,-4,IF(Consultas!AJ32&gt;1,-15,-20))))</f>
        <v>4</v>
      </c>
      <c r="AJ32" s="82">
        <f>IF(Consultas!AD32='Parâmetros'!$E$10,0,IF(Consultas!AD32&gt;'Parâmetros'!$A$30,12,IF(Consultas!AD32&gt;'Parâmetros'!$A$31,6,IF(Consultas!AD32&gt;'Parâmetros'!$A$32,0,IF(Consultas!AD32&gt;'Parâmetros'!$A$33,0,IF(Consultas!AD32&gt;'Parâmetros'!$A$34,-3,IF(Consultas!AD32&gt;'Parâmetros'!$A$35,-7,-1)))))))</f>
        <v>12</v>
      </c>
      <c r="AK32" s="82">
        <f>IF(Consultas!AO32='Parâmetros'!$D$1,3,-3)</f>
        <v>-3</v>
      </c>
      <c r="AL32" s="82">
        <f>IF(Consultas!AP32='Parâmetros'!$D$1,5,-3)</f>
        <v>-3</v>
      </c>
      <c r="AM32" s="82">
        <f>IF(Consultas!AL32="N",-6,0)</f>
        <v>0</v>
      </c>
      <c r="AN32" s="82">
        <f>IF(Consultas!AM32="N",-10,0)</f>
        <v>0</v>
      </c>
      <c r="AO32" s="82">
        <f>IF(Consultas!AN32="S",4,-2)</f>
        <v>-2</v>
      </c>
      <c r="AP32" s="39"/>
      <c r="AQ32" s="165">
        <f>IF(Consultas!F32&gt;1,(SUM(F32:AO32)),"N/A")</f>
        <v>17</v>
      </c>
      <c r="AR32" s="78" t="str">
        <f>IF((Consultas!AD32&gt;'Parâmetros'!$A$31),"X",AJ32+Y32+V32+AC32)</f>
        <v>X</v>
      </c>
      <c r="AS32" s="78" t="str">
        <f>IF((Consultas!AD32&gt;'Parâmetros'!$A$31),"X",(H32+I32+J32+Q32+T32+Y32+Z32+AJ32+AN32))</f>
        <v>X</v>
      </c>
      <c r="AT32" s="78">
        <f>IF((Consultas!AD32&lt;'Parâmetros'!$A$31),"X",(AD32+AC32+AB32))</f>
        <v>-1</v>
      </c>
      <c r="AU32" s="78">
        <f t="shared" si="1"/>
        <v>-1</v>
      </c>
      <c r="AV32" s="82" t="str">
        <f>IF(AQ32="N/A","N/A",IF(AQ32&gt;5,'Parâmetros'!$A$15,(IF(AU32=AR32,'Parâmetros'!$A$17,IF(AU32=AS32,'Parâmetros'!$A$16,'Parâmetros'!$A$14)))))</f>
        <v>SEM-RISCO</v>
      </c>
      <c r="AW32" s="86" t="str">
        <f>IF(AQ32="N/A","N/A",IF(AV32='Parâmetros'!$A$15,'Parâmetros'!$C$15,(IF(AV32='Parâmetros'!$A$17,'Parâmetros'!$C$17,IF(AV32='Parâmetros'!$A$16,'Parâmetros'!$C$16,IF(AV32='Parâmetros'!$A$14,'Parâmetros'!$C$12))))))</f>
        <v>LIBERADO</v>
      </c>
      <c r="AX32" s="82" t="str">
        <f>IF(Consultas!F32&gt;1,(IF(Consultas!F32&gt;5000,"SOLICITAR PED COMPRA","N/A")))</f>
        <v>N/A</v>
      </c>
      <c r="AY32" s="167" t="str">
        <f>IF(AND(Consultas!M32&lt;&gt;"S", Consultas!H32="S"), "CHECAGEM REVERSA", "N/A")</f>
        <v>CHECAGEM REVERSA</v>
      </c>
      <c r="AZ32" s="167" t="str">
        <f>IF(Consultas!U32="N","PRECISA CORRIGIR END DIVERGENTE","N/A")</f>
        <v>N/A</v>
      </c>
    </row>
    <row r="33" ht="12.0" customHeight="1">
      <c r="A33" s="39" t="s">
        <v>90</v>
      </c>
      <c r="B33" s="82">
        <f>Consultas!B33</f>
        <v>507</v>
      </c>
      <c r="C33" s="82" t="str">
        <f>Consultas!D33</f>
        <v>Oaco</v>
      </c>
      <c r="D33" s="96" t="str">
        <f>Consultas!E33</f>
        <v>143764</v>
      </c>
      <c r="E33" s="104">
        <f>IF(Consultas!AB33&gt;0,YEAR('Parâmetros'!$B$1)-YEAR(Consultas!AB33),"NA")</f>
        <v>43</v>
      </c>
      <c r="F33" s="82">
        <f>IF(Consultas!F33&gt;'Parâmetros'!$B$2,-8,0)</f>
        <v>0</v>
      </c>
      <c r="G33" s="82">
        <f>IF(Consultas!H33='Parâmetros'!$E$1,100,0)</f>
        <v>0</v>
      </c>
      <c r="H33" s="82">
        <f>IF(Consultas!I33='Parâmetros'!$E$1,-4,12)</f>
        <v>-4</v>
      </c>
      <c r="I33" s="82">
        <f>IF(Consultas!J33='Parâmetros'!$E$1,1,-13)</f>
        <v>1</v>
      </c>
      <c r="J33" s="82">
        <f>IF(Consultas!K33='Parâmetros'!$E$1,2,-5)</f>
        <v>2</v>
      </c>
      <c r="K33" s="82" t="str">
        <f>IF(Consultas!L33='Parâmetros'!$D$1,"SOLIC CONTRATO DE ENTREGA","N/A")</f>
        <v>SOLIC CONTRATO DE ENTREGA</v>
      </c>
      <c r="L33" s="82">
        <f>IF(Consultas!R33='Parâmetros'!$E$1,1,-3)</f>
        <v>1</v>
      </c>
      <c r="M33" s="82">
        <f>IF(Consultas!S33&gt;1,(IF(Consultas!S33='Parâmetros'!$E$1,-3,9)))</f>
        <v>9</v>
      </c>
      <c r="N33" s="82">
        <f>IF(Consultas!T33="S",23,0)</f>
        <v>0</v>
      </c>
      <c r="O33" s="82">
        <f>IF(Consultas!U33='Parâmetros'!$E$1,-3,3)</f>
        <v>3</v>
      </c>
      <c r="P33" s="82">
        <f>IF(Consultas!V33='Parâmetros'!$E$1,-100,2)</f>
        <v>2</v>
      </c>
      <c r="Q33" s="82">
        <f>IF(Consultas!M33='Parâmetros'!$D$1,2,-9)</f>
        <v>2</v>
      </c>
      <c r="R33" s="82">
        <f>IF(Consultas!N33="RJ",-12,0)</f>
        <v>0</v>
      </c>
      <c r="S33" s="82">
        <f>IF(Consultas!O33="-",-3,IF(Consultas!O33=0,-6,IF(Consultas!O33=5,0,IF(Consultas!O33=10,6))))</f>
        <v>-3</v>
      </c>
      <c r="T33" s="82">
        <f>IF(Consultas!M33="S",0,(IF(Consultas!P33="S",6,0)))</f>
        <v>0</v>
      </c>
      <c r="U33" s="82">
        <f>IF(Consultas!Q33&gt;97,9,IF(Consultas!Q33&gt;75,0,-7))</f>
        <v>9</v>
      </c>
      <c r="V33" s="82">
        <f>IF(Consultas!W33='Parâmetros'!$E$1,1,-5)</f>
        <v>-5</v>
      </c>
      <c r="W33" s="82">
        <f>IF(Consultas!X33="S",3,-3)</f>
        <v>3</v>
      </c>
      <c r="X33" s="82">
        <f>IF(Consultas!Y33="S",0,-7)</f>
        <v>0</v>
      </c>
      <c r="Y33" s="82">
        <f>IF(Consultas!Z33='Parâmetros'!$E$1,2,-8)</f>
        <v>2</v>
      </c>
      <c r="Z33" s="82">
        <f>IF(Consultas!AA33='Parâmetros'!$E$1,-15,1)</f>
        <v>1</v>
      </c>
      <c r="AA33" s="147" t="s">
        <v>140</v>
      </c>
      <c r="AB33" s="82">
        <f>IF(E33="NA","NA",IF(E33&gt;'Parâmetros'!$A$9,8,IF(E33&gt;'Parâmetros'!$A$8,4,IF(E33&gt;'Parâmetros'!$A$7,0,-6))))</f>
        <v>8</v>
      </c>
      <c r="AC33" s="82">
        <f>IF(Consultas!AC33='Parâmetros'!$E$1,0,5)</f>
        <v>0</v>
      </c>
      <c r="AD33" s="82">
        <f>IF(Consultas!AH33='Parâmetros'!$D$1,-10,5)</f>
        <v>5</v>
      </c>
      <c r="AE33" s="82">
        <f>IF(Consultas!AI33&gt;(Consultas!F33*2),-10,0)</f>
        <v>0</v>
      </c>
      <c r="AF33" s="82" t="b">
        <f>IF(Consultas!AD33&gt;1,(IF(Consultas!AI33&gt;(Consultas!AD33),-20,4)))</f>
        <v>0</v>
      </c>
      <c r="AG33" s="82">
        <f>IF(Consultas!AG33='Parâmetros'!$E$1,0,-6)</f>
        <v>0</v>
      </c>
      <c r="AH33" s="82">
        <f>IF(Consultas!AF33='Parâmetros'!$E$1,1,-5)</f>
        <v>1</v>
      </c>
      <c r="AI33" s="82">
        <f>IF(Consultas!AJ33&gt;700,8,IF(Consultas!AJ33&gt;500,4,IF(Consultas!AJ33&gt;200,-4,IF(Consultas!AJ33&gt;1,-15,-20))))</f>
        <v>4</v>
      </c>
      <c r="AJ33" s="82">
        <f>IF(Consultas!AD33='Parâmetros'!$E$10,0,IF(Consultas!AD33&gt;'Parâmetros'!$A$30,12,IF(Consultas!AD33&gt;'Parâmetros'!$A$31,6,IF(Consultas!AD33&gt;'Parâmetros'!$A$32,0,IF(Consultas!AD33&gt;'Parâmetros'!$A$33,0,IF(Consultas!AD33&gt;'Parâmetros'!$A$34,-3,IF(Consultas!AD33&gt;'Parâmetros'!$A$35,-7,-1)))))))</f>
        <v>-1</v>
      </c>
      <c r="AK33" s="82">
        <f>IF(Consultas!AO33='Parâmetros'!$D$1,3,-3)</f>
        <v>-3</v>
      </c>
      <c r="AL33" s="82">
        <f>IF(Consultas!AP33='Parâmetros'!$D$1,5,-3)</f>
        <v>-3</v>
      </c>
      <c r="AM33" s="82">
        <f>IF(Consultas!AL33="N",-6,0)</f>
        <v>0</v>
      </c>
      <c r="AN33" s="82">
        <f>IF(Consultas!AM33="N",-10,0)</f>
        <v>0</v>
      </c>
      <c r="AO33" s="82">
        <f>IF(Consultas!AN33="S",4,-2)</f>
        <v>-2</v>
      </c>
      <c r="AP33" s="39"/>
      <c r="AQ33" s="165">
        <f>IF(Consultas!F33&gt;1,(SUM(F33:AO33)),"N/A")</f>
        <v>32</v>
      </c>
      <c r="AR33" s="78">
        <f>IF((Consultas!AD33&gt;'Parâmetros'!$A$31),"X",AJ33+Y33+V33+AC33)</f>
        <v>-4</v>
      </c>
      <c r="AS33" s="78">
        <f>IF((Consultas!AD33&gt;'Parâmetros'!$A$31),"X",(H33+I33+J33+Q33+T33+Y33+Z33+AJ33+AN33))</f>
        <v>3</v>
      </c>
      <c r="AT33" s="78" t="str">
        <f>IF((Consultas!AD33&lt;'Parâmetros'!$A$31),"X",(AD33+AC33+AB33))</f>
        <v>X</v>
      </c>
      <c r="AU33" s="78">
        <f t="shared" si="1"/>
        <v>-4</v>
      </c>
      <c r="AV33" s="82" t="str">
        <f>IF(AQ33="N/A","N/A",IF(AQ33&gt;5,'Parâmetros'!$A$15,(IF(AU33=AR33,'Parâmetros'!$A$17,IF(AU33=AS33,'Parâmetros'!$A$16,'Parâmetros'!$A$14)))))</f>
        <v>SEM-RISCO</v>
      </c>
      <c r="AW33" s="86" t="str">
        <f>IF(AQ33="N/A","N/A",IF(AV33='Parâmetros'!$A$15,'Parâmetros'!$C$15,(IF(AV33='Parâmetros'!$A$17,'Parâmetros'!$C$17,IF(AV33='Parâmetros'!$A$16,'Parâmetros'!$C$16,IF(AV33='Parâmetros'!$A$14,'Parâmetros'!$C$12))))))</f>
        <v>LIBERADO</v>
      </c>
      <c r="AX33" s="82" t="str">
        <f>IF(Consultas!F33&gt;1,(IF(Consultas!F33&gt;5000,"SOLICITAR PED COMPRA","N/A")))</f>
        <v>N/A</v>
      </c>
      <c r="AY33" s="167" t="str">
        <f>IF(AND(Consultas!M33&lt;&gt;"S", Consultas!H33="S"), "CHECAGEM REVERSA", "N/A")</f>
        <v>N/A</v>
      </c>
      <c r="AZ33" s="167" t="str">
        <f>IF(Consultas!U33="N","PRECISA CORRIGIR END DIVERGENTE","N/A")</f>
        <v>N/A</v>
      </c>
    </row>
    <row r="34" ht="12.0" customHeight="1">
      <c r="A34" s="39" t="s">
        <v>90</v>
      </c>
      <c r="B34" s="82">
        <f>Consultas!B34</f>
        <v>511</v>
      </c>
      <c r="C34" s="82" t="str">
        <f>Consultas!D34</f>
        <v>Oaco</v>
      </c>
      <c r="D34" s="96" t="str">
        <f>Consultas!E34</f>
        <v>144527</v>
      </c>
      <c r="E34" s="104">
        <f>IF(Consultas!AB34&gt;0,YEAR('Parâmetros'!$B$1)-YEAR(Consultas!AB34),"NA")</f>
        <v>55</v>
      </c>
      <c r="F34" s="82">
        <f>IF(Consultas!F34&gt;'Parâmetros'!$B$2,-8,0)</f>
        <v>0</v>
      </c>
      <c r="G34" s="82">
        <f>IF(Consultas!H34='Parâmetros'!$E$1,100,0)</f>
        <v>0</v>
      </c>
      <c r="H34" s="82">
        <f>IF(Consultas!I34='Parâmetros'!$E$1,-4,12)</f>
        <v>-4</v>
      </c>
      <c r="I34" s="82">
        <f>IF(Consultas!J34='Parâmetros'!$E$1,1,-13)</f>
        <v>1</v>
      </c>
      <c r="J34" s="82">
        <f>IF(Consultas!K34='Parâmetros'!$E$1,2,-5)</f>
        <v>2</v>
      </c>
      <c r="K34" s="82" t="str">
        <f>IF(Consultas!L34='Parâmetros'!$D$1,"SOLIC CONTRATO DE ENTREGA","N/A")</f>
        <v>SOLIC CONTRATO DE ENTREGA</v>
      </c>
      <c r="L34" s="82">
        <f>IF(Consultas!R34='Parâmetros'!$E$1,1,-3)</f>
        <v>1</v>
      </c>
      <c r="M34" s="82">
        <f>IF(Consultas!S34&gt;1,(IF(Consultas!S34='Parâmetros'!$E$1,-3,9)))</f>
        <v>-3</v>
      </c>
      <c r="N34" s="82">
        <f>IF(Consultas!T34="S",23,0)</f>
        <v>0</v>
      </c>
      <c r="O34" s="82">
        <f>IF(Consultas!U34='Parâmetros'!$E$1,-3,3)</f>
        <v>3</v>
      </c>
      <c r="P34" s="82">
        <f>IF(Consultas!V34='Parâmetros'!$E$1,-100,2)</f>
        <v>2</v>
      </c>
      <c r="Q34" s="82">
        <f>IF(Consultas!M34='Parâmetros'!$D$1,2,-9)</f>
        <v>2</v>
      </c>
      <c r="R34" s="82">
        <f>IF(Consultas!N34="RJ",-12,0)</f>
        <v>-12</v>
      </c>
      <c r="S34" s="82">
        <f>IF(Consultas!O34="-",-3,IF(Consultas!O34=0,-6,IF(Consultas!O34=5,0,IF(Consultas!O34=10,6))))</f>
        <v>0</v>
      </c>
      <c r="T34" s="82">
        <f>IF(Consultas!M34="S",0,(IF(Consultas!P34="S",6,0)))</f>
        <v>0</v>
      </c>
      <c r="U34" s="82">
        <f>IF(Consultas!Q34&gt;97,9,IF(Consultas!Q34&gt;75,0,-7))</f>
        <v>9</v>
      </c>
      <c r="V34" s="82">
        <f>IF(Consultas!W34='Parâmetros'!$E$1,1,-5)</f>
        <v>1</v>
      </c>
      <c r="W34" s="82">
        <f>IF(Consultas!X34="S",3,-3)</f>
        <v>3</v>
      </c>
      <c r="X34" s="82">
        <f>IF(Consultas!Y34="S",0,-7)</f>
        <v>0</v>
      </c>
      <c r="Y34" s="82">
        <f>IF(Consultas!Z34='Parâmetros'!$E$1,2,-8)</f>
        <v>2</v>
      </c>
      <c r="Z34" s="82">
        <f>IF(Consultas!AA34='Parâmetros'!$E$1,-15,1)</f>
        <v>1</v>
      </c>
      <c r="AA34" s="147" t="s">
        <v>140</v>
      </c>
      <c r="AB34" s="82">
        <f>IF(E34="NA","NA",IF(E34&gt;'Parâmetros'!$A$9,8,IF(E34&gt;'Parâmetros'!$A$8,4,IF(E34&gt;'Parâmetros'!$A$7,0,-6))))</f>
        <v>8</v>
      </c>
      <c r="AC34" s="82">
        <f>IF(Consultas!AC34='Parâmetros'!$E$1,0,5)</f>
        <v>0</v>
      </c>
      <c r="AD34" s="82">
        <f>IF(Consultas!AH34='Parâmetros'!$D$1,-10,5)</f>
        <v>-10</v>
      </c>
      <c r="AE34" s="82">
        <f>IF(Consultas!AI34&gt;(Consultas!F34*2),-10,0)</f>
        <v>-10</v>
      </c>
      <c r="AF34" s="82">
        <f>IF(Consultas!AD34&gt;1,(IF(Consultas!AI34&gt;(Consultas!AD34),-20,4)))</f>
        <v>4</v>
      </c>
      <c r="AG34" s="82">
        <f>IF(Consultas!AG34='Parâmetros'!$E$1,0,-6)</f>
        <v>0</v>
      </c>
      <c r="AH34" s="82">
        <f>IF(Consultas!AF34='Parâmetros'!$E$1,1,-5)</f>
        <v>-5</v>
      </c>
      <c r="AI34" s="82">
        <f>IF(Consultas!AJ34&gt;700,8,IF(Consultas!AJ34&gt;500,4,IF(Consultas!AJ34&gt;200,-4,IF(Consultas!AJ34&gt;1,-15,-20))))</f>
        <v>8</v>
      </c>
      <c r="AJ34" s="82">
        <f>IF(Consultas!AD34='Parâmetros'!$E$10,0,IF(Consultas!AD34&gt;'Parâmetros'!$A$30,12,IF(Consultas!AD34&gt;'Parâmetros'!$A$31,6,IF(Consultas!AD34&gt;'Parâmetros'!$A$32,0,IF(Consultas!AD34&gt;'Parâmetros'!$A$33,0,IF(Consultas!AD34&gt;'Parâmetros'!$A$34,-3,IF(Consultas!AD34&gt;'Parâmetros'!$A$35,-7,-1)))))))</f>
        <v>12</v>
      </c>
      <c r="AK34" s="82">
        <f>IF(Consultas!AO34='Parâmetros'!$D$1,3,-3)</f>
        <v>-3</v>
      </c>
      <c r="AL34" s="82">
        <f>IF(Consultas!AP34='Parâmetros'!$D$1,5,-3)</f>
        <v>-3</v>
      </c>
      <c r="AM34" s="82">
        <f>IF(Consultas!AL34="N",-6,0)</f>
        <v>0</v>
      </c>
      <c r="AN34" s="82">
        <f>IF(Consultas!AM34="N",-10,0)</f>
        <v>0</v>
      </c>
      <c r="AO34" s="82">
        <f>IF(Consultas!AN34="S",4,-2)</f>
        <v>-2</v>
      </c>
      <c r="AP34" s="39"/>
      <c r="AQ34" s="165">
        <f>IF(Consultas!F34&gt;1,(SUM(F34:AO34)),"N/A")</f>
        <v>7</v>
      </c>
      <c r="AR34" s="78" t="str">
        <f>IF((Consultas!AD34&gt;'Parâmetros'!$A$31),"X",AJ34+Y34+V34+AC34)</f>
        <v>X</v>
      </c>
      <c r="AS34" s="78" t="str">
        <f>IF((Consultas!AD34&gt;'Parâmetros'!$A$31),"X",(H34+I34+J34+Q34+T34+Y34+Z34+AJ34+AN34))</f>
        <v>X</v>
      </c>
      <c r="AT34" s="78">
        <f>IF((Consultas!AD34&lt;'Parâmetros'!$A$31),"X",(AD34+AC34+AB34))</f>
        <v>-2</v>
      </c>
      <c r="AU34" s="78">
        <f t="shared" si="1"/>
        <v>-2</v>
      </c>
      <c r="AV34" s="82" t="str">
        <f>IF(AQ34="N/A","N/A",IF(AQ34&gt;5,'Parâmetros'!$A$15,(IF(AU34=AR34,'Parâmetros'!$A$17,IF(AU34=AS34,'Parâmetros'!$A$16,'Parâmetros'!$A$14)))))</f>
        <v>SEM-RISCO</v>
      </c>
      <c r="AW34" s="86" t="str">
        <f>IF(AQ34="N/A","N/A",IF(AV34='Parâmetros'!$A$15,'Parâmetros'!$C$15,(IF(AV34='Parâmetros'!$A$17,'Parâmetros'!$C$17,IF(AV34='Parâmetros'!$A$16,'Parâmetros'!$C$16,IF(AV34='Parâmetros'!$A$14,'Parâmetros'!$C$12))))))</f>
        <v>LIBERADO</v>
      </c>
      <c r="AX34" s="82" t="str">
        <f>IF(Consultas!F34&gt;1,(IF(Consultas!F34&gt;5000,"SOLICITAR PED COMPRA","N/A")))</f>
        <v>N/A</v>
      </c>
      <c r="AY34" s="167" t="str">
        <f>IF(AND(Consultas!M34&lt;&gt;"S", Consultas!H34="S"), "CHECAGEM REVERSA", "N/A")</f>
        <v>N/A</v>
      </c>
      <c r="AZ34" s="167" t="str">
        <f>IF(Consultas!U34="N","PRECISA CORRIGIR END DIVERGENTE","N/A")</f>
        <v>N/A</v>
      </c>
    </row>
    <row r="35" ht="12.0" customHeight="1">
      <c r="A35" s="39" t="s">
        <v>90</v>
      </c>
      <c r="B35" s="82">
        <f>Consultas!B35</f>
        <v>210</v>
      </c>
      <c r="C35" s="82" t="str">
        <f>Consultas!D35</f>
        <v>Metalpleno</v>
      </c>
      <c r="D35" s="96" t="str">
        <f>Consultas!E35</f>
        <v>144552</v>
      </c>
      <c r="E35" s="104">
        <f>IF(Consultas!AB35&gt;0,YEAR('Parâmetros'!$B$1)-YEAR(Consultas!AB35),"NA")</f>
        <v>19</v>
      </c>
      <c r="F35" s="82">
        <f>IF(Consultas!F35&gt;'Parâmetros'!$B$2,-8,0)</f>
        <v>0</v>
      </c>
      <c r="G35" s="82">
        <f>IF(Consultas!H35='Parâmetros'!$E$1,100,0)</f>
        <v>0</v>
      </c>
      <c r="H35" s="82">
        <f>IF(Consultas!I35='Parâmetros'!$E$1,-4,12)</f>
        <v>-4</v>
      </c>
      <c r="I35" s="82">
        <f>IF(Consultas!J35='Parâmetros'!$E$1,1,-13)</f>
        <v>1</v>
      </c>
      <c r="J35" s="82">
        <f>IF(Consultas!K35='Parâmetros'!$E$1,2,-5)</f>
        <v>2</v>
      </c>
      <c r="K35" s="82" t="str">
        <f>IF(Consultas!L35='Parâmetros'!$D$1,"SOLIC CONTRATO DE ENTREGA","N/A")</f>
        <v>SOLIC CONTRATO DE ENTREGA</v>
      </c>
      <c r="L35" s="82">
        <f>IF(Consultas!R35='Parâmetros'!$E$1,1,-3)</f>
        <v>1</v>
      </c>
      <c r="M35" s="82">
        <f>IF(Consultas!S35&gt;1,(IF(Consultas!S35='Parâmetros'!$E$1,-3,9)))</f>
        <v>-3</v>
      </c>
      <c r="N35" s="82">
        <f>IF(Consultas!T35="S",23,0)</f>
        <v>0</v>
      </c>
      <c r="O35" s="82">
        <f>IF(Consultas!U35='Parâmetros'!$E$1,-3,3)</f>
        <v>3</v>
      </c>
      <c r="P35" s="82">
        <f>IF(Consultas!V35='Parâmetros'!$E$1,-100,2)</f>
        <v>2</v>
      </c>
      <c r="Q35" s="82">
        <f>IF(Consultas!M35='Parâmetros'!$D$1,2,-9)</f>
        <v>2</v>
      </c>
      <c r="R35" s="82">
        <f>IF(Consultas!N35="RJ",-12,0)</f>
        <v>0</v>
      </c>
      <c r="S35" s="82">
        <f>IF(Consultas!O35="-",-3,IF(Consultas!O35=0,-6,IF(Consultas!O35=5,0,IF(Consultas!O35=10,6))))</f>
        <v>0</v>
      </c>
      <c r="T35" s="82">
        <f>IF(Consultas!M35="S",0,(IF(Consultas!P35="S",6,0)))</f>
        <v>0</v>
      </c>
      <c r="U35" s="82">
        <f>IF(Consultas!Q35&gt;97,9,IF(Consultas!Q35&gt;75,0,-7))</f>
        <v>9</v>
      </c>
      <c r="V35" s="82">
        <f>IF(Consultas!W35='Parâmetros'!$E$1,1,-5)</f>
        <v>1</v>
      </c>
      <c r="W35" s="82">
        <f>IF(Consultas!X35="S",3,-3)</f>
        <v>3</v>
      </c>
      <c r="X35" s="82">
        <f>IF(Consultas!Y35="S",0,-7)</f>
        <v>-7</v>
      </c>
      <c r="Y35" s="82">
        <f>IF(Consultas!Z35='Parâmetros'!$E$1,2,-8)</f>
        <v>2</v>
      </c>
      <c r="Z35" s="82">
        <f>IF(Consultas!AA35='Parâmetros'!$E$1,-15,1)</f>
        <v>1</v>
      </c>
      <c r="AA35" s="147" t="s">
        <v>140</v>
      </c>
      <c r="AB35" s="82">
        <f>IF(E35="NA","NA",IF(E35&gt;'Parâmetros'!$A$9,8,IF(E35&gt;'Parâmetros'!$A$8,4,IF(E35&gt;'Parâmetros'!$A$7,0,-6))))</f>
        <v>4</v>
      </c>
      <c r="AC35" s="82">
        <f>IF(Consultas!AC35='Parâmetros'!$E$1,0,5)</f>
        <v>0</v>
      </c>
      <c r="AD35" s="82">
        <f>IF(Consultas!AH35='Parâmetros'!$D$1,-10,5)</f>
        <v>5</v>
      </c>
      <c r="AE35" s="82">
        <f>IF(Consultas!AI35&gt;(Consultas!F35*2),-10,0)</f>
        <v>0</v>
      </c>
      <c r="AF35" s="82">
        <f>IF(Consultas!AD35&gt;1,(IF(Consultas!AI35&gt;(Consultas!AD35),-20,4)))</f>
        <v>4</v>
      </c>
      <c r="AG35" s="82">
        <f>IF(Consultas!AG35='Parâmetros'!$E$1,0,-6)</f>
        <v>0</v>
      </c>
      <c r="AH35" s="82">
        <f>IF(Consultas!AF35='Parâmetros'!$E$1,1,-5)</f>
        <v>1</v>
      </c>
      <c r="AI35" s="82">
        <f>IF(Consultas!AJ35&gt;700,8,IF(Consultas!AJ35&gt;500,4,IF(Consultas!AJ35&gt;200,-4,IF(Consultas!AJ35&gt;1,-15,-20))))</f>
        <v>8</v>
      </c>
      <c r="AJ35" s="82">
        <f>IF(Consultas!AD35='Parâmetros'!$E$10,0,IF(Consultas!AD35&gt;'Parâmetros'!$A$30,12,IF(Consultas!AD35&gt;'Parâmetros'!$A$31,6,IF(Consultas!AD35&gt;'Parâmetros'!$A$32,0,IF(Consultas!AD35&gt;'Parâmetros'!$A$33,0,IF(Consultas!AD35&gt;'Parâmetros'!$A$34,-3,IF(Consultas!AD35&gt;'Parâmetros'!$A$35,-7,-1)))))))</f>
        <v>12</v>
      </c>
      <c r="AK35" s="82">
        <f>IF(Consultas!AO35='Parâmetros'!$D$1,3,-3)</f>
        <v>-3</v>
      </c>
      <c r="AL35" s="82">
        <f>IF(Consultas!AP35='Parâmetros'!$D$1,5,-3)</f>
        <v>-3</v>
      </c>
      <c r="AM35" s="82">
        <f>IF(Consultas!AL35="N",-6,0)</f>
        <v>0</v>
      </c>
      <c r="AN35" s="82">
        <f>IF(Consultas!AM35="N",-10,0)</f>
        <v>0</v>
      </c>
      <c r="AO35" s="82">
        <f>IF(Consultas!AN35="S",4,-2)</f>
        <v>-2</v>
      </c>
      <c r="AP35" s="39"/>
      <c r="AQ35" s="165">
        <f>IF(Consultas!F35&gt;1,(SUM(F35:AO35)),"N/A")</f>
        <v>39</v>
      </c>
      <c r="AR35" s="78" t="str">
        <f>IF((Consultas!AD35&gt;'Parâmetros'!$A$31),"X",AJ35+Y35+V35+AC35)</f>
        <v>X</v>
      </c>
      <c r="AS35" s="78" t="str">
        <f>IF((Consultas!AD35&gt;'Parâmetros'!$A$31),"X",(H35+I35+J35+Q35+T35+Y35+Z35+AJ35+AN35))</f>
        <v>X</v>
      </c>
      <c r="AT35" s="78">
        <f>IF((Consultas!AD35&lt;'Parâmetros'!$A$31),"X",(AD35+AC35+AB35))</f>
        <v>9</v>
      </c>
      <c r="AU35" s="78">
        <f t="shared" si="1"/>
        <v>9</v>
      </c>
      <c r="AV35" s="82" t="str">
        <f>IF(AQ35="N/A","N/A",IF(AQ35&gt;5,'Parâmetros'!$A$15,(IF(AU35=AR35,'Parâmetros'!$A$17,IF(AU35=AS35,'Parâmetros'!$A$16,'Parâmetros'!$A$14)))))</f>
        <v>SEM-RISCO</v>
      </c>
      <c r="AW35" s="86" t="str">
        <f>IF(AQ35="N/A","N/A",IF(AV35='Parâmetros'!$A$15,'Parâmetros'!$C$15,(IF(AV35='Parâmetros'!$A$17,'Parâmetros'!$C$17,IF(AV35='Parâmetros'!$A$16,'Parâmetros'!$C$16,IF(AV35='Parâmetros'!$A$14,'Parâmetros'!$C$12))))))</f>
        <v>LIBERADO</v>
      </c>
      <c r="AX35" s="82" t="str">
        <f>IF(Consultas!F35&gt;1,(IF(Consultas!F35&gt;5000,"SOLICITAR PED COMPRA","N/A")))</f>
        <v>SOLICITAR PED COMPRA</v>
      </c>
      <c r="AY35" s="167" t="str">
        <f>IF(AND(Consultas!M35&lt;&gt;"S", Consultas!H35="S"), "CHECAGEM REVERSA", "N/A")</f>
        <v>N/A</v>
      </c>
      <c r="AZ35" s="167" t="str">
        <f>IF(Consultas!U35="N","PRECISA CORRIGIR END DIVERGENTE","N/A")</f>
        <v>N/A</v>
      </c>
    </row>
    <row r="36" ht="12.0" customHeight="1">
      <c r="A36" s="39" t="s">
        <v>90</v>
      </c>
      <c r="B36" s="82">
        <f>Consultas!B36</f>
        <v>211</v>
      </c>
      <c r="C36" s="82" t="str">
        <f>Consultas!D36</f>
        <v>Metalpleno</v>
      </c>
      <c r="D36" s="96" t="str">
        <f>Consultas!E36</f>
        <v>141469</v>
      </c>
      <c r="E36" s="104">
        <f>IF(Consultas!AB36&gt;0,YEAR('Parâmetros'!$B$1)-YEAR(Consultas!AB36),"NA")</f>
        <v>19</v>
      </c>
      <c r="F36" s="82">
        <f>IF(Consultas!F36&gt;'Parâmetros'!$B$2,-8,0)</f>
        <v>0</v>
      </c>
      <c r="G36" s="82">
        <f>IF(Consultas!H36='Parâmetros'!$E$1,100,0)</f>
        <v>0</v>
      </c>
      <c r="H36" s="82">
        <f>IF(Consultas!I36='Parâmetros'!$E$1,-4,12)</f>
        <v>-4</v>
      </c>
      <c r="I36" s="82">
        <f>IF(Consultas!J36='Parâmetros'!$E$1,1,-13)</f>
        <v>1</v>
      </c>
      <c r="J36" s="82">
        <f>IF(Consultas!K36='Parâmetros'!$E$1,2,-5)</f>
        <v>2</v>
      </c>
      <c r="K36" s="82" t="str">
        <f>IF(Consultas!L36='Parâmetros'!$D$1,"SOLIC CONTRATO DE ENTREGA","N/A")</f>
        <v>SOLIC CONTRATO DE ENTREGA</v>
      </c>
      <c r="L36" s="82">
        <f>IF(Consultas!R36='Parâmetros'!$E$1,1,-3)</f>
        <v>1</v>
      </c>
      <c r="M36" s="82">
        <f>IF(Consultas!S36&gt;1,(IF(Consultas!S36='Parâmetros'!$E$1,-3,9)))</f>
        <v>-3</v>
      </c>
      <c r="N36" s="82">
        <f>IF(Consultas!T36="S",23,0)</f>
        <v>0</v>
      </c>
      <c r="O36" s="82">
        <f>IF(Consultas!U36='Parâmetros'!$E$1,-3,3)</f>
        <v>3</v>
      </c>
      <c r="P36" s="82">
        <f>IF(Consultas!V36='Parâmetros'!$E$1,-100,2)</f>
        <v>2</v>
      </c>
      <c r="Q36" s="82">
        <f>IF(Consultas!M36='Parâmetros'!$D$1,2,-9)</f>
        <v>2</v>
      </c>
      <c r="R36" s="82">
        <f>IF(Consultas!N36="RJ",-12,0)</f>
        <v>0</v>
      </c>
      <c r="S36" s="82">
        <f>IF(Consultas!O36="-",-3,IF(Consultas!O36=0,-6,IF(Consultas!O36=5,0,IF(Consultas!O36=10,6))))</f>
        <v>0</v>
      </c>
      <c r="T36" s="82">
        <f>IF(Consultas!M36="S",0,(IF(Consultas!P36="S",6,0)))</f>
        <v>0</v>
      </c>
      <c r="U36" s="82">
        <f>IF(Consultas!Q36&gt;97,9,IF(Consultas!Q36&gt;75,0,-7))</f>
        <v>9</v>
      </c>
      <c r="V36" s="82">
        <f>IF(Consultas!W36='Parâmetros'!$E$1,1,-5)</f>
        <v>1</v>
      </c>
      <c r="W36" s="82">
        <f>IF(Consultas!X36="S",3,-3)</f>
        <v>3</v>
      </c>
      <c r="X36" s="82">
        <f>IF(Consultas!Y36="S",0,-7)</f>
        <v>-7</v>
      </c>
      <c r="Y36" s="82">
        <f>IF(Consultas!Z36='Parâmetros'!$E$1,2,-8)</f>
        <v>2</v>
      </c>
      <c r="Z36" s="82">
        <f>IF(Consultas!AA36='Parâmetros'!$E$1,-15,1)</f>
        <v>1</v>
      </c>
      <c r="AA36" s="147" t="s">
        <v>140</v>
      </c>
      <c r="AB36" s="82">
        <f>IF(E36="NA","NA",IF(E36&gt;'Parâmetros'!$A$9,8,IF(E36&gt;'Parâmetros'!$A$8,4,IF(E36&gt;'Parâmetros'!$A$7,0,-6))))</f>
        <v>4</v>
      </c>
      <c r="AC36" s="82">
        <f>IF(Consultas!AC36='Parâmetros'!$E$1,0,5)</f>
        <v>0</v>
      </c>
      <c r="AD36" s="82">
        <f>IF(Consultas!AH36='Parâmetros'!$D$1,-10,5)</f>
        <v>5</v>
      </c>
      <c r="AE36" s="82">
        <f>IF(Consultas!AI36&gt;(Consultas!F36*2),-10,0)</f>
        <v>0</v>
      </c>
      <c r="AF36" s="82">
        <f>IF(Consultas!AD36&gt;1,(IF(Consultas!AI36&gt;(Consultas!AD36),-20,4)))</f>
        <v>4</v>
      </c>
      <c r="AG36" s="82">
        <f>IF(Consultas!AG36='Parâmetros'!$E$1,0,-6)</f>
        <v>0</v>
      </c>
      <c r="AH36" s="82">
        <f>IF(Consultas!AF36='Parâmetros'!$E$1,1,-5)</f>
        <v>1</v>
      </c>
      <c r="AI36" s="82">
        <f>IF(Consultas!AJ36&gt;700,8,IF(Consultas!AJ36&gt;500,4,IF(Consultas!AJ36&gt;200,-4,IF(Consultas!AJ36&gt;1,-15,-20))))</f>
        <v>8</v>
      </c>
      <c r="AJ36" s="82">
        <f>IF(Consultas!AD36='Parâmetros'!$E$10,0,IF(Consultas!AD36&gt;'Parâmetros'!$A$30,12,IF(Consultas!AD36&gt;'Parâmetros'!$A$31,6,IF(Consultas!AD36&gt;'Parâmetros'!$A$32,0,IF(Consultas!AD36&gt;'Parâmetros'!$A$33,0,IF(Consultas!AD36&gt;'Parâmetros'!$A$34,-3,IF(Consultas!AD36&gt;'Parâmetros'!$A$35,-7,-1)))))))</f>
        <v>12</v>
      </c>
      <c r="AK36" s="82">
        <f>IF(Consultas!AO36='Parâmetros'!$D$1,3,-3)</f>
        <v>-3</v>
      </c>
      <c r="AL36" s="82">
        <f>IF(Consultas!AP36='Parâmetros'!$D$1,5,-3)</f>
        <v>-3</v>
      </c>
      <c r="AM36" s="82">
        <f>IF(Consultas!AL36="N",-6,0)</f>
        <v>0</v>
      </c>
      <c r="AN36" s="82">
        <f>IF(Consultas!AM36="N",-10,0)</f>
        <v>0</v>
      </c>
      <c r="AO36" s="82">
        <f>IF(Consultas!AN36="S",4,-2)</f>
        <v>-2</v>
      </c>
      <c r="AP36" s="39"/>
      <c r="AQ36" s="165">
        <f>IF(Consultas!F36&gt;1,(SUM(F36:AO36)),"N/A")</f>
        <v>39</v>
      </c>
      <c r="AR36" s="78" t="str">
        <f>IF((Consultas!AD36&gt;'Parâmetros'!$A$31),"X",AJ36+Y36+V36+AC36)</f>
        <v>X</v>
      </c>
      <c r="AS36" s="78" t="str">
        <f>IF((Consultas!AD36&gt;'Parâmetros'!$A$31),"X",(H36+I36+J36+Q36+T36+Y36+Z36+AJ36+AN36))</f>
        <v>X</v>
      </c>
      <c r="AT36" s="78">
        <f>IF((Consultas!AD36&lt;'Parâmetros'!$A$31),"X",(AD36+AC36+AB36))</f>
        <v>9</v>
      </c>
      <c r="AU36" s="78">
        <f t="shared" si="1"/>
        <v>9</v>
      </c>
      <c r="AV36" s="82" t="str">
        <f>IF(AQ36="N/A","N/A",IF(AQ36&gt;5,'Parâmetros'!$A$15,(IF(AU36=AR36,'Parâmetros'!$A$17,IF(AU36=AS36,'Parâmetros'!$A$16,'Parâmetros'!$A$14)))))</f>
        <v>SEM-RISCO</v>
      </c>
      <c r="AW36" s="86" t="str">
        <f>IF(AQ36="N/A","N/A",IF(AV36='Parâmetros'!$A$15,'Parâmetros'!$C$15,(IF(AV36='Parâmetros'!$A$17,'Parâmetros'!$C$17,IF(AV36='Parâmetros'!$A$16,'Parâmetros'!$C$16,IF(AV36='Parâmetros'!$A$14,'Parâmetros'!$C$12))))))</f>
        <v>LIBERADO</v>
      </c>
      <c r="AX36" s="82" t="str">
        <f>IF(Consultas!F36&gt;1,(IF(Consultas!F36&gt;5000,"SOLICITAR PED COMPRA","N/A")))</f>
        <v>SOLICITAR PED COMPRA</v>
      </c>
      <c r="AY36" s="167" t="str">
        <f>IF(AND(Consultas!M36&lt;&gt;"S", Consultas!H36="S"), "CHECAGEM REVERSA", "N/A")</f>
        <v>N/A</v>
      </c>
      <c r="AZ36" s="167" t="str">
        <f>IF(Consultas!U36="N","PRECISA CORRIGIR END DIVERGENTE","N/A")</f>
        <v>N/A</v>
      </c>
    </row>
    <row r="37" ht="12.0" customHeight="1">
      <c r="A37" s="39" t="s">
        <v>90</v>
      </c>
      <c r="B37" s="82">
        <f>Consultas!B37</f>
        <v>195</v>
      </c>
      <c r="C37" s="82" t="str">
        <f>Consultas!D37</f>
        <v>Metalpleno</v>
      </c>
      <c r="D37" s="96" t="str">
        <f>Consultas!E37</f>
        <v>144528</v>
      </c>
      <c r="E37" s="104">
        <f>IF(Consultas!AB37&gt;0,YEAR('Parâmetros'!$B$1)-YEAR(Consultas!AB37),"NA")</f>
        <v>45</v>
      </c>
      <c r="F37" s="82">
        <f>IF(Consultas!F37&gt;'Parâmetros'!$B$2,-8,0)</f>
        <v>0</v>
      </c>
      <c r="G37" s="82">
        <f>IF(Consultas!H37='Parâmetros'!$E$1,100,0)</f>
        <v>0</v>
      </c>
      <c r="H37" s="82">
        <f>IF(Consultas!I37='Parâmetros'!$E$1,-4,12)</f>
        <v>-4</v>
      </c>
      <c r="I37" s="82">
        <f>IF(Consultas!J37='Parâmetros'!$E$1,1,-13)</f>
        <v>1</v>
      </c>
      <c r="J37" s="82">
        <f>IF(Consultas!K37='Parâmetros'!$E$1,2,-5)</f>
        <v>2</v>
      </c>
      <c r="K37" s="82" t="str">
        <f>IF(Consultas!L37='Parâmetros'!$D$1,"SOLIC CONTRATO DE ENTREGA","N/A")</f>
        <v>SOLIC CONTRATO DE ENTREGA</v>
      </c>
      <c r="L37" s="82">
        <f>IF(Consultas!R37='Parâmetros'!$E$1,1,-3)</f>
        <v>1</v>
      </c>
      <c r="M37" s="82">
        <f>IF(Consultas!S37&gt;1,(IF(Consultas!S37='Parâmetros'!$E$1,-3,9)))</f>
        <v>-3</v>
      </c>
      <c r="N37" s="82">
        <f>IF(Consultas!T37="S",23,0)</f>
        <v>0</v>
      </c>
      <c r="O37" s="82">
        <f>IF(Consultas!U37='Parâmetros'!$E$1,-3,3)</f>
        <v>3</v>
      </c>
      <c r="P37" s="82">
        <f>IF(Consultas!V37='Parâmetros'!$E$1,-100,2)</f>
        <v>2</v>
      </c>
      <c r="Q37" s="82">
        <f>IF(Consultas!M37='Parâmetros'!$D$1,2,-9)</f>
        <v>2</v>
      </c>
      <c r="R37" s="82">
        <f>IF(Consultas!N37="RJ",-12,0)</f>
        <v>0</v>
      </c>
      <c r="S37" s="82">
        <f>IF(Consultas!O37="-",-3,IF(Consultas!O37=0,-6,IF(Consultas!O37=5,0,IF(Consultas!O37=10,6))))</f>
        <v>0</v>
      </c>
      <c r="T37" s="82">
        <f>IF(Consultas!M37="S",0,(IF(Consultas!P37="S",6,0)))</f>
        <v>0</v>
      </c>
      <c r="U37" s="82">
        <f>IF(Consultas!Q37&gt;97,9,IF(Consultas!Q37&gt;75,0,-7))</f>
        <v>9</v>
      </c>
      <c r="V37" s="82">
        <f>IF(Consultas!W37='Parâmetros'!$E$1,1,-5)</f>
        <v>1</v>
      </c>
      <c r="W37" s="82">
        <f>IF(Consultas!X37="S",3,-3)</f>
        <v>3</v>
      </c>
      <c r="X37" s="82">
        <f>IF(Consultas!Y37="S",0,-7)</f>
        <v>0</v>
      </c>
      <c r="Y37" s="82">
        <f>IF(Consultas!Z37='Parâmetros'!$E$1,2,-8)</f>
        <v>2</v>
      </c>
      <c r="Z37" s="82">
        <f>IF(Consultas!AA37='Parâmetros'!$E$1,-15,1)</f>
        <v>1</v>
      </c>
      <c r="AA37" s="147" t="s">
        <v>140</v>
      </c>
      <c r="AB37" s="82">
        <f>IF(E37="NA","NA",IF(E37&gt;'Parâmetros'!$A$9,8,IF(E37&gt;'Parâmetros'!$A$8,4,IF(E37&gt;'Parâmetros'!$A$7,0,-6))))</f>
        <v>8</v>
      </c>
      <c r="AC37" s="82">
        <f>IF(Consultas!AC37='Parâmetros'!$E$1,0,5)</f>
        <v>0</v>
      </c>
      <c r="AD37" s="82">
        <f>IF(Consultas!AH37='Parâmetros'!$D$1,-10,5)</f>
        <v>5</v>
      </c>
      <c r="AE37" s="82">
        <f>IF(Consultas!AI37&gt;(Consultas!F37*2),-10,0)</f>
        <v>0</v>
      </c>
      <c r="AF37" s="82">
        <f>IF(Consultas!AD37&gt;1,(IF(Consultas!AI37&gt;(Consultas!AD37),-20,4)))</f>
        <v>4</v>
      </c>
      <c r="AG37" s="82">
        <f>IF(Consultas!AG37='Parâmetros'!$E$1,0,-6)</f>
        <v>0</v>
      </c>
      <c r="AH37" s="82">
        <f>IF(Consultas!AF37='Parâmetros'!$E$1,1,-5)</f>
        <v>-5</v>
      </c>
      <c r="AI37" s="82">
        <f>IF(Consultas!AJ37&gt;700,8,IF(Consultas!AJ37&gt;500,4,IF(Consultas!AJ37&gt;200,-4,IF(Consultas!AJ37&gt;1,-15,-20))))</f>
        <v>8</v>
      </c>
      <c r="AJ37" s="82">
        <f>IF(Consultas!AD37='Parâmetros'!$E$10,0,IF(Consultas!AD37&gt;'Parâmetros'!$A$30,12,IF(Consultas!AD37&gt;'Parâmetros'!$A$31,6,IF(Consultas!AD37&gt;'Parâmetros'!$A$32,0,IF(Consultas!AD37&gt;'Parâmetros'!$A$33,0,IF(Consultas!AD37&gt;'Parâmetros'!$A$34,-3,IF(Consultas!AD37&gt;'Parâmetros'!$A$35,-7,-1)))))))</f>
        <v>12</v>
      </c>
      <c r="AK37" s="82">
        <f>IF(Consultas!AO37='Parâmetros'!$D$1,3,-3)</f>
        <v>-3</v>
      </c>
      <c r="AL37" s="82">
        <f>IF(Consultas!AP37='Parâmetros'!$D$1,5,-3)</f>
        <v>-3</v>
      </c>
      <c r="AM37" s="82">
        <f>IF(Consultas!AL37="N",-6,0)</f>
        <v>0</v>
      </c>
      <c r="AN37" s="82">
        <f>IF(Consultas!AM37="N",-10,0)</f>
        <v>0</v>
      </c>
      <c r="AO37" s="82">
        <f>IF(Consultas!AN37="S",4,-2)</f>
        <v>-2</v>
      </c>
      <c r="AP37" s="39"/>
      <c r="AQ37" s="165">
        <f>IF(Consultas!F37&gt;1,(SUM(F37:AO37)),"N/A")</f>
        <v>44</v>
      </c>
      <c r="AR37" s="78" t="str">
        <f>IF((Consultas!AD37&gt;'Parâmetros'!$A$31),"X",AJ37+Y37+V37+AC37)</f>
        <v>X</v>
      </c>
      <c r="AS37" s="78" t="str">
        <f>IF((Consultas!AD37&gt;'Parâmetros'!$A$31),"X",(H37+I37+J37+Q37+T37+Y37+Z37+AJ37+AN37))</f>
        <v>X</v>
      </c>
      <c r="AT37" s="78">
        <f>IF((Consultas!AD37&lt;'Parâmetros'!$A$31),"X",(AD37+AC37+AB37))</f>
        <v>13</v>
      </c>
      <c r="AU37" s="78">
        <f t="shared" si="1"/>
        <v>13</v>
      </c>
      <c r="AV37" s="82" t="str">
        <f>IF(AQ37="N/A","N/A",IF(AQ37&gt;5,'Parâmetros'!$A$15,(IF(AU37=AR37,'Parâmetros'!$A$17,IF(AU37=AS37,'Parâmetros'!$A$16,'Parâmetros'!$A$14)))))</f>
        <v>SEM-RISCO</v>
      </c>
      <c r="AW37" s="86" t="str">
        <f>IF(AQ37="N/A","N/A",IF(AV37='Parâmetros'!$A$15,'Parâmetros'!$C$15,(IF(AV37='Parâmetros'!$A$17,'Parâmetros'!$C$17,IF(AV37='Parâmetros'!$A$16,'Parâmetros'!$C$16,IF(AV37='Parâmetros'!$A$14,'Parâmetros'!$C$12))))))</f>
        <v>LIBERADO</v>
      </c>
      <c r="AX37" s="82" t="str">
        <f>IF(Consultas!F37&gt;1,(IF(Consultas!F37&gt;5000,"SOLICITAR PED COMPRA","N/A")))</f>
        <v>SOLICITAR PED COMPRA</v>
      </c>
      <c r="AY37" s="167" t="str">
        <f>IF(AND(Consultas!M37&lt;&gt;"S", Consultas!H37="S"), "CHECAGEM REVERSA", "N/A")</f>
        <v>N/A</v>
      </c>
      <c r="AZ37" s="167" t="str">
        <f>IF(Consultas!U37="N","PRECISA CORRIGIR END DIVERGENTE","N/A")</f>
        <v>N/A</v>
      </c>
    </row>
    <row r="38" ht="12.0" customHeight="1">
      <c r="A38" s="39" t="s">
        <v>90</v>
      </c>
      <c r="B38" s="82">
        <f>Consultas!B38</f>
        <v>196</v>
      </c>
      <c r="C38" s="82" t="str">
        <f>Consultas!D38</f>
        <v>Metalpleno</v>
      </c>
      <c r="D38" s="96" t="str">
        <f>Consultas!E38</f>
        <v>144306</v>
      </c>
      <c r="E38" s="104">
        <f>IF(Consultas!AB38&gt;0,YEAR('Parâmetros'!$B$1)-YEAR(Consultas!AB38),"NA")</f>
        <v>53</v>
      </c>
      <c r="F38" s="82">
        <f>IF(Consultas!F38&gt;'Parâmetros'!$B$2,-8,0)</f>
        <v>0</v>
      </c>
      <c r="G38" s="82">
        <f>IF(Consultas!H38='Parâmetros'!$E$1,100,0)</f>
        <v>0</v>
      </c>
      <c r="H38" s="82">
        <f>IF(Consultas!I38='Parâmetros'!$E$1,-4,12)</f>
        <v>-4</v>
      </c>
      <c r="I38" s="82">
        <f>IF(Consultas!J38='Parâmetros'!$E$1,1,-13)</f>
        <v>1</v>
      </c>
      <c r="J38" s="82">
        <f>IF(Consultas!K38='Parâmetros'!$E$1,2,-5)</f>
        <v>2</v>
      </c>
      <c r="K38" s="82" t="str">
        <f>IF(Consultas!L38='Parâmetros'!$D$1,"SOLIC CONTRATO DE ENTREGA","N/A")</f>
        <v>SOLIC CONTRATO DE ENTREGA</v>
      </c>
      <c r="L38" s="82">
        <f>IF(Consultas!R38='Parâmetros'!$E$1,1,-3)</f>
        <v>1</v>
      </c>
      <c r="M38" s="82">
        <f>IF(Consultas!S38&gt;1,(IF(Consultas!S38='Parâmetros'!$E$1,-3,9)))</f>
        <v>9</v>
      </c>
      <c r="N38" s="82">
        <f>IF(Consultas!T38="S",23,0)</f>
        <v>23</v>
      </c>
      <c r="O38" s="82">
        <f>IF(Consultas!U38='Parâmetros'!$E$1,-3,3)</f>
        <v>3</v>
      </c>
      <c r="P38" s="82">
        <f>IF(Consultas!V38='Parâmetros'!$E$1,-100,2)</f>
        <v>2</v>
      </c>
      <c r="Q38" s="82">
        <f>IF(Consultas!M38='Parâmetros'!$D$1,2,-9)</f>
        <v>2</v>
      </c>
      <c r="R38" s="82">
        <f>IF(Consultas!N38="RJ",-12,0)</f>
        <v>0</v>
      </c>
      <c r="S38" s="82">
        <f>IF(Consultas!O38="-",-3,IF(Consultas!O38=0,-6,IF(Consultas!O38=5,0,IF(Consultas!O38=10,6))))</f>
        <v>0</v>
      </c>
      <c r="T38" s="82">
        <f>IF(Consultas!M38="S",0,(IF(Consultas!P38="S",6,0)))</f>
        <v>0</v>
      </c>
      <c r="U38" s="82">
        <f>IF(Consultas!Q38&gt;97,9,IF(Consultas!Q38&gt;75,0,-7))</f>
        <v>9</v>
      </c>
      <c r="V38" s="82">
        <f>IF(Consultas!W38='Parâmetros'!$E$1,1,-5)</f>
        <v>1</v>
      </c>
      <c r="W38" s="82">
        <f>IF(Consultas!X38="S",3,-3)</f>
        <v>3</v>
      </c>
      <c r="X38" s="82">
        <f>IF(Consultas!Y38="S",0,-7)</f>
        <v>-7</v>
      </c>
      <c r="Y38" s="82">
        <f>IF(Consultas!Z38='Parâmetros'!$E$1,2,-8)</f>
        <v>2</v>
      </c>
      <c r="Z38" s="82">
        <f>IF(Consultas!AA38='Parâmetros'!$E$1,-15,1)</f>
        <v>1</v>
      </c>
      <c r="AA38" s="147" t="s">
        <v>140</v>
      </c>
      <c r="AB38" s="82">
        <f>IF(E38="NA","NA",IF(E38&gt;'Parâmetros'!$A$9,8,IF(E38&gt;'Parâmetros'!$A$8,4,IF(E38&gt;'Parâmetros'!$A$7,0,-6))))</f>
        <v>8</v>
      </c>
      <c r="AC38" s="82">
        <f>IF(Consultas!AC38='Parâmetros'!$E$1,0,5)</f>
        <v>5</v>
      </c>
      <c r="AD38" s="82">
        <f>IF(Consultas!AH38='Parâmetros'!$D$1,-10,5)</f>
        <v>5</v>
      </c>
      <c r="AE38" s="82">
        <f>IF(Consultas!AI38&gt;(Consultas!F38*2),-10,0)</f>
        <v>0</v>
      </c>
      <c r="AF38" s="82" t="b">
        <f>IF(Consultas!AD38&gt;1,(IF(Consultas!AI38&gt;(Consultas!AD38),-20,4)))</f>
        <v>0</v>
      </c>
      <c r="AG38" s="82">
        <f>IF(Consultas!AG38='Parâmetros'!$E$1,0,-6)</f>
        <v>0</v>
      </c>
      <c r="AH38" s="82">
        <f>IF(Consultas!AF38='Parâmetros'!$E$1,1,-5)</f>
        <v>-5</v>
      </c>
      <c r="AI38" s="82">
        <f>IF(Consultas!AJ38&gt;700,8,IF(Consultas!AJ38&gt;500,4,IF(Consultas!AJ38&gt;200,-4,IF(Consultas!AJ38&gt;1,-15,-20))))</f>
        <v>8</v>
      </c>
      <c r="AJ38" s="82">
        <f>IF(Consultas!AD38='Parâmetros'!$E$10,0,IF(Consultas!AD38&gt;'Parâmetros'!$A$30,12,IF(Consultas!AD38&gt;'Parâmetros'!$A$31,6,IF(Consultas!AD38&gt;'Parâmetros'!$A$32,0,IF(Consultas!AD38&gt;'Parâmetros'!$A$33,0,IF(Consultas!AD38&gt;'Parâmetros'!$A$34,-3,IF(Consultas!AD38&gt;'Parâmetros'!$A$35,-7,-1)))))))</f>
        <v>-1</v>
      </c>
      <c r="AK38" s="82">
        <f>IF(Consultas!AO38='Parâmetros'!$D$1,3,-3)</f>
        <v>-3</v>
      </c>
      <c r="AL38" s="82">
        <f>IF(Consultas!AP38='Parâmetros'!$D$1,5,-3)</f>
        <v>-3</v>
      </c>
      <c r="AM38" s="82">
        <f>IF(Consultas!AL38="N",-6,0)</f>
        <v>0</v>
      </c>
      <c r="AN38" s="82">
        <f>IF(Consultas!AM38="N",-10,0)</f>
        <v>0</v>
      </c>
      <c r="AO38" s="82">
        <f>IF(Consultas!AN38="S",4,-2)</f>
        <v>-2</v>
      </c>
      <c r="AP38" s="39"/>
      <c r="AQ38" s="165">
        <f>IF(Consultas!F38&gt;1,(SUM(F38:AO38)),"N/A")</f>
        <v>60</v>
      </c>
      <c r="AR38" s="78">
        <f>IF((Consultas!AD38&gt;'Parâmetros'!$A$31),"X",AJ38+Y38+V38+AC38)</f>
        <v>7</v>
      </c>
      <c r="AS38" s="78">
        <f>IF((Consultas!AD38&gt;'Parâmetros'!$A$31),"X",(H38+I38+J38+Q38+T38+Y38+Z38+AJ38+AN38))</f>
        <v>3</v>
      </c>
      <c r="AT38" s="78" t="str">
        <f>IF((Consultas!AD38&lt;'Parâmetros'!$A$31),"X",(AD38+AC38+AB38))</f>
        <v>X</v>
      </c>
      <c r="AU38" s="78">
        <f t="shared" si="1"/>
        <v>3</v>
      </c>
      <c r="AV38" s="82" t="str">
        <f>IF(AQ38="N/A","N/A",IF(AQ38&gt;5,'Parâmetros'!$A$15,(IF(AU38=AR38,'Parâmetros'!$A$17,IF(AU38=AS38,'Parâmetros'!$A$16,'Parâmetros'!$A$14)))))</f>
        <v>SEM-RISCO</v>
      </c>
      <c r="AW38" s="86" t="str">
        <f>IF(AQ38="N/A","N/A",IF(AV38='Parâmetros'!$A$15,'Parâmetros'!$C$15,(IF(AV38='Parâmetros'!$A$17,'Parâmetros'!$C$17,IF(AV38='Parâmetros'!$A$16,'Parâmetros'!$C$16,IF(AV38='Parâmetros'!$A$14,'Parâmetros'!$C$12))))))</f>
        <v>LIBERADO</v>
      </c>
      <c r="AX38" s="82" t="str">
        <f>IF(Consultas!F38&gt;1,(IF(Consultas!F38&gt;5000,"SOLICITAR PED COMPRA","N/A")))</f>
        <v>SOLICITAR PED COMPRA</v>
      </c>
      <c r="AY38" s="167" t="str">
        <f>IF(AND(Consultas!M38&lt;&gt;"S", Consultas!H38="S"), "CHECAGEM REVERSA", "N/A")</f>
        <v>N/A</v>
      </c>
      <c r="AZ38" s="167" t="str">
        <f>IF(Consultas!U38="N","PRECISA CORRIGIR END DIVERGENTE","N/A")</f>
        <v>N/A</v>
      </c>
    </row>
    <row r="39" ht="12.0" customHeight="1">
      <c r="A39" s="39" t="s">
        <v>90</v>
      </c>
      <c r="B39" s="82">
        <f>Consultas!B39</f>
        <v>197</v>
      </c>
      <c r="C39" s="82" t="str">
        <f>Consultas!D39</f>
        <v>Metalpleno</v>
      </c>
      <c r="D39" s="96" t="str">
        <f>Consultas!E39</f>
        <v>144199</v>
      </c>
      <c r="E39" s="104">
        <f>IF(Consultas!AB39&gt;0,YEAR('Parâmetros'!$B$1)-YEAR(Consultas!AB39),"NA")</f>
        <v>7</v>
      </c>
      <c r="F39" s="82">
        <f>IF(Consultas!F39&gt;'Parâmetros'!$B$2,-8,0)</f>
        <v>0</v>
      </c>
      <c r="G39" s="82">
        <f>IF(Consultas!H39='Parâmetros'!$E$1,100,0)</f>
        <v>0</v>
      </c>
      <c r="H39" s="82">
        <f>IF(Consultas!I39='Parâmetros'!$E$1,-4,12)</f>
        <v>-4</v>
      </c>
      <c r="I39" s="82">
        <f>IF(Consultas!J39='Parâmetros'!$E$1,1,-13)</f>
        <v>1</v>
      </c>
      <c r="J39" s="82">
        <f>IF(Consultas!K39='Parâmetros'!$E$1,2,-5)</f>
        <v>2</v>
      </c>
      <c r="K39" s="82" t="str">
        <f>IF(Consultas!L39='Parâmetros'!$D$1,"SOLIC CONTRATO DE ENTREGA","N/A")</f>
        <v>SOLIC CONTRATO DE ENTREGA</v>
      </c>
      <c r="L39" s="82">
        <f>IF(Consultas!R39='Parâmetros'!$E$1,1,-3)</f>
        <v>1</v>
      </c>
      <c r="M39" s="82">
        <f>IF(Consultas!S39&gt;1,(IF(Consultas!S39='Parâmetros'!$E$1,-3,9)))</f>
        <v>9</v>
      </c>
      <c r="N39" s="82">
        <f>IF(Consultas!T39="S",23,0)</f>
        <v>0</v>
      </c>
      <c r="O39" s="82">
        <f>IF(Consultas!U39='Parâmetros'!$E$1,-3,3)</f>
        <v>3</v>
      </c>
      <c r="P39" s="82">
        <f>IF(Consultas!V39='Parâmetros'!$E$1,-100,2)</f>
        <v>2</v>
      </c>
      <c r="Q39" s="82">
        <f>IF(Consultas!M39='Parâmetros'!$D$1,2,-9)</f>
        <v>-9</v>
      </c>
      <c r="R39" s="82">
        <f>IF(Consultas!N39="RJ",-12,0)</f>
        <v>0</v>
      </c>
      <c r="S39" s="82">
        <f>IF(Consultas!O39="-",-3,IF(Consultas!O39=0,-6,IF(Consultas!O39=5,0,IF(Consultas!O39=10,6))))</f>
        <v>-6</v>
      </c>
      <c r="T39" s="82">
        <f>IF(Consultas!M39="S",0,(IF(Consultas!P39="S",6,0)))</f>
        <v>6</v>
      </c>
      <c r="U39" s="82">
        <f>IF(Consultas!Q39&gt;97,9,IF(Consultas!Q39&gt;75,0,-7))</f>
        <v>9</v>
      </c>
      <c r="V39" s="82">
        <f>IF(Consultas!W39='Parâmetros'!$E$1,1,-5)</f>
        <v>1</v>
      </c>
      <c r="W39" s="82">
        <f>IF(Consultas!X39="S",3,-3)</f>
        <v>3</v>
      </c>
      <c r="X39" s="82">
        <f>IF(Consultas!Y39="S",0,-7)</f>
        <v>0</v>
      </c>
      <c r="Y39" s="82">
        <f>IF(Consultas!Z39='Parâmetros'!$E$1,2,-8)</f>
        <v>2</v>
      </c>
      <c r="Z39" s="82">
        <f>IF(Consultas!AA39='Parâmetros'!$E$1,-15,1)</f>
        <v>1</v>
      </c>
      <c r="AA39" s="147" t="s">
        <v>140</v>
      </c>
      <c r="AB39" s="82">
        <f>IF(E39="NA","NA",IF(E39&gt;'Parâmetros'!$A$9,8,IF(E39&gt;'Parâmetros'!$A$8,4,IF(E39&gt;'Parâmetros'!$A$7,0,-6))))</f>
        <v>0</v>
      </c>
      <c r="AC39" s="82">
        <f>IF(Consultas!AC39='Parâmetros'!$E$1,0,5)</f>
        <v>0</v>
      </c>
      <c r="AD39" s="82">
        <f>IF(Consultas!AH39='Parâmetros'!$D$1,-10,5)</f>
        <v>5</v>
      </c>
      <c r="AE39" s="82">
        <f>IF(Consultas!AI39&gt;(Consultas!F39*2),-10,0)</f>
        <v>0</v>
      </c>
      <c r="AF39" s="82">
        <f>IF(Consultas!AD39&gt;1,(IF(Consultas!AI39&gt;(Consultas!AD39),-20,4)))</f>
        <v>4</v>
      </c>
      <c r="AG39" s="82">
        <f>IF(Consultas!AG39='Parâmetros'!$E$1,0,-6)</f>
        <v>0</v>
      </c>
      <c r="AH39" s="82">
        <f>IF(Consultas!AF39='Parâmetros'!$E$1,1,-5)</f>
        <v>1</v>
      </c>
      <c r="AI39" s="82">
        <f>IF(Consultas!AJ39&gt;700,8,IF(Consultas!AJ39&gt;500,4,IF(Consultas!AJ39&gt;200,-4,IF(Consultas!AJ39&gt;1,-15,-20))))</f>
        <v>8</v>
      </c>
      <c r="AJ39" s="82">
        <f>IF(Consultas!AD39='Parâmetros'!$E$10,0,IF(Consultas!AD39&gt;'Parâmetros'!$A$30,12,IF(Consultas!AD39&gt;'Parâmetros'!$A$31,6,IF(Consultas!AD39&gt;'Parâmetros'!$A$32,0,IF(Consultas!AD39&gt;'Parâmetros'!$A$33,0,IF(Consultas!AD39&gt;'Parâmetros'!$A$34,-3,IF(Consultas!AD39&gt;'Parâmetros'!$A$35,-7,-1)))))))</f>
        <v>12</v>
      </c>
      <c r="AK39" s="82">
        <f>IF(Consultas!AO39='Parâmetros'!$D$1,3,-3)</f>
        <v>-3</v>
      </c>
      <c r="AL39" s="82">
        <f>IF(Consultas!AP39='Parâmetros'!$D$1,5,-3)</f>
        <v>-3</v>
      </c>
      <c r="AM39" s="82">
        <f>IF(Consultas!AL39="N",-6,0)</f>
        <v>0</v>
      </c>
      <c r="AN39" s="82">
        <f>IF(Consultas!AM39="N",-10,0)</f>
        <v>0</v>
      </c>
      <c r="AO39" s="82">
        <f>IF(Consultas!AN39="S",4,-2)</f>
        <v>-2</v>
      </c>
      <c r="AP39" s="39"/>
      <c r="AQ39" s="165">
        <f>IF(Consultas!F39&gt;1,(SUM(F39:AO39)),"N/A")</f>
        <v>43</v>
      </c>
      <c r="AR39" s="78" t="str">
        <f>IF((Consultas!AD39&gt;'Parâmetros'!$A$31),"X",AJ39+Y39+V39+AC39)</f>
        <v>X</v>
      </c>
      <c r="AS39" s="78" t="str">
        <f>IF((Consultas!AD39&gt;'Parâmetros'!$A$31),"X",(H39+I39+J39+Q39+T39+Y39+Z39+AJ39+AN39))</f>
        <v>X</v>
      </c>
      <c r="AT39" s="78">
        <f>IF((Consultas!AD39&lt;'Parâmetros'!$A$31),"X",(AD39+AC39+AB39))</f>
        <v>5</v>
      </c>
      <c r="AU39" s="78">
        <f t="shared" si="1"/>
        <v>5</v>
      </c>
      <c r="AV39" s="82" t="str">
        <f>IF(AQ39="N/A","N/A",IF(AQ39&gt;5,'Parâmetros'!$A$15,(IF(AU39=AR39,'Parâmetros'!$A$17,IF(AU39=AS39,'Parâmetros'!$A$16,'Parâmetros'!$A$14)))))</f>
        <v>SEM-RISCO</v>
      </c>
      <c r="AW39" s="86" t="str">
        <f>IF(AQ39="N/A","N/A",IF(AV39='Parâmetros'!$A$15,'Parâmetros'!$C$15,(IF(AV39='Parâmetros'!$A$17,'Parâmetros'!$C$17,IF(AV39='Parâmetros'!$A$16,'Parâmetros'!$C$16,IF(AV39='Parâmetros'!$A$14,'Parâmetros'!$C$12))))))</f>
        <v>LIBERADO</v>
      </c>
      <c r="AX39" s="82" t="str">
        <f>IF(Consultas!F39&gt;1,(IF(Consultas!F39&gt;5000,"SOLICITAR PED COMPRA","N/A")))</f>
        <v>SOLICITAR PED COMPRA</v>
      </c>
      <c r="AY39" s="167" t="str">
        <f>IF(AND(Consultas!M39&lt;&gt;"S", Consultas!H39="S"), "CHECAGEM REVERSA", "N/A")</f>
        <v>CHECAGEM REVERSA</v>
      </c>
      <c r="AZ39" s="167" t="str">
        <f>IF(Consultas!U39="N","PRECISA CORRIGIR END DIVERGENTE","N/A")</f>
        <v>N/A</v>
      </c>
    </row>
    <row r="40" ht="12.0" customHeight="1">
      <c r="A40" s="39" t="s">
        <v>90</v>
      </c>
      <c r="B40" s="82">
        <f>Consultas!B40</f>
        <v>198</v>
      </c>
      <c r="C40" s="82" t="str">
        <f>Consultas!D40</f>
        <v>Metalpleno</v>
      </c>
      <c r="D40" s="96" t="str">
        <f>Consultas!E40</f>
        <v>143127</v>
      </c>
      <c r="E40" s="104">
        <f>IF(Consultas!AB40&gt;0,YEAR('Parâmetros'!$B$1)-YEAR(Consultas!AB40),"NA")</f>
        <v>6</v>
      </c>
      <c r="F40" s="82">
        <f>IF(Consultas!F40&gt;'Parâmetros'!$B$2,-8,0)</f>
        <v>0</v>
      </c>
      <c r="G40" s="82">
        <f>IF(Consultas!H40='Parâmetros'!$E$1,100,0)</f>
        <v>0</v>
      </c>
      <c r="H40" s="82">
        <f>IF(Consultas!I40='Parâmetros'!$E$1,-4,12)</f>
        <v>12</v>
      </c>
      <c r="I40" s="82">
        <f>IF(Consultas!J40='Parâmetros'!$E$1,1,-13)</f>
        <v>1</v>
      </c>
      <c r="J40" s="82">
        <f>IF(Consultas!K40='Parâmetros'!$E$1,2,-5)</f>
        <v>2</v>
      </c>
      <c r="K40" s="82" t="str">
        <f>IF(Consultas!L40='Parâmetros'!$D$1,"SOLIC CONTRATO DE ENTREGA","N/A")</f>
        <v>SOLIC CONTRATO DE ENTREGA</v>
      </c>
      <c r="L40" s="82">
        <f>IF(Consultas!R40='Parâmetros'!$E$1,1,-3)</f>
        <v>1</v>
      </c>
      <c r="M40" s="82">
        <f>IF(Consultas!S40&gt;1,(IF(Consultas!S40='Parâmetros'!$E$1,-3,9)))</f>
        <v>9</v>
      </c>
      <c r="N40" s="82">
        <f>IF(Consultas!T40="S",23,0)</f>
        <v>0</v>
      </c>
      <c r="O40" s="82">
        <f>IF(Consultas!U40='Parâmetros'!$E$1,-3,3)</f>
        <v>3</v>
      </c>
      <c r="P40" s="82">
        <f>IF(Consultas!V40='Parâmetros'!$E$1,-100,2)</f>
        <v>2</v>
      </c>
      <c r="Q40" s="82">
        <f>IF(Consultas!M40='Parâmetros'!$D$1,2,-9)</f>
        <v>-9</v>
      </c>
      <c r="R40" s="82">
        <f>IF(Consultas!N40="RJ",-12,0)</f>
        <v>0</v>
      </c>
      <c r="S40" s="82">
        <f>IF(Consultas!O40="-",-3,IF(Consultas!O40=0,-6,IF(Consultas!O40=5,0,IF(Consultas!O40=10,6))))</f>
        <v>-6</v>
      </c>
      <c r="T40" s="82">
        <f>IF(Consultas!M40="S",0,(IF(Consultas!P40="S",6,0)))</f>
        <v>6</v>
      </c>
      <c r="U40" s="82">
        <f>IF(Consultas!Q40&gt;97,9,IF(Consultas!Q40&gt;75,0,-7))</f>
        <v>9</v>
      </c>
      <c r="V40" s="82">
        <f>IF(Consultas!W40='Parâmetros'!$E$1,1,-5)</f>
        <v>1</v>
      </c>
      <c r="W40" s="82">
        <f>IF(Consultas!X40="S",3,-3)</f>
        <v>3</v>
      </c>
      <c r="X40" s="82">
        <f>IF(Consultas!Y40="S",0,-7)</f>
        <v>-7</v>
      </c>
      <c r="Y40" s="82">
        <f>IF(Consultas!Z40='Parâmetros'!$E$1,2,-8)</f>
        <v>2</v>
      </c>
      <c r="Z40" s="82">
        <f>IF(Consultas!AA40='Parâmetros'!$E$1,-15,1)</f>
        <v>1</v>
      </c>
      <c r="AA40" s="147" t="s">
        <v>140</v>
      </c>
      <c r="AB40" s="82">
        <f>IF(E40="NA","NA",IF(E40&gt;'Parâmetros'!$A$9,8,IF(E40&gt;'Parâmetros'!$A$8,4,IF(E40&gt;'Parâmetros'!$A$7,0,-6))))</f>
        <v>0</v>
      </c>
      <c r="AC40" s="82">
        <f>IF(Consultas!AC40='Parâmetros'!$E$1,0,5)</f>
        <v>0</v>
      </c>
      <c r="AD40" s="82">
        <f>IF(Consultas!AH40='Parâmetros'!$D$1,-10,5)</f>
        <v>5</v>
      </c>
      <c r="AE40" s="82">
        <f>IF(Consultas!AI40&gt;(Consultas!F40*2),-10,0)</f>
        <v>0</v>
      </c>
      <c r="AF40" s="82">
        <f>IF(Consultas!AD40&gt;1,(IF(Consultas!AI40&gt;(Consultas!AD40),-20,4)))</f>
        <v>4</v>
      </c>
      <c r="AG40" s="82">
        <f>IF(Consultas!AG40='Parâmetros'!$E$1,0,-6)</f>
        <v>0</v>
      </c>
      <c r="AH40" s="82">
        <f>IF(Consultas!AF40='Parâmetros'!$E$1,1,-5)</f>
        <v>1</v>
      </c>
      <c r="AI40" s="82">
        <f>IF(Consultas!AJ40&gt;700,8,IF(Consultas!AJ40&gt;500,4,IF(Consultas!AJ40&gt;200,-4,IF(Consultas!AJ40&gt;1,-15,-20))))</f>
        <v>8</v>
      </c>
      <c r="AJ40" s="82">
        <f>IF(Consultas!AD40='Parâmetros'!$E$10,0,IF(Consultas!AD40&gt;'Parâmetros'!$A$30,12,IF(Consultas!AD40&gt;'Parâmetros'!$A$31,6,IF(Consultas!AD40&gt;'Parâmetros'!$A$32,0,IF(Consultas!AD40&gt;'Parâmetros'!$A$33,0,IF(Consultas!AD40&gt;'Parâmetros'!$A$34,-3,IF(Consultas!AD40&gt;'Parâmetros'!$A$35,-7,-1)))))))</f>
        <v>12</v>
      </c>
      <c r="AK40" s="82">
        <f>IF(Consultas!AO40='Parâmetros'!$D$1,3,-3)</f>
        <v>-3</v>
      </c>
      <c r="AL40" s="82">
        <f>IF(Consultas!AP40='Parâmetros'!$D$1,5,-3)</f>
        <v>-3</v>
      </c>
      <c r="AM40" s="82">
        <f>IF(Consultas!AL40="N",-6,0)</f>
        <v>0</v>
      </c>
      <c r="AN40" s="82">
        <f>IF(Consultas!AM40="N",-10,0)</f>
        <v>-10</v>
      </c>
      <c r="AO40" s="82">
        <f>IF(Consultas!AN40="S",4,-2)</f>
        <v>-2</v>
      </c>
      <c r="AP40" s="39"/>
      <c r="AQ40" s="165">
        <f>IF(Consultas!F40&gt;1,(SUM(F40:AO40)),"N/A")</f>
        <v>42</v>
      </c>
      <c r="AR40" s="78" t="str">
        <f>IF((Consultas!AD40&gt;'Parâmetros'!$A$31),"X",AJ40+Y40+V40+AC40)</f>
        <v>X</v>
      </c>
      <c r="AS40" s="78" t="str">
        <f>IF((Consultas!AD40&gt;'Parâmetros'!$A$31),"X",(H40+I40+J40+Q40+T40+Y40+Z40+AJ40+AN40))</f>
        <v>X</v>
      </c>
      <c r="AT40" s="78">
        <f>IF((Consultas!AD40&lt;'Parâmetros'!$A$31),"X",(AD40+AC40+AB40))</f>
        <v>5</v>
      </c>
      <c r="AU40" s="78">
        <f t="shared" si="1"/>
        <v>5</v>
      </c>
      <c r="AV40" s="82" t="str">
        <f>IF(AQ40="N/A","N/A",IF(AQ40&gt;5,'Parâmetros'!$A$15,(IF(AU40=AR40,'Parâmetros'!$A$17,IF(AU40=AS40,'Parâmetros'!$A$16,'Parâmetros'!$A$14)))))</f>
        <v>SEM-RISCO</v>
      </c>
      <c r="AW40" s="86" t="str">
        <f>IF(AQ40="N/A","N/A",IF(AV40='Parâmetros'!$A$15,'Parâmetros'!$C$15,(IF(AV40='Parâmetros'!$A$17,'Parâmetros'!$C$17,IF(AV40='Parâmetros'!$A$16,'Parâmetros'!$C$16,IF(AV40='Parâmetros'!$A$14,'Parâmetros'!$C$12))))))</f>
        <v>LIBERADO</v>
      </c>
      <c r="AX40" s="82" t="str">
        <f>IF(Consultas!F40&gt;1,(IF(Consultas!F40&gt;5000,"SOLICITAR PED COMPRA","N/A")))</f>
        <v>SOLICITAR PED COMPRA</v>
      </c>
      <c r="AY40" s="167" t="str">
        <f>IF(AND(Consultas!M40&lt;&gt;"S", Consultas!H40="S"), "CHECAGEM REVERSA", "N/A")</f>
        <v>CHECAGEM REVERSA</v>
      </c>
      <c r="AZ40" s="167" t="str">
        <f>IF(Consultas!U40="N","PRECISA CORRIGIR END DIVERGENTE","N/A")</f>
        <v>N/A</v>
      </c>
    </row>
    <row r="41" ht="12.0" customHeight="1">
      <c r="A41" s="39" t="s">
        <v>90</v>
      </c>
      <c r="B41" s="82">
        <f>Consultas!B41</f>
        <v>1868</v>
      </c>
      <c r="C41" s="82" t="str">
        <f>Consultas!D41</f>
        <v>GsiBW</v>
      </c>
      <c r="D41" s="96" t="str">
        <f>Consultas!E41</f>
        <v>011678</v>
      </c>
      <c r="E41" s="104">
        <f>IF(Consultas!AB41&gt;0,YEAR('Parâmetros'!$B$1)-YEAR(Consultas!AB41),"NA")</f>
        <v>59</v>
      </c>
      <c r="F41" s="82">
        <f>IF(Consultas!F41&gt;'Parâmetros'!$B$2,-8,0)</f>
        <v>0</v>
      </c>
      <c r="G41" s="82">
        <f>IF(Consultas!H41='Parâmetros'!$E$1,100,0)</f>
        <v>0</v>
      </c>
      <c r="H41" s="82">
        <f>IF(Consultas!I41='Parâmetros'!$E$1,-4,12)</f>
        <v>-4</v>
      </c>
      <c r="I41" s="82">
        <f>IF(Consultas!J41='Parâmetros'!$E$1,1,-13)</f>
        <v>1</v>
      </c>
      <c r="J41" s="82">
        <f>IF(Consultas!K41='Parâmetros'!$E$1,2,-5)</f>
        <v>2</v>
      </c>
      <c r="K41" s="82" t="str">
        <f>IF(Consultas!L41='Parâmetros'!$D$1,"SOLIC CONTRATO DE ENTREGA","N/A")</f>
        <v>N/A</v>
      </c>
      <c r="L41" s="82">
        <f>IF(Consultas!R41='Parâmetros'!$E$1,1,-3)</f>
        <v>1</v>
      </c>
      <c r="M41" s="82">
        <f>IF(Consultas!S41&gt;1,(IF(Consultas!S41='Parâmetros'!$E$1,-3,9)))</f>
        <v>9</v>
      </c>
      <c r="N41" s="82">
        <f>IF(Consultas!T41="S",23,0)</f>
        <v>23</v>
      </c>
      <c r="O41" s="82">
        <f>IF(Consultas!U41='Parâmetros'!$E$1,-3,3)</f>
        <v>3</v>
      </c>
      <c r="P41" s="82">
        <f>IF(Consultas!V41='Parâmetros'!$E$1,-100,2)</f>
        <v>2</v>
      </c>
      <c r="Q41" s="82">
        <f>IF(Consultas!M41='Parâmetros'!$D$1,2,-9)</f>
        <v>-9</v>
      </c>
      <c r="R41" s="82">
        <f>IF(Consultas!N41="RJ",-12,0)</f>
        <v>0</v>
      </c>
      <c r="S41" s="82">
        <f>IF(Consultas!O41="-",-3,IF(Consultas!O41=0,-6,IF(Consultas!O41=5,0,IF(Consultas!O41=10,6))))</f>
        <v>-6</v>
      </c>
      <c r="T41" s="82">
        <f>IF(Consultas!M41="S",0,(IF(Consultas!P41="S",6,0)))</f>
        <v>0</v>
      </c>
      <c r="U41" s="82">
        <f>IF(Consultas!Q41&gt;97,9,IF(Consultas!Q41&gt;75,0,-7))</f>
        <v>9</v>
      </c>
      <c r="V41" s="82">
        <f>IF(Consultas!W41='Parâmetros'!$E$1,1,-5)</f>
        <v>1</v>
      </c>
      <c r="W41" s="82">
        <f>IF(Consultas!X41="S",3,-3)</f>
        <v>3</v>
      </c>
      <c r="X41" s="82">
        <f>IF(Consultas!Y41="S",0,-7)</f>
        <v>0</v>
      </c>
      <c r="Y41" s="82">
        <f>IF(Consultas!Z41='Parâmetros'!$E$1,2,-8)</f>
        <v>2</v>
      </c>
      <c r="Z41" s="82">
        <f>IF(Consultas!AA41='Parâmetros'!$E$1,-15,1)</f>
        <v>1</v>
      </c>
      <c r="AA41" s="147" t="s">
        <v>140</v>
      </c>
      <c r="AB41" s="82">
        <f>IF(E41="NA","NA",IF(E41&gt;'Parâmetros'!$A$9,8,IF(E41&gt;'Parâmetros'!$A$8,4,IF(E41&gt;'Parâmetros'!$A$7,0,-6))))</f>
        <v>8</v>
      </c>
      <c r="AC41" s="82">
        <f>IF(Consultas!AC41='Parâmetros'!$E$1,0,5)</f>
        <v>0</v>
      </c>
      <c r="AD41" s="82">
        <f>IF(Consultas!AH41='Parâmetros'!$D$1,-10,5)</f>
        <v>5</v>
      </c>
      <c r="AE41" s="82">
        <f>IF(Consultas!AI41&gt;(Consultas!F41*2),-10,0)</f>
        <v>-10</v>
      </c>
      <c r="AF41" s="82" t="b">
        <f>IF(Consultas!AD41&gt;1,(IF(Consultas!AI41&gt;(Consultas!AD41),-20,4)))</f>
        <v>0</v>
      </c>
      <c r="AG41" s="82">
        <f>IF(Consultas!AG41='Parâmetros'!$E$1,0,-6)</f>
        <v>0</v>
      </c>
      <c r="AH41" s="82">
        <f>IF(Consultas!AF41='Parâmetros'!$E$1,1,-5)</f>
        <v>-5</v>
      </c>
      <c r="AI41" s="82">
        <f>IF(Consultas!AJ41&gt;700,8,IF(Consultas!AJ41&gt;500,4,IF(Consultas!AJ41&gt;200,-4,IF(Consultas!AJ41&gt;1,-15,-20))))</f>
        <v>4</v>
      </c>
      <c r="AJ41" s="82">
        <f>IF(Consultas!AD41='Parâmetros'!$E$10,0,IF(Consultas!AD41&gt;'Parâmetros'!$A$30,12,IF(Consultas!AD41&gt;'Parâmetros'!$A$31,6,IF(Consultas!AD41&gt;'Parâmetros'!$A$32,0,IF(Consultas!AD41&gt;'Parâmetros'!$A$33,0,IF(Consultas!AD41&gt;'Parâmetros'!$A$34,-3,IF(Consultas!AD41&gt;'Parâmetros'!$A$35,-7,-1)))))))</f>
        <v>-1</v>
      </c>
      <c r="AK41" s="82">
        <f>IF(Consultas!AO41='Parâmetros'!$D$1,3,-3)</f>
        <v>-3</v>
      </c>
      <c r="AL41" s="82">
        <f>IF(Consultas!AP41='Parâmetros'!$D$1,5,-3)</f>
        <v>-3</v>
      </c>
      <c r="AM41" s="82">
        <f>IF(Consultas!AL41="N",-6,0)</f>
        <v>0</v>
      </c>
      <c r="AN41" s="82">
        <f>IF(Consultas!AM41="N",-10,0)</f>
        <v>0</v>
      </c>
      <c r="AO41" s="82">
        <f>IF(Consultas!AN41="S",4,-2)</f>
        <v>-2</v>
      </c>
      <c r="AP41" s="39"/>
      <c r="AQ41" s="165">
        <f>IF(Consultas!F41&gt;1,(SUM(F41:AO41)),"N/A")</f>
        <v>31</v>
      </c>
      <c r="AR41" s="78">
        <f>IF((Consultas!AD41&gt;'Parâmetros'!$A$31),"X",AJ41+Y41+V41+AC41)</f>
        <v>2</v>
      </c>
      <c r="AS41" s="78">
        <f>IF((Consultas!AD41&gt;'Parâmetros'!$A$31),"X",(H41+I41+J41+Q41+T41+Y41+Z41+AJ41+AN41))</f>
        <v>-8</v>
      </c>
      <c r="AT41" s="78" t="str">
        <f>IF((Consultas!AD41&lt;'Parâmetros'!$A$31),"X",(AD41+AC41+AB41))</f>
        <v>X</v>
      </c>
      <c r="AU41" s="78">
        <f t="shared" si="1"/>
        <v>-8</v>
      </c>
      <c r="AV41" s="82" t="str">
        <f>IF(AQ41="N/A","N/A",IF(AQ41&gt;5,'Parâmetros'!$A$15,(IF(AU41=AR41,'Parâmetros'!$A$17,IF(AU41=AS41,'Parâmetros'!$A$16,'Parâmetros'!$A$14)))))</f>
        <v>SEM-RISCO</v>
      </c>
      <c r="AW41" s="86" t="str">
        <f>IF(AQ41="N/A","N/A",IF(AV41='Parâmetros'!$A$15,'Parâmetros'!$C$15,(IF(AV41='Parâmetros'!$A$17,'Parâmetros'!$C$17,IF(AV41='Parâmetros'!$A$16,'Parâmetros'!$C$16,IF(AV41='Parâmetros'!$A$14,'Parâmetros'!$C$12))))))</f>
        <v>LIBERADO</v>
      </c>
      <c r="AX41" s="82" t="str">
        <f>IF(Consultas!F41&gt;1,(IF(Consultas!F41&gt;5000,"SOLICITAR PED COMPRA","N/A")))</f>
        <v>N/A</v>
      </c>
      <c r="AY41" s="167" t="str">
        <f>IF(AND(Consultas!M41&lt;&gt;"S", Consultas!H41="S"), "CHECAGEM REVERSA", "N/A")</f>
        <v>CHECAGEM REVERSA</v>
      </c>
      <c r="AZ41" s="167" t="str">
        <f>IF(Consultas!U41="N","PRECISA CORRIGIR END DIVERGENTE","N/A")</f>
        <v>N/A</v>
      </c>
    </row>
    <row r="42" ht="12.0" customHeight="1">
      <c r="A42" s="39" t="s">
        <v>90</v>
      </c>
      <c r="B42" s="82">
        <f>Consultas!B42</f>
        <v>201</v>
      </c>
      <c r="C42" s="82" t="str">
        <f>Consultas!D42</f>
        <v>Metalpleno</v>
      </c>
      <c r="D42" s="96" t="str">
        <f>Consultas!E42</f>
        <v>144532</v>
      </c>
      <c r="E42" s="104">
        <f>IF(Consultas!AB42&gt;0,YEAR('Parâmetros'!$B$1)-YEAR(Consultas!AB42),"NA")</f>
        <v>4</v>
      </c>
      <c r="F42" s="82">
        <f>IF(Consultas!F42&gt;'Parâmetros'!$B$2,-8,0)</f>
        <v>0</v>
      </c>
      <c r="G42" s="82">
        <f>IF(Consultas!H42='Parâmetros'!$E$1,100,0)</f>
        <v>0</v>
      </c>
      <c r="H42" s="82">
        <f>IF(Consultas!I42='Parâmetros'!$E$1,-4,12)</f>
        <v>-4</v>
      </c>
      <c r="I42" s="82">
        <f>IF(Consultas!J42='Parâmetros'!$E$1,1,-13)</f>
        <v>1</v>
      </c>
      <c r="J42" s="82">
        <f>IF(Consultas!K42='Parâmetros'!$E$1,2,-5)</f>
        <v>2</v>
      </c>
      <c r="K42" s="82" t="str">
        <f>IF(Consultas!L42='Parâmetros'!$D$1,"SOLIC CONTRATO DE ENTREGA","N/A")</f>
        <v>SOLIC CONTRATO DE ENTREGA</v>
      </c>
      <c r="L42" s="82">
        <f>IF(Consultas!R42='Parâmetros'!$E$1,1,-3)</f>
        <v>1</v>
      </c>
      <c r="M42" s="82">
        <f>IF(Consultas!S42&gt;1,(IF(Consultas!S42='Parâmetros'!$E$1,-3,9)))</f>
        <v>-3</v>
      </c>
      <c r="N42" s="82">
        <f>IF(Consultas!T42="S",23,0)</f>
        <v>0</v>
      </c>
      <c r="O42" s="82">
        <f>IF(Consultas!U42='Parâmetros'!$E$1,-3,3)</f>
        <v>3</v>
      </c>
      <c r="P42" s="82">
        <f>IF(Consultas!V42='Parâmetros'!$E$1,-100,2)</f>
        <v>2</v>
      </c>
      <c r="Q42" s="82">
        <f>IF(Consultas!M42='Parâmetros'!$D$1,2,-9)</f>
        <v>2</v>
      </c>
      <c r="R42" s="82">
        <f>IF(Consultas!N42="RJ",-12,0)</f>
        <v>0</v>
      </c>
      <c r="S42" s="82">
        <f>IF(Consultas!O42="-",-3,IF(Consultas!O42=0,-6,IF(Consultas!O42=5,0,IF(Consultas!O42=10,6))))</f>
        <v>-3</v>
      </c>
      <c r="T42" s="82">
        <f>IF(Consultas!M42="S",0,(IF(Consultas!P42="S",6,0)))</f>
        <v>0</v>
      </c>
      <c r="U42" s="82">
        <f>IF(Consultas!Q42&gt;97,9,IF(Consultas!Q42&gt;75,0,-7))</f>
        <v>9</v>
      </c>
      <c r="V42" s="82">
        <f>IF(Consultas!W42='Parâmetros'!$E$1,1,-5)</f>
        <v>-5</v>
      </c>
      <c r="W42" s="82">
        <f>IF(Consultas!X42="S",3,-3)</f>
        <v>3</v>
      </c>
      <c r="X42" s="82">
        <f>IF(Consultas!Y42="S",0,-7)</f>
        <v>0</v>
      </c>
      <c r="Y42" s="82">
        <f>IF(Consultas!Z42='Parâmetros'!$E$1,2,-8)</f>
        <v>2</v>
      </c>
      <c r="Z42" s="82">
        <f>IF(Consultas!AA42='Parâmetros'!$E$1,-15,1)</f>
        <v>1</v>
      </c>
      <c r="AA42" s="147" t="s">
        <v>140</v>
      </c>
      <c r="AB42" s="82">
        <f>IF(E42="NA","NA",IF(E42&gt;'Parâmetros'!$A$9,8,IF(E42&gt;'Parâmetros'!$A$8,4,IF(E42&gt;'Parâmetros'!$A$7,0,-6))))</f>
        <v>-6</v>
      </c>
      <c r="AC42" s="82">
        <f>IF(Consultas!AC42='Parâmetros'!$E$1,0,5)</f>
        <v>5</v>
      </c>
      <c r="AD42" s="82">
        <f>IF(Consultas!AH42='Parâmetros'!$D$1,-10,5)</f>
        <v>5</v>
      </c>
      <c r="AE42" s="82">
        <f>IF(Consultas!AI42&gt;(Consultas!F42*2),-10,0)</f>
        <v>0</v>
      </c>
      <c r="AF42" s="82">
        <f>IF(Consultas!AD42&gt;1,(IF(Consultas!AI42&gt;(Consultas!AD42),-20,4)))</f>
        <v>4</v>
      </c>
      <c r="AG42" s="82">
        <f>IF(Consultas!AG42='Parâmetros'!$E$1,0,-6)</f>
        <v>0</v>
      </c>
      <c r="AH42" s="82">
        <f>IF(Consultas!AF42='Parâmetros'!$E$1,1,-5)</f>
        <v>1</v>
      </c>
      <c r="AI42" s="82">
        <f>IF(Consultas!AJ42&gt;700,8,IF(Consultas!AJ42&gt;500,4,IF(Consultas!AJ42&gt;200,-4,IF(Consultas!AJ42&gt;1,-15,-20))))</f>
        <v>4</v>
      </c>
      <c r="AJ42" s="82">
        <f>IF(Consultas!AD42='Parâmetros'!$E$10,0,IF(Consultas!AD42&gt;'Parâmetros'!$A$30,12,IF(Consultas!AD42&gt;'Parâmetros'!$A$31,6,IF(Consultas!AD42&gt;'Parâmetros'!$A$32,0,IF(Consultas!AD42&gt;'Parâmetros'!$A$33,0,IF(Consultas!AD42&gt;'Parâmetros'!$A$34,-3,IF(Consultas!AD42&gt;'Parâmetros'!$A$35,-7,-1)))))))</f>
        <v>12</v>
      </c>
      <c r="AK42" s="82">
        <f>IF(Consultas!AO42='Parâmetros'!$D$1,3,-3)</f>
        <v>-3</v>
      </c>
      <c r="AL42" s="82">
        <f>IF(Consultas!AP42='Parâmetros'!$D$1,5,-3)</f>
        <v>-3</v>
      </c>
      <c r="AM42" s="82">
        <f>IF(Consultas!AL42="N",-6,0)</f>
        <v>0</v>
      </c>
      <c r="AN42" s="82">
        <f>IF(Consultas!AM42="N",-10,0)</f>
        <v>0</v>
      </c>
      <c r="AO42" s="82">
        <f>IF(Consultas!AN42="S",4,-2)</f>
        <v>-2</v>
      </c>
      <c r="AP42" s="39"/>
      <c r="AQ42" s="165">
        <f>IF(Consultas!F42&gt;1,(SUM(F42:AO42)),"N/A")</f>
        <v>28</v>
      </c>
      <c r="AR42" s="78" t="str">
        <f>IF((Consultas!AD42&gt;'Parâmetros'!$A$31),"X",AJ42+Y42+V42+AC42)</f>
        <v>X</v>
      </c>
      <c r="AS42" s="78" t="str">
        <f>IF((Consultas!AD42&gt;'Parâmetros'!$A$31),"X",(H42+I42+J42+Q42+T42+Y42+Z42+AJ42+AN42))</f>
        <v>X</v>
      </c>
      <c r="AT42" s="78">
        <f>IF((Consultas!AD42&lt;'Parâmetros'!$A$31),"X",(AD42+AC42+AB42))</f>
        <v>4</v>
      </c>
      <c r="AU42" s="78">
        <f t="shared" si="1"/>
        <v>4</v>
      </c>
      <c r="AV42" s="82" t="str">
        <f>IF(AQ42="N/A","N/A",IF(AQ42&gt;5,'Parâmetros'!$A$15,(IF(AU42=AR42,'Parâmetros'!$A$17,IF(AU42=AS42,'Parâmetros'!$A$16,'Parâmetros'!$A$14)))))</f>
        <v>SEM-RISCO</v>
      </c>
      <c r="AW42" s="86" t="str">
        <f>IF(AQ42="N/A","N/A",IF(AV42='Parâmetros'!$A$15,'Parâmetros'!$C$15,(IF(AV42='Parâmetros'!$A$17,'Parâmetros'!$C$17,IF(AV42='Parâmetros'!$A$16,'Parâmetros'!$C$16,IF(AV42='Parâmetros'!$A$14,'Parâmetros'!$C$12))))))</f>
        <v>LIBERADO</v>
      </c>
      <c r="AX42" s="82" t="str">
        <f>IF(Consultas!F42&gt;1,(IF(Consultas!F42&gt;5000,"SOLICITAR PED COMPRA","N/A")))</f>
        <v>N/A</v>
      </c>
      <c r="AY42" s="167" t="str">
        <f>IF(AND(Consultas!M42&lt;&gt;"S", Consultas!H42="S"), "CHECAGEM REVERSA", "N/A")</f>
        <v>N/A</v>
      </c>
      <c r="AZ42" s="167" t="str">
        <f>IF(Consultas!U42="N","PRECISA CORRIGIR END DIVERGENTE","N/A")</f>
        <v>N/A</v>
      </c>
    </row>
    <row r="43" ht="12.0" customHeight="1">
      <c r="A43" s="39" t="s">
        <v>90</v>
      </c>
      <c r="B43" s="82">
        <f>Consultas!B43</f>
        <v>519</v>
      </c>
      <c r="C43" s="82" t="str">
        <f>Consultas!D43</f>
        <v>Oaco</v>
      </c>
      <c r="D43" s="96" t="str">
        <f>Consultas!E43</f>
        <v>144536</v>
      </c>
      <c r="E43" s="104">
        <f>IF(Consultas!AB43&gt;0,YEAR('Parâmetros'!$B$1)-YEAR(Consultas!AB43),"NA")</f>
        <v>29</v>
      </c>
      <c r="F43" s="82">
        <f>IF(Consultas!F43&gt;'Parâmetros'!$B$2,-8,0)</f>
        <v>0</v>
      </c>
      <c r="G43" s="82">
        <f>IF(Consultas!H43='Parâmetros'!$E$1,100,0)</f>
        <v>0</v>
      </c>
      <c r="H43" s="82">
        <f>IF(Consultas!I43='Parâmetros'!$E$1,-4,12)</f>
        <v>-4</v>
      </c>
      <c r="I43" s="82">
        <f>IF(Consultas!J43='Parâmetros'!$E$1,1,-13)</f>
        <v>1</v>
      </c>
      <c r="J43" s="82">
        <f>IF(Consultas!K43='Parâmetros'!$E$1,2,-5)</f>
        <v>2</v>
      </c>
      <c r="K43" s="82" t="str">
        <f>IF(Consultas!L43='Parâmetros'!$D$1,"SOLIC CONTRATO DE ENTREGA","N/A")</f>
        <v>SOLIC CONTRATO DE ENTREGA</v>
      </c>
      <c r="L43" s="82">
        <f>IF(Consultas!R43='Parâmetros'!$E$1,1,-3)</f>
        <v>1</v>
      </c>
      <c r="M43" s="82">
        <f>IF(Consultas!S43&gt;1,(IF(Consultas!S43='Parâmetros'!$E$1,-3,9)))</f>
        <v>-3</v>
      </c>
      <c r="N43" s="82">
        <f>IF(Consultas!T43="S",23,0)</f>
        <v>0</v>
      </c>
      <c r="O43" s="82">
        <f>IF(Consultas!U43='Parâmetros'!$E$1,-3,3)</f>
        <v>3</v>
      </c>
      <c r="P43" s="82">
        <f>IF(Consultas!V43='Parâmetros'!$E$1,-100,2)</f>
        <v>2</v>
      </c>
      <c r="Q43" s="82">
        <f>IF(Consultas!M43='Parâmetros'!$D$1,2,-9)</f>
        <v>2</v>
      </c>
      <c r="R43" s="82">
        <f>IF(Consultas!N43="RJ",-12,0)</f>
        <v>0</v>
      </c>
      <c r="S43" s="82">
        <f>IF(Consultas!O43="-",-3,IF(Consultas!O43=0,-6,IF(Consultas!O43=5,0,IF(Consultas!O43=10,6))))</f>
        <v>-3</v>
      </c>
      <c r="T43" s="82">
        <f>IF(Consultas!M43="S",0,(IF(Consultas!P43="S",6,0)))</f>
        <v>0</v>
      </c>
      <c r="U43" s="82">
        <f>IF(Consultas!Q43&gt;97,9,IF(Consultas!Q43&gt;75,0,-7))</f>
        <v>9</v>
      </c>
      <c r="V43" s="82">
        <f>IF(Consultas!W43='Parâmetros'!$E$1,1,-5)</f>
        <v>1</v>
      </c>
      <c r="W43" s="82">
        <f>IF(Consultas!X43="S",3,-3)</f>
        <v>3</v>
      </c>
      <c r="X43" s="82">
        <f>IF(Consultas!Y43="S",0,-7)</f>
        <v>0</v>
      </c>
      <c r="Y43" s="82">
        <f>IF(Consultas!Z43='Parâmetros'!$E$1,2,-8)</f>
        <v>2</v>
      </c>
      <c r="Z43" s="82">
        <f>IF(Consultas!AA43='Parâmetros'!$E$1,-15,1)</f>
        <v>1</v>
      </c>
      <c r="AA43" s="147" t="s">
        <v>140</v>
      </c>
      <c r="AB43" s="82">
        <f>IF(E43="NA","NA",IF(E43&gt;'Parâmetros'!$A$9,8,IF(E43&gt;'Parâmetros'!$A$8,4,IF(E43&gt;'Parâmetros'!$A$7,0,-6))))</f>
        <v>4</v>
      </c>
      <c r="AC43" s="82">
        <f>IF(Consultas!AC43='Parâmetros'!$E$1,0,5)</f>
        <v>0</v>
      </c>
      <c r="AD43" s="82">
        <f>IF(Consultas!AH43='Parâmetros'!$D$1,-10,5)</f>
        <v>5</v>
      </c>
      <c r="AE43" s="82">
        <f>IF(Consultas!AI43&gt;(Consultas!F43*2),-10,0)</f>
        <v>0</v>
      </c>
      <c r="AF43" s="82">
        <f>IF(Consultas!AD43&gt;1,(IF(Consultas!AI43&gt;(Consultas!AD43),-20,4)))</f>
        <v>4</v>
      </c>
      <c r="AG43" s="82">
        <f>IF(Consultas!AG43='Parâmetros'!$E$1,0,-6)</f>
        <v>0</v>
      </c>
      <c r="AH43" s="82">
        <f>IF(Consultas!AF43='Parâmetros'!$E$1,1,-5)</f>
        <v>1</v>
      </c>
      <c r="AI43" s="82">
        <f>IF(Consultas!AJ43&gt;700,8,IF(Consultas!AJ43&gt;500,4,IF(Consultas!AJ43&gt;200,-4,IF(Consultas!AJ43&gt;1,-15,-20))))</f>
        <v>8</v>
      </c>
      <c r="AJ43" s="82">
        <f>IF(Consultas!AD43='Parâmetros'!$E$10,0,IF(Consultas!AD43&gt;'Parâmetros'!$A$30,12,IF(Consultas!AD43&gt;'Parâmetros'!$A$31,6,IF(Consultas!AD43&gt;'Parâmetros'!$A$32,0,IF(Consultas!AD43&gt;'Parâmetros'!$A$33,0,IF(Consultas!AD43&gt;'Parâmetros'!$A$34,-3,IF(Consultas!AD43&gt;'Parâmetros'!$A$35,-7,-1)))))))</f>
        <v>12</v>
      </c>
      <c r="AK43" s="82">
        <f>IF(Consultas!AO43='Parâmetros'!$D$1,3,-3)</f>
        <v>-3</v>
      </c>
      <c r="AL43" s="82">
        <f>IF(Consultas!AP43='Parâmetros'!$D$1,5,-3)</f>
        <v>-3</v>
      </c>
      <c r="AM43" s="82">
        <f>IF(Consultas!AL43="N",-6,0)</f>
        <v>0</v>
      </c>
      <c r="AN43" s="82">
        <f>IF(Consultas!AM43="N",-10,0)</f>
        <v>0</v>
      </c>
      <c r="AO43" s="82">
        <f>IF(Consultas!AN43="S",4,-2)</f>
        <v>-2</v>
      </c>
      <c r="AP43" s="39"/>
      <c r="AQ43" s="165">
        <f>IF(Consultas!F43&gt;1,(SUM(F43:AO43)),"N/A")</f>
        <v>43</v>
      </c>
      <c r="AR43" s="78" t="str">
        <f>IF((Consultas!AD43&gt;'Parâmetros'!$A$31),"X",AJ43+Y43+V43+AC43)</f>
        <v>X</v>
      </c>
      <c r="AS43" s="78" t="str">
        <f>IF((Consultas!AD43&gt;'Parâmetros'!$A$31),"X",(H43+I43+J43+Q43+T43+Y43+Z43+AJ43+AN43))</f>
        <v>X</v>
      </c>
      <c r="AT43" s="78">
        <f>IF((Consultas!AD43&lt;'Parâmetros'!$A$31),"X",(AD43+AC43+AB43))</f>
        <v>9</v>
      </c>
      <c r="AU43" s="78">
        <f t="shared" si="1"/>
        <v>9</v>
      </c>
      <c r="AV43" s="82" t="str">
        <f>IF(AQ43="N/A","N/A",IF(AQ43&gt;5,'Parâmetros'!$A$15,(IF(AU43=AR43,'Parâmetros'!$A$17,IF(AU43=AS43,'Parâmetros'!$A$16,'Parâmetros'!$A$14)))))</f>
        <v>SEM-RISCO</v>
      </c>
      <c r="AW43" s="86" t="str">
        <f>IF(AQ43="N/A","N/A",IF(AV43='Parâmetros'!$A$15,'Parâmetros'!$C$15,(IF(AV43='Parâmetros'!$A$17,'Parâmetros'!$C$17,IF(AV43='Parâmetros'!$A$16,'Parâmetros'!$C$16,IF(AV43='Parâmetros'!$A$14,'Parâmetros'!$C$12))))))</f>
        <v>LIBERADO</v>
      </c>
      <c r="AX43" s="82" t="str">
        <f>IF(Consultas!F43&gt;1,(IF(Consultas!F43&gt;5000,"SOLICITAR PED COMPRA","N/A")))</f>
        <v>N/A</v>
      </c>
      <c r="AY43" s="167" t="str">
        <f>IF(AND(Consultas!M43&lt;&gt;"S", Consultas!H43="S"), "CHECAGEM REVERSA", "N/A")</f>
        <v>N/A</v>
      </c>
      <c r="AZ43" s="167" t="str">
        <f>IF(Consultas!U43="N","PRECISA CORRIGIR END DIVERGENTE","N/A")</f>
        <v>N/A</v>
      </c>
    </row>
    <row r="44" ht="12.0" customHeight="1">
      <c r="A44" s="39" t="s">
        <v>90</v>
      </c>
      <c r="B44" s="82">
        <f>Consultas!B44</f>
        <v>203</v>
      </c>
      <c r="C44" s="82" t="str">
        <f>Consultas!D44</f>
        <v>Metalpleno</v>
      </c>
      <c r="D44" s="96" t="str">
        <f>Consultas!E44</f>
        <v>144537</v>
      </c>
      <c r="E44" s="104">
        <f>IF(Consultas!AB44&gt;0,YEAR('Parâmetros'!$B$1)-YEAR(Consultas!AB44),"NA")</f>
        <v>48</v>
      </c>
      <c r="F44" s="82">
        <f>IF(Consultas!F44&gt;'Parâmetros'!$B$2,-8,0)</f>
        <v>0</v>
      </c>
      <c r="G44" s="82">
        <f>IF(Consultas!H44='Parâmetros'!$E$1,100,0)</f>
        <v>0</v>
      </c>
      <c r="H44" s="82">
        <f>IF(Consultas!I44='Parâmetros'!$E$1,-4,12)</f>
        <v>-4</v>
      </c>
      <c r="I44" s="82">
        <f>IF(Consultas!J44='Parâmetros'!$E$1,1,-13)</f>
        <v>1</v>
      </c>
      <c r="J44" s="82">
        <f>IF(Consultas!K44='Parâmetros'!$E$1,2,-5)</f>
        <v>2</v>
      </c>
      <c r="K44" s="82" t="str">
        <f>IF(Consultas!L44='Parâmetros'!$D$1,"SOLIC CONTRATO DE ENTREGA","N/A")</f>
        <v>SOLIC CONTRATO DE ENTREGA</v>
      </c>
      <c r="L44" s="82">
        <f>IF(Consultas!R44='Parâmetros'!$E$1,1,-3)</f>
        <v>1</v>
      </c>
      <c r="M44" s="82">
        <f>IF(Consultas!S44&gt;1,(IF(Consultas!S44='Parâmetros'!$E$1,-3,9)))</f>
        <v>-3</v>
      </c>
      <c r="N44" s="82">
        <f>IF(Consultas!T44="S",23,0)</f>
        <v>0</v>
      </c>
      <c r="O44" s="82">
        <f>IF(Consultas!U44='Parâmetros'!$E$1,-3,3)</f>
        <v>3</v>
      </c>
      <c r="P44" s="82">
        <f>IF(Consultas!V44='Parâmetros'!$E$1,-100,2)</f>
        <v>2</v>
      </c>
      <c r="Q44" s="82">
        <f>IF(Consultas!M44='Parâmetros'!$D$1,2,-9)</f>
        <v>2</v>
      </c>
      <c r="R44" s="82">
        <f>IF(Consultas!N44="RJ",-12,0)</f>
        <v>0</v>
      </c>
      <c r="S44" s="82">
        <f>IF(Consultas!O44="-",-3,IF(Consultas!O44=0,-6,IF(Consultas!O44=5,0,IF(Consultas!O44=10,6))))</f>
        <v>-3</v>
      </c>
      <c r="T44" s="82">
        <f>IF(Consultas!M44="S",0,(IF(Consultas!P44="S",6,0)))</f>
        <v>0</v>
      </c>
      <c r="U44" s="82">
        <f>IF(Consultas!Q44&gt;97,9,IF(Consultas!Q44&gt;75,0,-7))</f>
        <v>9</v>
      </c>
      <c r="V44" s="82">
        <f>IF(Consultas!W44='Parâmetros'!$E$1,1,-5)</f>
        <v>1</v>
      </c>
      <c r="W44" s="82">
        <f>IF(Consultas!X44="S",3,-3)</f>
        <v>3</v>
      </c>
      <c r="X44" s="82">
        <f>IF(Consultas!Y44="S",0,-7)</f>
        <v>-7</v>
      </c>
      <c r="Y44" s="82">
        <f>IF(Consultas!Z44='Parâmetros'!$E$1,2,-8)</f>
        <v>-8</v>
      </c>
      <c r="Z44" s="82">
        <f>IF(Consultas!AA44='Parâmetros'!$E$1,-15,1)</f>
        <v>1</v>
      </c>
      <c r="AA44" s="147" t="s">
        <v>140</v>
      </c>
      <c r="AB44" s="82">
        <f>IF(E44="NA","NA",IF(E44&gt;'Parâmetros'!$A$9,8,IF(E44&gt;'Parâmetros'!$A$8,4,IF(E44&gt;'Parâmetros'!$A$7,0,-6))))</f>
        <v>8</v>
      </c>
      <c r="AC44" s="82">
        <f>IF(Consultas!AC44='Parâmetros'!$E$1,0,5)</f>
        <v>0</v>
      </c>
      <c r="AD44" s="82">
        <f>IF(Consultas!AH44='Parâmetros'!$D$1,-10,5)</f>
        <v>5</v>
      </c>
      <c r="AE44" s="82">
        <f>IF(Consultas!AI44&gt;(Consultas!F44*2),-10,0)</f>
        <v>0</v>
      </c>
      <c r="AF44" s="82">
        <f>IF(Consultas!AD44&gt;1,(IF(Consultas!AI44&gt;(Consultas!AD44),-20,4)))</f>
        <v>4</v>
      </c>
      <c r="AG44" s="82">
        <f>IF(Consultas!AG44='Parâmetros'!$E$1,0,-6)</f>
        <v>0</v>
      </c>
      <c r="AH44" s="82">
        <f>IF(Consultas!AF44='Parâmetros'!$E$1,1,-5)</f>
        <v>1</v>
      </c>
      <c r="AI44" s="82">
        <f>IF(Consultas!AJ44&gt;700,8,IF(Consultas!AJ44&gt;500,4,IF(Consultas!AJ44&gt;200,-4,IF(Consultas!AJ44&gt;1,-15,-20))))</f>
        <v>8</v>
      </c>
      <c r="AJ44" s="82">
        <f>IF(Consultas!AD44='Parâmetros'!$E$10,0,IF(Consultas!AD44&gt;'Parâmetros'!$A$30,12,IF(Consultas!AD44&gt;'Parâmetros'!$A$31,6,IF(Consultas!AD44&gt;'Parâmetros'!$A$32,0,IF(Consultas!AD44&gt;'Parâmetros'!$A$33,0,IF(Consultas!AD44&gt;'Parâmetros'!$A$34,-3,IF(Consultas!AD44&gt;'Parâmetros'!$A$35,-7,-1)))))))</f>
        <v>12</v>
      </c>
      <c r="AK44" s="82">
        <f>IF(Consultas!AO44='Parâmetros'!$D$1,3,-3)</f>
        <v>-3</v>
      </c>
      <c r="AL44" s="82">
        <f>IF(Consultas!AP44='Parâmetros'!$D$1,5,-3)</f>
        <v>-3</v>
      </c>
      <c r="AM44" s="82">
        <f>IF(Consultas!AL44="N",-6,0)</f>
        <v>0</v>
      </c>
      <c r="AN44" s="82">
        <f>IF(Consultas!AM44="N",-10,0)</f>
        <v>0</v>
      </c>
      <c r="AO44" s="82">
        <f>IF(Consultas!AN44="S",4,-2)</f>
        <v>-2</v>
      </c>
      <c r="AP44" s="39"/>
      <c r="AQ44" s="165">
        <f>IF(Consultas!F44&gt;1,(SUM(F44:AO44)),"N/A")</f>
        <v>30</v>
      </c>
      <c r="AR44" s="78" t="str">
        <f>IF((Consultas!AD44&gt;'Parâmetros'!$A$31),"X",AJ44+Y44+V44+AC44)</f>
        <v>X</v>
      </c>
      <c r="AS44" s="78" t="str">
        <f>IF((Consultas!AD44&gt;'Parâmetros'!$A$31),"X",(H44+I44+J44+Q44+T44+Y44+Z44+AJ44+AN44))</f>
        <v>X</v>
      </c>
      <c r="AT44" s="78">
        <f>IF((Consultas!AD44&lt;'Parâmetros'!$A$31),"X",(AD44+AC44+AB44))</f>
        <v>13</v>
      </c>
      <c r="AU44" s="78">
        <f t="shared" si="1"/>
        <v>13</v>
      </c>
      <c r="AV44" s="82" t="str">
        <f>IF(AQ44="N/A","N/A",IF(AQ44&gt;5,'Parâmetros'!$A$15,(IF(AU44=AR44,'Parâmetros'!$A$17,IF(AU44=AS44,'Parâmetros'!$A$16,'Parâmetros'!$A$14)))))</f>
        <v>SEM-RISCO</v>
      </c>
      <c r="AW44" s="86" t="str">
        <f>IF(AQ44="N/A","N/A",IF(AV44='Parâmetros'!$A$15,'Parâmetros'!$C$15,(IF(AV44='Parâmetros'!$A$17,'Parâmetros'!$C$17,IF(AV44='Parâmetros'!$A$16,'Parâmetros'!$C$16,IF(AV44='Parâmetros'!$A$14,'Parâmetros'!$C$12))))))</f>
        <v>LIBERADO</v>
      </c>
      <c r="AX44" s="82" t="str">
        <f>IF(Consultas!F44&gt;1,(IF(Consultas!F44&gt;5000,"SOLICITAR PED COMPRA","N/A")))</f>
        <v>SOLICITAR PED COMPRA</v>
      </c>
      <c r="AY44" s="167" t="str">
        <f>IF(AND(Consultas!M44&lt;&gt;"S", Consultas!H44="S"), "CHECAGEM REVERSA", "N/A")</f>
        <v>N/A</v>
      </c>
      <c r="AZ44" s="167" t="str">
        <f>IF(Consultas!U44="N","PRECISA CORRIGIR END DIVERGENTE","N/A")</f>
        <v>N/A</v>
      </c>
    </row>
    <row r="45" ht="12.0" customHeight="1">
      <c r="A45" s="39" t="s">
        <v>90</v>
      </c>
      <c r="B45" s="82">
        <f>Consultas!B45</f>
        <v>204</v>
      </c>
      <c r="C45" s="82" t="str">
        <f>Consultas!D45</f>
        <v>Metalpleno</v>
      </c>
      <c r="D45" s="96" t="str">
        <f>Consultas!E45</f>
        <v>141474</v>
      </c>
      <c r="E45" s="104">
        <f>IF(Consultas!AB45&gt;0,YEAR('Parâmetros'!$B$1)-YEAR(Consultas!AB45),"NA")</f>
        <v>31</v>
      </c>
      <c r="F45" s="82">
        <f>IF(Consultas!F45&gt;'Parâmetros'!$B$2,-8,0)</f>
        <v>0</v>
      </c>
      <c r="G45" s="82">
        <f>IF(Consultas!H45='Parâmetros'!$E$1,100,0)</f>
        <v>0</v>
      </c>
      <c r="H45" s="82">
        <f>IF(Consultas!I45='Parâmetros'!$E$1,-4,12)</f>
        <v>-4</v>
      </c>
      <c r="I45" s="82">
        <f>IF(Consultas!J45='Parâmetros'!$E$1,1,-13)</f>
        <v>1</v>
      </c>
      <c r="J45" s="82">
        <f>IF(Consultas!K45='Parâmetros'!$E$1,2,-5)</f>
        <v>2</v>
      </c>
      <c r="K45" s="82" t="str">
        <f>IF(Consultas!L45='Parâmetros'!$D$1,"SOLIC CONTRATO DE ENTREGA","N/A")</f>
        <v>SOLIC CONTRATO DE ENTREGA</v>
      </c>
      <c r="L45" s="82">
        <f>IF(Consultas!R45='Parâmetros'!$E$1,1,-3)</f>
        <v>1</v>
      </c>
      <c r="M45" s="82">
        <f>IF(Consultas!S45&gt;1,(IF(Consultas!S45='Parâmetros'!$E$1,-3,9)))</f>
        <v>9</v>
      </c>
      <c r="N45" s="82">
        <f>IF(Consultas!T45="S",23,0)</f>
        <v>0</v>
      </c>
      <c r="O45" s="82">
        <f>IF(Consultas!U45='Parâmetros'!$E$1,-3,3)</f>
        <v>3</v>
      </c>
      <c r="P45" s="82">
        <f>IF(Consultas!V45='Parâmetros'!$E$1,-100,2)</f>
        <v>2</v>
      </c>
      <c r="Q45" s="82">
        <f>IF(Consultas!M45='Parâmetros'!$D$1,2,-9)</f>
        <v>2</v>
      </c>
      <c r="R45" s="82">
        <f>IF(Consultas!N45="RJ",-12,0)</f>
        <v>0</v>
      </c>
      <c r="S45" s="82">
        <f>IF(Consultas!O45="-",-3,IF(Consultas!O45=0,-6,IF(Consultas!O45=5,0,IF(Consultas!O45=10,6))))</f>
        <v>-3</v>
      </c>
      <c r="T45" s="82">
        <f>IF(Consultas!M45="S",0,(IF(Consultas!P45="S",6,0)))</f>
        <v>0</v>
      </c>
      <c r="U45" s="82">
        <f>IF(Consultas!Q45&gt;97,9,IF(Consultas!Q45&gt;75,0,-7))</f>
        <v>9</v>
      </c>
      <c r="V45" s="82">
        <f>IF(Consultas!W45='Parâmetros'!$E$1,1,-5)</f>
        <v>1</v>
      </c>
      <c r="W45" s="82">
        <f>IF(Consultas!X45="S",3,-3)</f>
        <v>3</v>
      </c>
      <c r="X45" s="82">
        <f>IF(Consultas!Y45="S",0,-7)</f>
        <v>0</v>
      </c>
      <c r="Y45" s="82">
        <f>IF(Consultas!Z45='Parâmetros'!$E$1,2,-8)</f>
        <v>2</v>
      </c>
      <c r="Z45" s="82">
        <f>IF(Consultas!AA45='Parâmetros'!$E$1,-15,1)</f>
        <v>1</v>
      </c>
      <c r="AA45" s="147" t="s">
        <v>140</v>
      </c>
      <c r="AB45" s="82">
        <f>IF(E45="NA","NA",IF(E45&gt;'Parâmetros'!$A$9,8,IF(E45&gt;'Parâmetros'!$A$8,4,IF(E45&gt;'Parâmetros'!$A$7,0,-6))))</f>
        <v>8</v>
      </c>
      <c r="AC45" s="82">
        <f>IF(Consultas!AC45='Parâmetros'!$E$1,0,5)</f>
        <v>5</v>
      </c>
      <c r="AD45" s="82">
        <f>IF(Consultas!AH45='Parâmetros'!$D$1,-10,5)</f>
        <v>-10</v>
      </c>
      <c r="AE45" s="82">
        <f>IF(Consultas!AI45&gt;(Consultas!F45*2),-10,0)</f>
        <v>-10</v>
      </c>
      <c r="AF45" s="82">
        <f>IF(Consultas!AD45&gt;1,(IF(Consultas!AI45&gt;(Consultas!AD45),-20,4)))</f>
        <v>4</v>
      </c>
      <c r="AG45" s="82">
        <f>IF(Consultas!AG45='Parâmetros'!$E$1,0,-6)</f>
        <v>0</v>
      </c>
      <c r="AH45" s="82">
        <f>IF(Consultas!AF45='Parâmetros'!$E$1,1,-5)</f>
        <v>-5</v>
      </c>
      <c r="AI45" s="82">
        <f>IF(Consultas!AJ45&gt;700,8,IF(Consultas!AJ45&gt;500,4,IF(Consultas!AJ45&gt;200,-4,IF(Consultas!AJ45&gt;1,-15,-20))))</f>
        <v>8</v>
      </c>
      <c r="AJ45" s="82">
        <f>IF(Consultas!AD45='Parâmetros'!$E$10,0,IF(Consultas!AD45&gt;'Parâmetros'!$A$30,12,IF(Consultas!AD45&gt;'Parâmetros'!$A$31,6,IF(Consultas!AD45&gt;'Parâmetros'!$A$32,0,IF(Consultas!AD45&gt;'Parâmetros'!$A$33,0,IF(Consultas!AD45&gt;'Parâmetros'!$A$34,-3,IF(Consultas!AD45&gt;'Parâmetros'!$A$35,-7,-1)))))))</f>
        <v>12</v>
      </c>
      <c r="AK45" s="82">
        <f>IF(Consultas!AO45='Parâmetros'!$D$1,3,-3)</f>
        <v>-3</v>
      </c>
      <c r="AL45" s="82">
        <f>IF(Consultas!AP45='Parâmetros'!$D$1,5,-3)</f>
        <v>-3</v>
      </c>
      <c r="AM45" s="82">
        <f>IF(Consultas!AL45="N",-6,0)</f>
        <v>0</v>
      </c>
      <c r="AN45" s="82">
        <f>IF(Consultas!AM45="N",-10,0)</f>
        <v>0</v>
      </c>
      <c r="AO45" s="82">
        <f>IF(Consultas!AN45="S",4,-2)</f>
        <v>-2</v>
      </c>
      <c r="AP45" s="39"/>
      <c r="AQ45" s="165">
        <f>IF(Consultas!F45&gt;1,(SUM(F45:AO45)),"N/A")</f>
        <v>33</v>
      </c>
      <c r="AR45" s="78" t="str">
        <f>IF((Consultas!AD45&gt;'Parâmetros'!$A$31),"X",AJ45+Y45+V45+AC45)</f>
        <v>X</v>
      </c>
      <c r="AS45" s="78" t="str">
        <f>IF((Consultas!AD45&gt;'Parâmetros'!$A$31),"X",(H45+I45+J45+Q45+T45+Y45+Z45+AJ45+AN45))</f>
        <v>X</v>
      </c>
      <c r="AT45" s="78">
        <f>IF((Consultas!AD45&lt;'Parâmetros'!$A$31),"X",(AD45+AC45+AB45))</f>
        <v>3</v>
      </c>
      <c r="AU45" s="78">
        <f t="shared" si="1"/>
        <v>3</v>
      </c>
      <c r="AV45" s="82" t="str">
        <f>IF(AQ45="N/A","N/A",IF(AQ45&gt;5,'Parâmetros'!$A$15,(IF(AU45=AR45,'Parâmetros'!$A$17,IF(AU45=AS45,'Parâmetros'!$A$16,'Parâmetros'!$A$14)))))</f>
        <v>SEM-RISCO</v>
      </c>
      <c r="AW45" s="86" t="str">
        <f>IF(AQ45="N/A","N/A",IF(AV45='Parâmetros'!$A$15,'Parâmetros'!$C$15,(IF(AV45='Parâmetros'!$A$17,'Parâmetros'!$C$17,IF(AV45='Parâmetros'!$A$16,'Parâmetros'!$C$16,IF(AV45='Parâmetros'!$A$14,'Parâmetros'!$C$12))))))</f>
        <v>LIBERADO</v>
      </c>
      <c r="AX45" s="82" t="str">
        <f>IF(Consultas!F45&gt;1,(IF(Consultas!F45&gt;5000,"SOLICITAR PED COMPRA","N/A")))</f>
        <v>SOLICITAR PED COMPRA</v>
      </c>
      <c r="AY45" s="167" t="str">
        <f>IF(AND(Consultas!M45&lt;&gt;"S", Consultas!H45="S"), "CHECAGEM REVERSA", "N/A")</f>
        <v>N/A</v>
      </c>
      <c r="AZ45" s="167" t="str">
        <f>IF(Consultas!U45="N","PRECISA CORRIGIR END DIVERGENTE","N/A")</f>
        <v>N/A</v>
      </c>
    </row>
    <row r="46" ht="12.0" customHeight="1">
      <c r="A46" s="39" t="s">
        <v>90</v>
      </c>
      <c r="B46" s="82">
        <f>Consultas!B46</f>
        <v>523</v>
      </c>
      <c r="C46" s="82" t="str">
        <f>Consultas!D46</f>
        <v>Oaco</v>
      </c>
      <c r="D46" s="96" t="str">
        <f>Consultas!E46</f>
        <v>022550</v>
      </c>
      <c r="E46" s="104">
        <f>IF(Consultas!AB46&gt;0,YEAR('Parâmetros'!$B$1)-YEAR(Consultas!AB46),"NA")</f>
        <v>15</v>
      </c>
      <c r="F46" s="82">
        <f>IF(Consultas!F46&gt;'Parâmetros'!$B$2,-8,0)</f>
        <v>0</v>
      </c>
      <c r="G46" s="82">
        <f>IF(Consultas!H46='Parâmetros'!$E$1,100,0)</f>
        <v>0</v>
      </c>
      <c r="H46" s="82">
        <f>IF(Consultas!I46='Parâmetros'!$E$1,-4,12)</f>
        <v>-4</v>
      </c>
      <c r="I46" s="82">
        <f>IF(Consultas!J46='Parâmetros'!$E$1,1,-13)</f>
        <v>1</v>
      </c>
      <c r="J46" s="82">
        <f>IF(Consultas!K46='Parâmetros'!$E$1,2,-5)</f>
        <v>2</v>
      </c>
      <c r="K46" s="82" t="str">
        <f>IF(Consultas!L46='Parâmetros'!$D$1,"SOLIC CONTRATO DE ENTREGA","N/A")</f>
        <v>N/A</v>
      </c>
      <c r="L46" s="82">
        <f>IF(Consultas!R46='Parâmetros'!$E$1,1,-3)</f>
        <v>1</v>
      </c>
      <c r="M46" s="82">
        <f>IF(Consultas!S46&gt;1,(IF(Consultas!S46='Parâmetros'!$E$1,-3,9)))</f>
        <v>-3</v>
      </c>
      <c r="N46" s="82">
        <f>IF(Consultas!T46="S",23,0)</f>
        <v>0</v>
      </c>
      <c r="O46" s="82">
        <f>IF(Consultas!U46='Parâmetros'!$E$1,-3,3)</f>
        <v>3</v>
      </c>
      <c r="P46" s="82">
        <f>IF(Consultas!V46='Parâmetros'!$E$1,-100,2)</f>
        <v>2</v>
      </c>
      <c r="Q46" s="82">
        <f>IF(Consultas!M46='Parâmetros'!$D$1,2,-9)</f>
        <v>2</v>
      </c>
      <c r="R46" s="82">
        <f>IF(Consultas!N46="RJ",-12,0)</f>
        <v>0</v>
      </c>
      <c r="S46" s="82">
        <f>IF(Consultas!O46="-",-3,IF(Consultas!O46=0,-6,IF(Consultas!O46=5,0,IF(Consultas!O46=10,6))))</f>
        <v>-3</v>
      </c>
      <c r="T46" s="82">
        <f>IF(Consultas!M46="S",0,(IF(Consultas!P46="S",6,0)))</f>
        <v>0</v>
      </c>
      <c r="U46" s="82">
        <f>IF(Consultas!Q46&gt;97,9,IF(Consultas!Q46&gt;75,0,-7))</f>
        <v>9</v>
      </c>
      <c r="V46" s="82">
        <f>IF(Consultas!W46='Parâmetros'!$E$1,1,-5)</f>
        <v>1</v>
      </c>
      <c r="W46" s="82">
        <f>IF(Consultas!X46="S",3,-3)</f>
        <v>3</v>
      </c>
      <c r="X46" s="82">
        <f>IF(Consultas!Y46="S",0,-7)</f>
        <v>0</v>
      </c>
      <c r="Y46" s="82">
        <f>IF(Consultas!Z46='Parâmetros'!$E$1,2,-8)</f>
        <v>2</v>
      </c>
      <c r="Z46" s="82">
        <f>IF(Consultas!AA46='Parâmetros'!$E$1,-15,1)</f>
        <v>1</v>
      </c>
      <c r="AA46" s="147" t="s">
        <v>140</v>
      </c>
      <c r="AB46" s="82">
        <f>IF(E46="NA","NA",IF(E46&gt;'Parâmetros'!$A$9,8,IF(E46&gt;'Parâmetros'!$A$8,4,IF(E46&gt;'Parâmetros'!$A$7,0,-6))))</f>
        <v>0</v>
      </c>
      <c r="AC46" s="82">
        <f>IF(Consultas!AC46='Parâmetros'!$E$1,0,5)</f>
        <v>5</v>
      </c>
      <c r="AD46" s="82">
        <f>IF(Consultas!AH46='Parâmetros'!$D$1,-10,5)</f>
        <v>-10</v>
      </c>
      <c r="AE46" s="82">
        <f>IF(Consultas!AI46&gt;(Consultas!F46*2),-10,0)</f>
        <v>-10</v>
      </c>
      <c r="AF46" s="82">
        <f>IF(Consultas!AD46&gt;1,(IF(Consultas!AI46&gt;(Consultas!AD46),-20,4)))</f>
        <v>4</v>
      </c>
      <c r="AG46" s="82">
        <f>IF(Consultas!AG46='Parâmetros'!$E$1,0,-6)</f>
        <v>0</v>
      </c>
      <c r="AH46" s="82">
        <f>IF(Consultas!AF46='Parâmetros'!$E$1,1,-5)</f>
        <v>-5</v>
      </c>
      <c r="AI46" s="82">
        <f>IF(Consultas!AJ46&gt;700,8,IF(Consultas!AJ46&gt;500,4,IF(Consultas!AJ46&gt;200,-4,IF(Consultas!AJ46&gt;1,-15,-20))))</f>
        <v>4</v>
      </c>
      <c r="AJ46" s="82">
        <f>IF(Consultas!AD46='Parâmetros'!$E$10,0,IF(Consultas!AD46&gt;'Parâmetros'!$A$30,12,IF(Consultas!AD46&gt;'Parâmetros'!$A$31,6,IF(Consultas!AD46&gt;'Parâmetros'!$A$32,0,IF(Consultas!AD46&gt;'Parâmetros'!$A$33,0,IF(Consultas!AD46&gt;'Parâmetros'!$A$34,-3,IF(Consultas!AD46&gt;'Parâmetros'!$A$35,-7,-1)))))))</f>
        <v>12</v>
      </c>
      <c r="AK46" s="82">
        <f>IF(Consultas!AO46='Parâmetros'!$D$1,3,-3)</f>
        <v>-3</v>
      </c>
      <c r="AL46" s="82">
        <f>IF(Consultas!AP46='Parâmetros'!$D$1,5,-3)</f>
        <v>-3</v>
      </c>
      <c r="AM46" s="82">
        <f>IF(Consultas!AL46="N",-6,0)</f>
        <v>0</v>
      </c>
      <c r="AN46" s="82">
        <f>IF(Consultas!AM46="N",-10,0)</f>
        <v>0</v>
      </c>
      <c r="AO46" s="82">
        <f>IF(Consultas!AN46="S",4,-2)</f>
        <v>-2</v>
      </c>
      <c r="AP46" s="39"/>
      <c r="AQ46" s="165">
        <f>IF(Consultas!F46&gt;1,(SUM(F46:AO46)),"N/A")</f>
        <v>9</v>
      </c>
      <c r="AR46" s="78" t="str">
        <f>IF((Consultas!AD46&gt;'Parâmetros'!$A$31),"X",AJ46+Y46+V46+AC46)</f>
        <v>X</v>
      </c>
      <c r="AS46" s="78" t="str">
        <f>IF((Consultas!AD46&gt;'Parâmetros'!$A$31),"X",(H46+I46+J46+Q46+T46+Y46+Z46+AJ46+AN46))</f>
        <v>X</v>
      </c>
      <c r="AT46" s="78">
        <f>IF((Consultas!AD46&lt;'Parâmetros'!$A$31),"X",(AD46+AC46+AB46))</f>
        <v>-5</v>
      </c>
      <c r="AU46" s="78">
        <f t="shared" si="1"/>
        <v>-5</v>
      </c>
      <c r="AV46" s="82" t="str">
        <f>IF(AQ46="N/A","N/A",IF(AQ46&gt;5,'Parâmetros'!$A$15,(IF(AU46=AR46,'Parâmetros'!$A$17,IF(AU46=AS46,'Parâmetros'!$A$16,'Parâmetros'!$A$14)))))</f>
        <v>SEM-RISCO</v>
      </c>
      <c r="AW46" s="86" t="str">
        <f>IF(AQ46="N/A","N/A",IF(AV46='Parâmetros'!$A$15,'Parâmetros'!$C$15,(IF(AV46='Parâmetros'!$A$17,'Parâmetros'!$C$17,IF(AV46='Parâmetros'!$A$16,'Parâmetros'!$C$16,IF(AV46='Parâmetros'!$A$14,'Parâmetros'!$C$12))))))</f>
        <v>LIBERADO</v>
      </c>
      <c r="AX46" s="82" t="str">
        <f>IF(Consultas!F46&gt;1,(IF(Consultas!F46&gt;5000,"SOLICITAR PED COMPRA","N/A")))</f>
        <v>N/A</v>
      </c>
      <c r="AY46" s="167" t="str">
        <f>IF(AND(Consultas!M46&lt;&gt;"S", Consultas!H46="S"), "CHECAGEM REVERSA", "N/A")</f>
        <v>N/A</v>
      </c>
      <c r="AZ46" s="167" t="str">
        <f>IF(Consultas!U46="N","PRECISA CORRIGIR END DIVERGENTE","N/A")</f>
        <v>N/A</v>
      </c>
    </row>
    <row r="47" ht="12.0" customHeight="1">
      <c r="A47" s="39" t="s">
        <v>90</v>
      </c>
      <c r="B47" s="82">
        <f>Consultas!B47</f>
        <v>205</v>
      </c>
      <c r="C47" s="82" t="str">
        <f>Consultas!D47</f>
        <v>Metalpleno</v>
      </c>
      <c r="D47" s="96" t="str">
        <f>Consultas!E47</f>
        <v>141438</v>
      </c>
      <c r="E47" s="104">
        <f>IF(Consultas!AB47&gt;0,YEAR('Parâmetros'!$B$1)-YEAR(Consultas!AB47),"NA")</f>
        <v>41</v>
      </c>
      <c r="F47" s="82">
        <f>IF(Consultas!F47&gt;'Parâmetros'!$B$2,-8,0)</f>
        <v>0</v>
      </c>
      <c r="G47" s="82">
        <f>IF(Consultas!H47='Parâmetros'!$E$1,100,0)</f>
        <v>0</v>
      </c>
      <c r="H47" s="82">
        <f>IF(Consultas!I47='Parâmetros'!$E$1,-4,12)</f>
        <v>-4</v>
      </c>
      <c r="I47" s="82">
        <f>IF(Consultas!J47='Parâmetros'!$E$1,1,-13)</f>
        <v>1</v>
      </c>
      <c r="J47" s="82">
        <f>IF(Consultas!K47='Parâmetros'!$E$1,2,-5)</f>
        <v>2</v>
      </c>
      <c r="K47" s="82" t="str">
        <f>IF(Consultas!L47='Parâmetros'!$D$1,"SOLIC CONTRATO DE ENTREGA","N/A")</f>
        <v>SOLIC CONTRATO DE ENTREGA</v>
      </c>
      <c r="L47" s="82">
        <f>IF(Consultas!R47='Parâmetros'!$E$1,1,-3)</f>
        <v>1</v>
      </c>
      <c r="M47" s="82">
        <f>IF(Consultas!S47&gt;1,(IF(Consultas!S47='Parâmetros'!$E$1,-3,9)))</f>
        <v>-3</v>
      </c>
      <c r="N47" s="82">
        <f>IF(Consultas!T47="S",23,0)</f>
        <v>0</v>
      </c>
      <c r="O47" s="82">
        <f>IF(Consultas!U47='Parâmetros'!$E$1,-3,3)</f>
        <v>3</v>
      </c>
      <c r="P47" s="82">
        <f>IF(Consultas!V47='Parâmetros'!$E$1,-100,2)</f>
        <v>2</v>
      </c>
      <c r="Q47" s="82">
        <f>IF(Consultas!M47='Parâmetros'!$D$1,2,-9)</f>
        <v>2</v>
      </c>
      <c r="R47" s="82">
        <f>IF(Consultas!N47="RJ",-12,0)</f>
        <v>0</v>
      </c>
      <c r="S47" s="82">
        <f>IF(Consultas!O47="-",-3,IF(Consultas!O47=0,-6,IF(Consultas!O47=5,0,IF(Consultas!O47=10,6))))</f>
        <v>0</v>
      </c>
      <c r="T47" s="82">
        <f>IF(Consultas!M47="S",0,(IF(Consultas!P47="S",6,0)))</f>
        <v>0</v>
      </c>
      <c r="U47" s="82">
        <f>IF(Consultas!Q47&gt;97,9,IF(Consultas!Q47&gt;75,0,-7))</f>
        <v>9</v>
      </c>
      <c r="V47" s="82">
        <f>IF(Consultas!W47='Parâmetros'!$E$1,1,-5)</f>
        <v>1</v>
      </c>
      <c r="W47" s="82">
        <f>IF(Consultas!X47="S",3,-3)</f>
        <v>3</v>
      </c>
      <c r="X47" s="82">
        <f>IF(Consultas!Y47="S",0,-7)</f>
        <v>0</v>
      </c>
      <c r="Y47" s="82">
        <f>IF(Consultas!Z47='Parâmetros'!$E$1,2,-8)</f>
        <v>2</v>
      </c>
      <c r="Z47" s="82">
        <f>IF(Consultas!AA47='Parâmetros'!$E$1,-15,1)</f>
        <v>1</v>
      </c>
      <c r="AA47" s="147" t="s">
        <v>140</v>
      </c>
      <c r="AB47" s="82">
        <f>IF(E47="NA","NA",IF(E47&gt;'Parâmetros'!$A$9,8,IF(E47&gt;'Parâmetros'!$A$8,4,IF(E47&gt;'Parâmetros'!$A$7,0,-6))))</f>
        <v>8</v>
      </c>
      <c r="AC47" s="82">
        <f>IF(Consultas!AC47='Parâmetros'!$E$1,0,5)</f>
        <v>0</v>
      </c>
      <c r="AD47" s="82">
        <f>IF(Consultas!AH47='Parâmetros'!$D$1,-10,5)</f>
        <v>-10</v>
      </c>
      <c r="AE47" s="82">
        <f>IF(Consultas!AI47&gt;(Consultas!F47*2),-10,0)</f>
        <v>0</v>
      </c>
      <c r="AF47" s="82">
        <f>IF(Consultas!AD47&gt;1,(IF(Consultas!AI47&gt;(Consultas!AD47),-20,4)))</f>
        <v>4</v>
      </c>
      <c r="AG47" s="82">
        <f>IF(Consultas!AG47='Parâmetros'!$E$1,0,-6)</f>
        <v>0</v>
      </c>
      <c r="AH47" s="82">
        <f>IF(Consultas!AF47='Parâmetros'!$E$1,1,-5)</f>
        <v>1</v>
      </c>
      <c r="AI47" s="82">
        <f>IF(Consultas!AJ47&gt;700,8,IF(Consultas!AJ47&gt;500,4,IF(Consultas!AJ47&gt;200,-4,IF(Consultas!AJ47&gt;1,-15,-20))))</f>
        <v>-4</v>
      </c>
      <c r="AJ47" s="82">
        <f>IF(Consultas!AD47='Parâmetros'!$E$10,0,IF(Consultas!AD47&gt;'Parâmetros'!$A$30,12,IF(Consultas!AD47&gt;'Parâmetros'!$A$31,6,IF(Consultas!AD47&gt;'Parâmetros'!$A$32,0,IF(Consultas!AD47&gt;'Parâmetros'!$A$33,0,IF(Consultas!AD47&gt;'Parâmetros'!$A$34,-3,IF(Consultas!AD47&gt;'Parâmetros'!$A$35,-7,-1)))))))</f>
        <v>12</v>
      </c>
      <c r="AK47" s="82">
        <f>IF(Consultas!AO47='Parâmetros'!$D$1,3,-3)</f>
        <v>-3</v>
      </c>
      <c r="AL47" s="82">
        <f>IF(Consultas!AP47='Parâmetros'!$D$1,5,-3)</f>
        <v>-3</v>
      </c>
      <c r="AM47" s="82">
        <f>IF(Consultas!AL47="N",-6,0)</f>
        <v>0</v>
      </c>
      <c r="AN47" s="82">
        <f>IF(Consultas!AM47="N",-10,0)</f>
        <v>0</v>
      </c>
      <c r="AO47" s="82">
        <f>IF(Consultas!AN47="S",4,-2)</f>
        <v>-2</v>
      </c>
      <c r="AP47" s="39"/>
      <c r="AQ47" s="165">
        <f>IF(Consultas!F47&gt;1,(SUM(F47:AO47)),"N/A")</f>
        <v>23</v>
      </c>
      <c r="AR47" s="78" t="str">
        <f>IF((Consultas!AD47&gt;'Parâmetros'!$A$31),"X",AJ47+Y47+V47+AC47)</f>
        <v>X</v>
      </c>
      <c r="AS47" s="78" t="str">
        <f>IF((Consultas!AD47&gt;'Parâmetros'!$A$31),"X",(H47+I47+J47+Q47+T47+Y47+Z47+AJ47+AN47))</f>
        <v>X</v>
      </c>
      <c r="AT47" s="78">
        <f>IF((Consultas!AD47&lt;'Parâmetros'!$A$31),"X",(AD47+AC47+AB47))</f>
        <v>-2</v>
      </c>
      <c r="AU47" s="78">
        <f t="shared" si="1"/>
        <v>-2</v>
      </c>
      <c r="AV47" s="82" t="str">
        <f>IF(AQ47="N/A","N/A",IF(AQ47&gt;5,'Parâmetros'!$A$15,(IF(AU47=AR47,'Parâmetros'!$A$17,IF(AU47=AS47,'Parâmetros'!$A$16,'Parâmetros'!$A$14)))))</f>
        <v>SEM-RISCO</v>
      </c>
      <c r="AW47" s="86" t="str">
        <f>IF(AQ47="N/A","N/A",IF(AV47='Parâmetros'!$A$15,'Parâmetros'!$C$15,(IF(AV47='Parâmetros'!$A$17,'Parâmetros'!$C$17,IF(AV47='Parâmetros'!$A$16,'Parâmetros'!$C$16,IF(AV47='Parâmetros'!$A$14,'Parâmetros'!$C$12))))))</f>
        <v>LIBERADO</v>
      </c>
      <c r="AX47" s="82" t="str">
        <f>IF(Consultas!F47&gt;1,(IF(Consultas!F47&gt;5000,"SOLICITAR PED COMPRA","N/A")))</f>
        <v>N/A</v>
      </c>
      <c r="AY47" s="167" t="str">
        <f>IF(AND(Consultas!M47&lt;&gt;"S", Consultas!H47="S"), "CHECAGEM REVERSA", "N/A")</f>
        <v>N/A</v>
      </c>
      <c r="AZ47" s="167" t="str">
        <f>IF(Consultas!U47="N","PRECISA CORRIGIR END DIVERGENTE","N/A")</f>
        <v>N/A</v>
      </c>
    </row>
    <row r="48" ht="12.0" customHeight="1">
      <c r="A48" s="39" t="s">
        <v>90</v>
      </c>
      <c r="B48" s="82">
        <f>Consultas!B48</f>
        <v>208</v>
      </c>
      <c r="C48" s="82" t="str">
        <f>Consultas!D48</f>
        <v>Metalpleno</v>
      </c>
      <c r="D48" s="96" t="str">
        <f>Consultas!E48</f>
        <v>144544</v>
      </c>
      <c r="E48" s="104">
        <f>IF(Consultas!AB48&gt;0,YEAR('Parâmetros'!$B$1)-YEAR(Consultas!AB48),"NA")</f>
        <v>23</v>
      </c>
      <c r="F48" s="82">
        <f>IF(Consultas!F48&gt;'Parâmetros'!$B$2,-8,0)</f>
        <v>0</v>
      </c>
      <c r="G48" s="82">
        <f>IF(Consultas!H48='Parâmetros'!$E$1,100,0)</f>
        <v>0</v>
      </c>
      <c r="H48" s="82">
        <f>IF(Consultas!I48='Parâmetros'!$E$1,-4,12)</f>
        <v>-4</v>
      </c>
      <c r="I48" s="82">
        <f>IF(Consultas!J48='Parâmetros'!$E$1,1,-13)</f>
        <v>1</v>
      </c>
      <c r="J48" s="82">
        <f>IF(Consultas!K48='Parâmetros'!$E$1,2,-5)</f>
        <v>2</v>
      </c>
      <c r="K48" s="82" t="str">
        <f>IF(Consultas!L48='Parâmetros'!$D$1,"SOLIC CONTRATO DE ENTREGA","N/A")</f>
        <v>SOLIC CONTRATO DE ENTREGA</v>
      </c>
      <c r="L48" s="82">
        <f>IF(Consultas!R48='Parâmetros'!$E$1,1,-3)</f>
        <v>1</v>
      </c>
      <c r="M48" s="82">
        <f>IF(Consultas!S48&gt;1,(IF(Consultas!S48='Parâmetros'!$E$1,-3,9)))</f>
        <v>-3</v>
      </c>
      <c r="N48" s="82">
        <f>IF(Consultas!T48="S",23,0)</f>
        <v>0</v>
      </c>
      <c r="O48" s="82">
        <f>IF(Consultas!U48='Parâmetros'!$E$1,-3,3)</f>
        <v>3</v>
      </c>
      <c r="P48" s="82">
        <f>IF(Consultas!V48='Parâmetros'!$E$1,-100,2)</f>
        <v>2</v>
      </c>
      <c r="Q48" s="82">
        <f>IF(Consultas!M48='Parâmetros'!$D$1,2,-9)</f>
        <v>2</v>
      </c>
      <c r="R48" s="82">
        <f>IF(Consultas!N48="RJ",-12,0)</f>
        <v>0</v>
      </c>
      <c r="S48" s="82">
        <f>IF(Consultas!O48="-",-3,IF(Consultas!O48=0,-6,IF(Consultas!O48=5,0,IF(Consultas!O48=10,6))))</f>
        <v>-3</v>
      </c>
      <c r="T48" s="82">
        <f>IF(Consultas!M48="S",0,(IF(Consultas!P48="S",6,0)))</f>
        <v>0</v>
      </c>
      <c r="U48" s="82">
        <f>IF(Consultas!Q48&gt;97,9,IF(Consultas!Q48&gt;75,0,-7))</f>
        <v>9</v>
      </c>
      <c r="V48" s="82">
        <f>IF(Consultas!W48='Parâmetros'!$E$1,1,-5)</f>
        <v>1</v>
      </c>
      <c r="W48" s="82">
        <f>IF(Consultas!X48="S",3,-3)</f>
        <v>3</v>
      </c>
      <c r="X48" s="82">
        <f>IF(Consultas!Y48="S",0,-7)</f>
        <v>-7</v>
      </c>
      <c r="Y48" s="82">
        <f>IF(Consultas!Z48='Parâmetros'!$E$1,2,-8)</f>
        <v>2</v>
      </c>
      <c r="Z48" s="82">
        <f>IF(Consultas!AA48='Parâmetros'!$E$1,-15,1)</f>
        <v>1</v>
      </c>
      <c r="AA48" s="147" t="s">
        <v>140</v>
      </c>
      <c r="AB48" s="82">
        <f>IF(E48="NA","NA",IF(E48&gt;'Parâmetros'!$A$9,8,IF(E48&gt;'Parâmetros'!$A$8,4,IF(E48&gt;'Parâmetros'!$A$7,0,-6))))</f>
        <v>4</v>
      </c>
      <c r="AC48" s="82">
        <f>IF(Consultas!AC48='Parâmetros'!$E$1,0,5)</f>
        <v>5</v>
      </c>
      <c r="AD48" s="82">
        <f>IF(Consultas!AH48='Parâmetros'!$D$1,-10,5)</f>
        <v>5</v>
      </c>
      <c r="AE48" s="82">
        <f>IF(Consultas!AI48&gt;(Consultas!F48*2),-10,0)</f>
        <v>0</v>
      </c>
      <c r="AF48" s="82">
        <f>IF(Consultas!AD48&gt;1,(IF(Consultas!AI48&gt;(Consultas!AD48),-20,4)))</f>
        <v>4</v>
      </c>
      <c r="AG48" s="82">
        <f>IF(Consultas!AG48='Parâmetros'!$E$1,0,-6)</f>
        <v>0</v>
      </c>
      <c r="AH48" s="82">
        <f>IF(Consultas!AF48='Parâmetros'!$E$1,1,-5)</f>
        <v>1</v>
      </c>
      <c r="AI48" s="82">
        <f>IF(Consultas!AJ48&gt;700,8,IF(Consultas!AJ48&gt;500,4,IF(Consultas!AJ48&gt;200,-4,IF(Consultas!AJ48&gt;1,-15,-20))))</f>
        <v>8</v>
      </c>
      <c r="AJ48" s="82">
        <f>IF(Consultas!AD48='Parâmetros'!$E$10,0,IF(Consultas!AD48&gt;'Parâmetros'!$A$30,12,IF(Consultas!AD48&gt;'Parâmetros'!$A$31,6,IF(Consultas!AD48&gt;'Parâmetros'!$A$32,0,IF(Consultas!AD48&gt;'Parâmetros'!$A$33,0,IF(Consultas!AD48&gt;'Parâmetros'!$A$34,-3,IF(Consultas!AD48&gt;'Parâmetros'!$A$35,-7,-1)))))))</f>
        <v>12</v>
      </c>
      <c r="AK48" s="82">
        <f>IF(Consultas!AO48='Parâmetros'!$D$1,3,-3)</f>
        <v>-3</v>
      </c>
      <c r="AL48" s="82">
        <f>IF(Consultas!AP48='Parâmetros'!$D$1,5,-3)</f>
        <v>-3</v>
      </c>
      <c r="AM48" s="82">
        <f>IF(Consultas!AL48="N",-6,0)</f>
        <v>0</v>
      </c>
      <c r="AN48" s="82">
        <f>IF(Consultas!AM48="N",-10,0)</f>
        <v>0</v>
      </c>
      <c r="AO48" s="82">
        <f>IF(Consultas!AN48="S",4,-2)</f>
        <v>-2</v>
      </c>
      <c r="AP48" s="39"/>
      <c r="AQ48" s="165">
        <f>IF(Consultas!F48&gt;1,(SUM(F48:AO48)),"N/A")</f>
        <v>41</v>
      </c>
      <c r="AR48" s="78" t="str">
        <f>IF((Consultas!AD48&gt;'Parâmetros'!$A$31),"X",AJ48+Y48+V48+AC48)</f>
        <v>X</v>
      </c>
      <c r="AS48" s="78" t="str">
        <f>IF((Consultas!AD48&gt;'Parâmetros'!$A$31),"X",(H48+I48+J48+Q48+T48+Y48+Z48+AJ48+AN48))</f>
        <v>X</v>
      </c>
      <c r="AT48" s="78">
        <f>IF((Consultas!AD48&lt;'Parâmetros'!$A$31),"X",(AD48+AC48+AB48))</f>
        <v>14</v>
      </c>
      <c r="AU48" s="78">
        <f t="shared" si="1"/>
        <v>14</v>
      </c>
      <c r="AV48" s="82" t="str">
        <f>IF(AQ48="N/A","N/A",IF(AQ48&gt;5,'Parâmetros'!$A$15,(IF(AU48=AR48,'Parâmetros'!$A$17,IF(AU48=AS48,'Parâmetros'!$A$16,'Parâmetros'!$A$14)))))</f>
        <v>SEM-RISCO</v>
      </c>
      <c r="AW48" s="86" t="str">
        <f>IF(AQ48="N/A","N/A",IF(AV48='Parâmetros'!$A$15,'Parâmetros'!$C$15,(IF(AV48='Parâmetros'!$A$17,'Parâmetros'!$C$17,IF(AV48='Parâmetros'!$A$16,'Parâmetros'!$C$16,IF(AV48='Parâmetros'!$A$14,'Parâmetros'!$C$12))))))</f>
        <v>LIBERADO</v>
      </c>
      <c r="AX48" s="82" t="str">
        <f>IF(Consultas!F48&gt;1,(IF(Consultas!F48&gt;5000,"SOLICITAR PED COMPRA","N/A")))</f>
        <v>N/A</v>
      </c>
      <c r="AY48" s="167" t="str">
        <f>IF(AND(Consultas!M48&lt;&gt;"S", Consultas!H48="S"), "CHECAGEM REVERSA", "N/A")</f>
        <v>N/A</v>
      </c>
      <c r="AZ48" s="167" t="str">
        <f>IF(Consultas!U48="N","PRECISA CORRIGIR END DIVERGENTE","N/A")</f>
        <v>N/A</v>
      </c>
    </row>
    <row r="49" ht="12.0" customHeight="1">
      <c r="A49" s="39" t="s">
        <v>90</v>
      </c>
      <c r="B49" s="82">
        <f>Consultas!B49</f>
        <v>209</v>
      </c>
      <c r="C49" s="82" t="str">
        <f>Consultas!D49</f>
        <v>Metalpleno</v>
      </c>
      <c r="D49" s="96" t="str">
        <f>Consultas!E49</f>
        <v>144076</v>
      </c>
      <c r="E49" s="104">
        <f>IF(Consultas!AB49&gt;0,YEAR('Parâmetros'!$B$1)-YEAR(Consultas!AB49),"NA")</f>
        <v>60</v>
      </c>
      <c r="F49" s="82">
        <f>IF(Consultas!F49&gt;'Parâmetros'!$B$2,-8,0)</f>
        <v>0</v>
      </c>
      <c r="G49" s="82">
        <f>IF(Consultas!H49='Parâmetros'!$E$1,100,0)</f>
        <v>0</v>
      </c>
      <c r="H49" s="82">
        <f>IF(Consultas!I49='Parâmetros'!$E$1,-4,12)</f>
        <v>-4</v>
      </c>
      <c r="I49" s="82">
        <f>IF(Consultas!J49='Parâmetros'!$E$1,1,-13)</f>
        <v>1</v>
      </c>
      <c r="J49" s="82">
        <f>IF(Consultas!K49='Parâmetros'!$E$1,2,-5)</f>
        <v>2</v>
      </c>
      <c r="K49" s="82" t="str">
        <f>IF(Consultas!L49='Parâmetros'!$D$1,"SOLIC CONTRATO DE ENTREGA","N/A")</f>
        <v>SOLIC CONTRATO DE ENTREGA</v>
      </c>
      <c r="L49" s="82">
        <f>IF(Consultas!R49='Parâmetros'!$E$1,1,-3)</f>
        <v>1</v>
      </c>
      <c r="M49" s="82">
        <f>IF(Consultas!S49&gt;1,(IF(Consultas!S49='Parâmetros'!$E$1,-3,9)))</f>
        <v>-3</v>
      </c>
      <c r="N49" s="82">
        <f>IF(Consultas!T49="S",23,0)</f>
        <v>0</v>
      </c>
      <c r="O49" s="82">
        <f>IF(Consultas!U49='Parâmetros'!$E$1,-3,3)</f>
        <v>3</v>
      </c>
      <c r="P49" s="82">
        <f>IF(Consultas!V49='Parâmetros'!$E$1,-100,2)</f>
        <v>2</v>
      </c>
      <c r="Q49" s="82">
        <f>IF(Consultas!M49='Parâmetros'!$D$1,2,-9)</f>
        <v>2</v>
      </c>
      <c r="R49" s="82">
        <f>IF(Consultas!N49="RJ",-12,0)</f>
        <v>0</v>
      </c>
      <c r="S49" s="82">
        <f>IF(Consultas!O49="-",-3,IF(Consultas!O49=0,-6,IF(Consultas!O49=5,0,IF(Consultas!O49=10,6))))</f>
        <v>-3</v>
      </c>
      <c r="T49" s="82">
        <f>IF(Consultas!M49="S",0,(IF(Consultas!P49="S",6,0)))</f>
        <v>0</v>
      </c>
      <c r="U49" s="82">
        <f>IF(Consultas!Q49&gt;97,9,IF(Consultas!Q49&gt;75,0,-7))</f>
        <v>9</v>
      </c>
      <c r="V49" s="82">
        <f>IF(Consultas!W49='Parâmetros'!$E$1,1,-5)</f>
        <v>1</v>
      </c>
      <c r="W49" s="82">
        <f>IF(Consultas!X49="S",3,-3)</f>
        <v>3</v>
      </c>
      <c r="X49" s="82">
        <f>IF(Consultas!Y49="S",0,-7)</f>
        <v>-7</v>
      </c>
      <c r="Y49" s="82">
        <f>IF(Consultas!Z49='Parâmetros'!$E$1,2,-8)</f>
        <v>2</v>
      </c>
      <c r="Z49" s="82">
        <f>IF(Consultas!AA49='Parâmetros'!$E$1,-15,1)</f>
        <v>1</v>
      </c>
      <c r="AA49" s="147" t="s">
        <v>140</v>
      </c>
      <c r="AB49" s="82">
        <f>IF(E49="NA","NA",IF(E49&gt;'Parâmetros'!$A$9,8,IF(E49&gt;'Parâmetros'!$A$8,4,IF(E49&gt;'Parâmetros'!$A$7,0,-6))))</f>
        <v>8</v>
      </c>
      <c r="AC49" s="82">
        <f>IF(Consultas!AC49='Parâmetros'!$E$1,0,5)</f>
        <v>0</v>
      </c>
      <c r="AD49" s="82">
        <f>IF(Consultas!AH49='Parâmetros'!$D$1,-10,5)</f>
        <v>-10</v>
      </c>
      <c r="AE49" s="82">
        <f>IF(Consultas!AI49&gt;(Consultas!F49*2),-10,0)</f>
        <v>-10</v>
      </c>
      <c r="AF49" s="82" t="b">
        <f>IF(Consultas!AD49&gt;1,(IF(Consultas!AI49&gt;(Consultas!AD49),-20,4)))</f>
        <v>0</v>
      </c>
      <c r="AG49" s="82">
        <f>IF(Consultas!AG49='Parâmetros'!$E$1,0,-6)</f>
        <v>0</v>
      </c>
      <c r="AH49" s="82">
        <f>IF(Consultas!AF49='Parâmetros'!$E$1,1,-5)</f>
        <v>-5</v>
      </c>
      <c r="AI49" s="82">
        <f>IF(Consultas!AJ49&gt;700,8,IF(Consultas!AJ49&gt;500,4,IF(Consultas!AJ49&gt;200,-4,IF(Consultas!AJ49&gt;1,-15,-20))))</f>
        <v>-4</v>
      </c>
      <c r="AJ49" s="82">
        <f>IF(Consultas!AD49='Parâmetros'!$E$10,0,IF(Consultas!AD49&gt;'Parâmetros'!$A$30,12,IF(Consultas!AD49&gt;'Parâmetros'!$A$31,6,IF(Consultas!AD49&gt;'Parâmetros'!$A$32,0,IF(Consultas!AD49&gt;'Parâmetros'!$A$33,0,IF(Consultas!AD49&gt;'Parâmetros'!$A$34,-3,IF(Consultas!AD49&gt;'Parâmetros'!$A$35,-7,-1)))))))</f>
        <v>-1</v>
      </c>
      <c r="AK49" s="82">
        <f>IF(Consultas!AO49='Parâmetros'!$D$1,3,-3)</f>
        <v>-3</v>
      </c>
      <c r="AL49" s="82">
        <f>IF(Consultas!AP49='Parâmetros'!$D$1,5,-3)</f>
        <v>-3</v>
      </c>
      <c r="AM49" s="82">
        <f>IF(Consultas!AL49="N",-6,0)</f>
        <v>0</v>
      </c>
      <c r="AN49" s="82">
        <f>IF(Consultas!AM49="N",-10,0)</f>
        <v>0</v>
      </c>
      <c r="AO49" s="82">
        <f>IF(Consultas!AN49="S",4,-2)</f>
        <v>-2</v>
      </c>
      <c r="AP49" s="39"/>
      <c r="AQ49" s="165">
        <f>IF(Consultas!F49&gt;1,(SUM(F49:AO49)),"N/A")</f>
        <v>-20</v>
      </c>
      <c r="AR49" s="78">
        <f>IF((Consultas!AD49&gt;'Parâmetros'!$A$31),"X",AJ49+Y49+V49+AC49)</f>
        <v>2</v>
      </c>
      <c r="AS49" s="78">
        <f>IF((Consultas!AD49&gt;'Parâmetros'!$A$31),"X",(H49+I49+J49+Q49+T49+Y49+Z49+AJ49+AN49))</f>
        <v>3</v>
      </c>
      <c r="AT49" s="78" t="str">
        <f>IF((Consultas!AD49&lt;'Parâmetros'!$A$31),"X",(AD49+AC49+AB49))</f>
        <v>X</v>
      </c>
      <c r="AU49" s="78">
        <f t="shared" si="1"/>
        <v>2</v>
      </c>
      <c r="AV49" s="82" t="str">
        <f>IF(AQ49="N/A","N/A",IF(AQ49&gt;5,'Parâmetros'!$A$15,(IF(AU49=AR49,'Parâmetros'!$A$17,IF(AU49=AS49,'Parâmetros'!$A$16,'Parâmetros'!$A$14)))))</f>
        <v>EMPRESINHA</v>
      </c>
      <c r="AW49" s="86" t="str">
        <f>IF(AQ49="N/A","N/A",IF(AV49='Parâmetros'!$A$15,'Parâmetros'!$C$15,(IF(AV49='Parâmetros'!$A$17,'Parâmetros'!$C$17,IF(AV49='Parâmetros'!$A$16,'Parâmetros'!$C$16,IF(AV49='Parâmetros'!$A$14,'Parâmetros'!$C$12))))))</f>
        <v>VER E-MAIL CORPORATIVO SITE REFERENC COML NFE 3S ALTO VALOR FATURADO</v>
      </c>
      <c r="AX49" s="82" t="str">
        <f>IF(Consultas!F49&gt;1,(IF(Consultas!F49&gt;5000,"SOLICITAR PED COMPRA","N/A")))</f>
        <v>SOLICITAR PED COMPRA</v>
      </c>
      <c r="AY49" s="167" t="str">
        <f>IF(AND(Consultas!M49&lt;&gt;"S", Consultas!H49="S"), "CHECAGEM REVERSA", "N/A")</f>
        <v>N/A</v>
      </c>
      <c r="AZ49" s="167" t="str">
        <f>IF(Consultas!U49="N","PRECISA CORRIGIR END DIVERGENTE","N/A")</f>
        <v>N/A</v>
      </c>
    </row>
    <row r="50" ht="12.0" customHeight="1">
      <c r="A50" s="39" t="s">
        <v>90</v>
      </c>
      <c r="B50" s="82">
        <f>Consultas!B50</f>
        <v>528</v>
      </c>
      <c r="C50" s="82" t="str">
        <f>Consultas!D50</f>
        <v>Oaco</v>
      </c>
      <c r="D50" s="96" t="str">
        <f>Consultas!E50</f>
        <v>027891</v>
      </c>
      <c r="E50" s="104">
        <f>IF(Consultas!AB50&gt;0,YEAR('Parâmetros'!$B$1)-YEAR(Consultas!AB50),"NA")</f>
        <v>23</v>
      </c>
      <c r="F50" s="82">
        <f>IF(Consultas!F50&gt;'Parâmetros'!$B$2,-8,0)</f>
        <v>0</v>
      </c>
      <c r="G50" s="82">
        <f>IF(Consultas!H50='Parâmetros'!$E$1,100,0)</f>
        <v>0</v>
      </c>
      <c r="H50" s="82">
        <f>IF(Consultas!I50='Parâmetros'!$E$1,-4,12)</f>
        <v>-4</v>
      </c>
      <c r="I50" s="82">
        <f>IF(Consultas!J50='Parâmetros'!$E$1,1,-13)</f>
        <v>1</v>
      </c>
      <c r="J50" s="82">
        <f>IF(Consultas!K50='Parâmetros'!$E$1,2,-5)</f>
        <v>2</v>
      </c>
      <c r="K50" s="82" t="str">
        <f>IF(Consultas!L50='Parâmetros'!$D$1,"SOLIC CONTRATO DE ENTREGA","N/A")</f>
        <v>SOLIC CONTRATO DE ENTREGA</v>
      </c>
      <c r="L50" s="82">
        <f>IF(Consultas!R50='Parâmetros'!$E$1,1,-3)</f>
        <v>1</v>
      </c>
      <c r="M50" s="82">
        <f>IF(Consultas!S50&gt;1,(IF(Consultas!S50='Parâmetros'!$E$1,-3,9)))</f>
        <v>-3</v>
      </c>
      <c r="N50" s="82">
        <f>IF(Consultas!T50="S",23,0)</f>
        <v>0</v>
      </c>
      <c r="O50" s="82">
        <f>IF(Consultas!U50='Parâmetros'!$E$1,-3,3)</f>
        <v>3</v>
      </c>
      <c r="P50" s="82">
        <f>IF(Consultas!V50='Parâmetros'!$E$1,-100,2)</f>
        <v>2</v>
      </c>
      <c r="Q50" s="82">
        <f>IF(Consultas!M50='Parâmetros'!$D$1,2,-9)</f>
        <v>2</v>
      </c>
      <c r="R50" s="82">
        <f>IF(Consultas!N50="RJ",-12,0)</f>
        <v>0</v>
      </c>
      <c r="S50" s="82">
        <f>IF(Consultas!O50="-",-3,IF(Consultas!O50=0,-6,IF(Consultas!O50=5,0,IF(Consultas!O50=10,6))))</f>
        <v>0</v>
      </c>
      <c r="T50" s="82">
        <f>IF(Consultas!M50="S",0,(IF(Consultas!P50="S",6,0)))</f>
        <v>0</v>
      </c>
      <c r="U50" s="82">
        <f>IF(Consultas!Q50&gt;97,9,IF(Consultas!Q50&gt;75,0,-7))</f>
        <v>9</v>
      </c>
      <c r="V50" s="82">
        <f>IF(Consultas!W50='Parâmetros'!$E$1,1,-5)</f>
        <v>1</v>
      </c>
      <c r="W50" s="82">
        <f>IF(Consultas!X50="S",3,-3)</f>
        <v>3</v>
      </c>
      <c r="X50" s="82">
        <f>IF(Consultas!Y50="S",0,-7)</f>
        <v>0</v>
      </c>
      <c r="Y50" s="82">
        <f>IF(Consultas!Z50='Parâmetros'!$E$1,2,-8)</f>
        <v>2</v>
      </c>
      <c r="Z50" s="82">
        <f>IF(Consultas!AA50='Parâmetros'!$E$1,-15,1)</f>
        <v>1</v>
      </c>
      <c r="AA50" s="147" t="s">
        <v>140</v>
      </c>
      <c r="AB50" s="82">
        <f>IF(E50="NA","NA",IF(E50&gt;'Parâmetros'!$A$9,8,IF(E50&gt;'Parâmetros'!$A$8,4,IF(E50&gt;'Parâmetros'!$A$7,0,-6))))</f>
        <v>4</v>
      </c>
      <c r="AC50" s="82">
        <f>IF(Consultas!AC50='Parâmetros'!$E$1,0,5)</f>
        <v>0</v>
      </c>
      <c r="AD50" s="82">
        <f>IF(Consultas!AH50='Parâmetros'!$D$1,-10,5)</f>
        <v>5</v>
      </c>
      <c r="AE50" s="82">
        <f>IF(Consultas!AI50&gt;(Consultas!F50*2),-10,0)</f>
        <v>0</v>
      </c>
      <c r="AF50" s="82">
        <f>IF(Consultas!AD50&gt;1,(IF(Consultas!AI50&gt;(Consultas!AD50),-20,4)))</f>
        <v>4</v>
      </c>
      <c r="AG50" s="82">
        <f>IF(Consultas!AG50='Parâmetros'!$E$1,0,-6)</f>
        <v>0</v>
      </c>
      <c r="AH50" s="82">
        <f>IF(Consultas!AF50='Parâmetros'!$E$1,1,-5)</f>
        <v>1</v>
      </c>
      <c r="AI50" s="82">
        <f>IF(Consultas!AJ50&gt;700,8,IF(Consultas!AJ50&gt;500,4,IF(Consultas!AJ50&gt;200,-4,IF(Consultas!AJ50&gt;1,-15,-20))))</f>
        <v>8</v>
      </c>
      <c r="AJ50" s="82">
        <f>IF(Consultas!AD50='Parâmetros'!$E$10,0,IF(Consultas!AD50&gt;'Parâmetros'!$A$30,12,IF(Consultas!AD50&gt;'Parâmetros'!$A$31,6,IF(Consultas!AD50&gt;'Parâmetros'!$A$32,0,IF(Consultas!AD50&gt;'Parâmetros'!$A$33,0,IF(Consultas!AD50&gt;'Parâmetros'!$A$34,-3,IF(Consultas!AD50&gt;'Parâmetros'!$A$35,-7,-1)))))))</f>
        <v>12</v>
      </c>
      <c r="AK50" s="82">
        <f>IF(Consultas!AO50='Parâmetros'!$D$1,3,-3)</f>
        <v>-3</v>
      </c>
      <c r="AL50" s="82">
        <f>IF(Consultas!AP50='Parâmetros'!$D$1,5,-3)</f>
        <v>-3</v>
      </c>
      <c r="AM50" s="82">
        <f>IF(Consultas!AL50="N",-6,0)</f>
        <v>0</v>
      </c>
      <c r="AN50" s="82">
        <f>IF(Consultas!AM50="N",-10,0)</f>
        <v>0</v>
      </c>
      <c r="AO50" s="82">
        <f>IF(Consultas!AN50="S",4,-2)</f>
        <v>-2</v>
      </c>
      <c r="AP50" s="39"/>
      <c r="AQ50" s="165">
        <f>IF(Consultas!F50&gt;1,(SUM(F50:AO50)),"N/A")</f>
        <v>46</v>
      </c>
      <c r="AR50" s="78" t="str">
        <f>IF((Consultas!AD50&gt;'Parâmetros'!$A$31),"X",AJ50+Y50+V50+AC50)</f>
        <v>X</v>
      </c>
      <c r="AS50" s="78" t="str">
        <f>IF((Consultas!AD50&gt;'Parâmetros'!$A$31),"X",(H50+I50+J50+Q50+T50+Y50+Z50+AJ50+AN50))</f>
        <v>X</v>
      </c>
      <c r="AT50" s="78">
        <f>IF((Consultas!AD50&lt;'Parâmetros'!$A$31),"X",(AD50+AC50+AB50))</f>
        <v>9</v>
      </c>
      <c r="AU50" s="78">
        <f t="shared" si="1"/>
        <v>9</v>
      </c>
      <c r="AV50" s="82" t="str">
        <f>IF(AQ50="N/A","N/A",IF(AQ50&gt;5,'Parâmetros'!$A$15,(IF(AU50=AR50,'Parâmetros'!$A$17,IF(AU50=AS50,'Parâmetros'!$A$16,'Parâmetros'!$A$14)))))</f>
        <v>SEM-RISCO</v>
      </c>
      <c r="AW50" s="86" t="str">
        <f>IF(AQ50="N/A","N/A",IF(AV50='Parâmetros'!$A$15,'Parâmetros'!$C$15,(IF(AV50='Parâmetros'!$A$17,'Parâmetros'!$C$17,IF(AV50='Parâmetros'!$A$16,'Parâmetros'!$C$16,IF(AV50='Parâmetros'!$A$14,'Parâmetros'!$C$12))))))</f>
        <v>LIBERADO</v>
      </c>
      <c r="AX50" s="82" t="str">
        <f>IF(Consultas!F50&gt;1,(IF(Consultas!F50&gt;5000,"SOLICITAR PED COMPRA","N/A")))</f>
        <v>N/A</v>
      </c>
      <c r="AY50" s="167" t="str">
        <f>IF(AND(Consultas!M50&lt;&gt;"S", Consultas!H50="S"), "CHECAGEM REVERSA", "N/A")</f>
        <v>N/A</v>
      </c>
      <c r="AZ50" s="167" t="str">
        <f>IF(Consultas!U50="N","PRECISA CORRIGIR END DIVERGENTE","N/A")</f>
        <v>N/A</v>
      </c>
    </row>
    <row r="51" ht="12.0" customHeight="1">
      <c r="A51" s="39" t="s">
        <v>90</v>
      </c>
      <c r="B51" s="82">
        <f>Consultas!B51</f>
        <v>531</v>
      </c>
      <c r="C51" s="82" t="str">
        <f>Consultas!D51</f>
        <v>Oaco</v>
      </c>
      <c r="D51" s="96" t="str">
        <f>Consultas!E51</f>
        <v>144163</v>
      </c>
      <c r="E51" s="104">
        <f>IF(Consultas!AB51&gt;0,YEAR('Parâmetros'!$B$1)-YEAR(Consultas!AB51),"NA")</f>
        <v>60</v>
      </c>
      <c r="F51" s="82">
        <f>IF(Consultas!F51&gt;'Parâmetros'!$B$2,-8,0)</f>
        <v>0</v>
      </c>
      <c r="G51" s="82">
        <f>IF(Consultas!H51='Parâmetros'!$E$1,100,0)</f>
        <v>0</v>
      </c>
      <c r="H51" s="82">
        <f>IF(Consultas!I51='Parâmetros'!$E$1,-4,12)</f>
        <v>-4</v>
      </c>
      <c r="I51" s="82">
        <f>IF(Consultas!J51='Parâmetros'!$E$1,1,-13)</f>
        <v>1</v>
      </c>
      <c r="J51" s="82">
        <f>IF(Consultas!K51='Parâmetros'!$E$1,2,-5)</f>
        <v>2</v>
      </c>
      <c r="K51" s="82" t="str">
        <f>IF(Consultas!L51='Parâmetros'!$D$1,"SOLIC CONTRATO DE ENTREGA","N/A")</f>
        <v>SOLIC CONTRATO DE ENTREGA</v>
      </c>
      <c r="L51" s="82">
        <f>IF(Consultas!R51='Parâmetros'!$E$1,1,-3)</f>
        <v>1</v>
      </c>
      <c r="M51" s="82">
        <f>IF(Consultas!S51&gt;1,(IF(Consultas!S51='Parâmetros'!$E$1,-3,9)))</f>
        <v>9</v>
      </c>
      <c r="N51" s="82">
        <f>IF(Consultas!T51="S",23,0)</f>
        <v>0</v>
      </c>
      <c r="O51" s="82">
        <f>IF(Consultas!U51='Parâmetros'!$E$1,-3,3)</f>
        <v>3</v>
      </c>
      <c r="P51" s="82">
        <f>IF(Consultas!V51='Parâmetros'!$E$1,-100,2)</f>
        <v>2</v>
      </c>
      <c r="Q51" s="82">
        <f>IF(Consultas!M51='Parâmetros'!$D$1,2,-9)</f>
        <v>2</v>
      </c>
      <c r="R51" s="82">
        <f>IF(Consultas!N51="RJ",-12,0)</f>
        <v>0</v>
      </c>
      <c r="S51" s="82">
        <f>IF(Consultas!O51="-",-3,IF(Consultas!O51=0,-6,IF(Consultas!O51=5,0,IF(Consultas!O51=10,6))))</f>
        <v>0</v>
      </c>
      <c r="T51" s="82">
        <f>IF(Consultas!M51="S",0,(IF(Consultas!P51="S",6,0)))</f>
        <v>0</v>
      </c>
      <c r="U51" s="82">
        <f>IF(Consultas!Q51&gt;97,9,IF(Consultas!Q51&gt;75,0,-7))</f>
        <v>9</v>
      </c>
      <c r="V51" s="82">
        <f>IF(Consultas!W51='Parâmetros'!$E$1,1,-5)</f>
        <v>1</v>
      </c>
      <c r="W51" s="82">
        <f>IF(Consultas!X51="S",3,-3)</f>
        <v>3</v>
      </c>
      <c r="X51" s="82">
        <f>IF(Consultas!Y51="S",0,-7)</f>
        <v>0</v>
      </c>
      <c r="Y51" s="82">
        <f>IF(Consultas!Z51='Parâmetros'!$E$1,2,-8)</f>
        <v>2</v>
      </c>
      <c r="Z51" s="82">
        <f>IF(Consultas!AA51='Parâmetros'!$E$1,-15,1)</f>
        <v>1</v>
      </c>
      <c r="AA51" s="147" t="s">
        <v>140</v>
      </c>
      <c r="AB51" s="82">
        <f>IF(E51="NA","NA",IF(E51&gt;'Parâmetros'!$A$9,8,IF(E51&gt;'Parâmetros'!$A$8,4,IF(E51&gt;'Parâmetros'!$A$7,0,-6))))</f>
        <v>8</v>
      </c>
      <c r="AC51" s="82">
        <f>IF(Consultas!AC51='Parâmetros'!$E$1,0,5)</f>
        <v>5</v>
      </c>
      <c r="AD51" s="82">
        <f>IF(Consultas!AH51='Parâmetros'!$D$1,-10,5)</f>
        <v>-10</v>
      </c>
      <c r="AE51" s="82">
        <f>IF(Consultas!AI51&gt;(Consultas!F51*2),-10,0)</f>
        <v>0</v>
      </c>
      <c r="AF51" s="82">
        <f>IF(Consultas!AD51&gt;1,(IF(Consultas!AI51&gt;(Consultas!AD51),-20,4)))</f>
        <v>4</v>
      </c>
      <c r="AG51" s="82">
        <f>IF(Consultas!AG51='Parâmetros'!$E$1,0,-6)</f>
        <v>0</v>
      </c>
      <c r="AH51" s="82">
        <f>IF(Consultas!AF51='Parâmetros'!$E$1,1,-5)</f>
        <v>-5</v>
      </c>
      <c r="AI51" s="82">
        <f>IF(Consultas!AJ51&gt;700,8,IF(Consultas!AJ51&gt;500,4,IF(Consultas!AJ51&gt;200,-4,IF(Consultas!AJ51&gt;1,-15,-20))))</f>
        <v>8</v>
      </c>
      <c r="AJ51" s="82">
        <f>IF(Consultas!AD51='Parâmetros'!$E$10,0,IF(Consultas!AD51&gt;'Parâmetros'!$A$30,12,IF(Consultas!AD51&gt;'Parâmetros'!$A$31,6,IF(Consultas!AD51&gt;'Parâmetros'!$A$32,0,IF(Consultas!AD51&gt;'Parâmetros'!$A$33,0,IF(Consultas!AD51&gt;'Parâmetros'!$A$34,-3,IF(Consultas!AD51&gt;'Parâmetros'!$A$35,-7,-1)))))))</f>
        <v>12</v>
      </c>
      <c r="AK51" s="82">
        <f>IF(Consultas!AO51='Parâmetros'!$D$1,3,-3)</f>
        <v>-3</v>
      </c>
      <c r="AL51" s="82">
        <f>IF(Consultas!AP51='Parâmetros'!$D$1,5,-3)</f>
        <v>-3</v>
      </c>
      <c r="AM51" s="82">
        <f>IF(Consultas!AL51="N",-6,0)</f>
        <v>0</v>
      </c>
      <c r="AN51" s="82">
        <f>IF(Consultas!AM51="N",-10,0)</f>
        <v>0</v>
      </c>
      <c r="AO51" s="82">
        <f>IF(Consultas!AN51="S",4,-2)</f>
        <v>-2</v>
      </c>
      <c r="AP51" s="39"/>
      <c r="AQ51" s="165">
        <f>IF(Consultas!F51&gt;1,(SUM(F51:AO51)),"N/A")</f>
        <v>46</v>
      </c>
      <c r="AR51" s="78" t="str">
        <f>IF((Consultas!AD51&gt;'Parâmetros'!$A$31),"X",AJ51+Y51+V51+AC51)</f>
        <v>X</v>
      </c>
      <c r="AS51" s="78" t="str">
        <f>IF((Consultas!AD51&gt;'Parâmetros'!$A$31),"X",(H51+I51+J51+Q51+T51+Y51+Z51+AJ51+AN51))</f>
        <v>X</v>
      </c>
      <c r="AT51" s="78">
        <f>IF((Consultas!AD51&lt;'Parâmetros'!$A$31),"X",(AD51+AC51+AB51))</f>
        <v>3</v>
      </c>
      <c r="AU51" s="78">
        <f t="shared" si="1"/>
        <v>3</v>
      </c>
      <c r="AV51" s="82" t="str">
        <f>IF(AQ51="N/A","N/A",IF(AQ51&gt;5,'Parâmetros'!$A$15,(IF(AU51=AR51,'Parâmetros'!$A$17,IF(AU51=AS51,'Parâmetros'!$A$16,'Parâmetros'!$A$14)))))</f>
        <v>SEM-RISCO</v>
      </c>
      <c r="AW51" s="86" t="str">
        <f>IF(AQ51="N/A","N/A",IF(AV51='Parâmetros'!$A$15,'Parâmetros'!$C$15,(IF(AV51='Parâmetros'!$A$17,'Parâmetros'!$C$17,IF(AV51='Parâmetros'!$A$16,'Parâmetros'!$C$16,IF(AV51='Parâmetros'!$A$14,'Parâmetros'!$C$12))))))</f>
        <v>LIBERADO</v>
      </c>
      <c r="AX51" s="82" t="str">
        <f>IF(Consultas!F51&gt;1,(IF(Consultas!F51&gt;5000,"SOLICITAR PED COMPRA","N/A")))</f>
        <v>SOLICITAR PED COMPRA</v>
      </c>
      <c r="AY51" s="167" t="str">
        <f>IF(AND(Consultas!M51&lt;&gt;"S", Consultas!H51="S"), "CHECAGEM REVERSA", "N/A")</f>
        <v>N/A</v>
      </c>
      <c r="AZ51" s="167" t="str">
        <f>IF(Consultas!U51="N","PRECISA CORRIGIR END DIVERGENTE","N/A")</f>
        <v>N/A</v>
      </c>
    </row>
    <row r="52" ht="12.0" customHeight="1">
      <c r="A52" s="39" t="s">
        <v>90</v>
      </c>
      <c r="B52" s="82">
        <f>Consultas!B52</f>
        <v>212</v>
      </c>
      <c r="C52" s="82" t="str">
        <f>Consultas!D52</f>
        <v>Metalpleno</v>
      </c>
      <c r="D52" s="96" t="str">
        <f>Consultas!E52</f>
        <v>030585</v>
      </c>
      <c r="E52" s="104">
        <f>IF(Consultas!AB52&gt;0,YEAR('Parâmetros'!$B$1)-YEAR(Consultas!AB52),"NA")</f>
        <v>55</v>
      </c>
      <c r="F52" s="82">
        <f>IF(Consultas!F52&gt;'Parâmetros'!$B$2,-8,0)</f>
        <v>0</v>
      </c>
      <c r="G52" s="82">
        <f>IF(Consultas!H52='Parâmetros'!$E$1,100,0)</f>
        <v>0</v>
      </c>
      <c r="H52" s="82">
        <f>IF(Consultas!I52='Parâmetros'!$E$1,-4,12)</f>
        <v>-4</v>
      </c>
      <c r="I52" s="82">
        <f>IF(Consultas!J52='Parâmetros'!$E$1,1,-13)</f>
        <v>1</v>
      </c>
      <c r="J52" s="82">
        <f>IF(Consultas!K52='Parâmetros'!$E$1,2,-5)</f>
        <v>2</v>
      </c>
      <c r="K52" s="82" t="str">
        <f>IF(Consultas!L52='Parâmetros'!$D$1,"SOLIC CONTRATO DE ENTREGA","N/A")</f>
        <v>SOLIC CONTRATO DE ENTREGA</v>
      </c>
      <c r="L52" s="82">
        <f>IF(Consultas!R52='Parâmetros'!$E$1,1,-3)</f>
        <v>1</v>
      </c>
      <c r="M52" s="82">
        <f>IF(Consultas!S52&gt;1,(IF(Consultas!S52='Parâmetros'!$E$1,-3,9)))</f>
        <v>9</v>
      </c>
      <c r="N52" s="82">
        <f>IF(Consultas!T52="S",23,0)</f>
        <v>0</v>
      </c>
      <c r="O52" s="82">
        <f>IF(Consultas!U52='Parâmetros'!$E$1,-3,3)</f>
        <v>3</v>
      </c>
      <c r="P52" s="82">
        <f>IF(Consultas!V52='Parâmetros'!$E$1,-100,2)</f>
        <v>2</v>
      </c>
      <c r="Q52" s="82">
        <f>IF(Consultas!M52='Parâmetros'!$D$1,2,-9)</f>
        <v>2</v>
      </c>
      <c r="R52" s="82">
        <f>IF(Consultas!N52="RJ",-12,0)</f>
        <v>0</v>
      </c>
      <c r="S52" s="82">
        <f>IF(Consultas!O52="-",-3,IF(Consultas!O52=0,-6,IF(Consultas!O52=5,0,IF(Consultas!O52=10,6))))</f>
        <v>0</v>
      </c>
      <c r="T52" s="82">
        <f>IF(Consultas!M52="S",0,(IF(Consultas!P52="S",6,0)))</f>
        <v>0</v>
      </c>
      <c r="U52" s="82">
        <f>IF(Consultas!Q52&gt;97,9,IF(Consultas!Q52&gt;75,0,-7))</f>
        <v>9</v>
      </c>
      <c r="V52" s="82">
        <f>IF(Consultas!W52='Parâmetros'!$E$1,1,-5)</f>
        <v>1</v>
      </c>
      <c r="W52" s="82">
        <f>IF(Consultas!X52="S",3,-3)</f>
        <v>3</v>
      </c>
      <c r="X52" s="82">
        <f>IF(Consultas!Y52="S",0,-7)</f>
        <v>0</v>
      </c>
      <c r="Y52" s="82">
        <f>IF(Consultas!Z52='Parâmetros'!$E$1,2,-8)</f>
        <v>2</v>
      </c>
      <c r="Z52" s="82">
        <f>IF(Consultas!AA52='Parâmetros'!$E$1,-15,1)</f>
        <v>1</v>
      </c>
      <c r="AA52" s="147" t="s">
        <v>140</v>
      </c>
      <c r="AB52" s="82">
        <f>IF(E52="NA","NA",IF(E52&gt;'Parâmetros'!$A$9,8,IF(E52&gt;'Parâmetros'!$A$8,4,IF(E52&gt;'Parâmetros'!$A$7,0,-6))))</f>
        <v>8</v>
      </c>
      <c r="AC52" s="82">
        <f>IF(Consultas!AC52='Parâmetros'!$E$1,0,5)</f>
        <v>0</v>
      </c>
      <c r="AD52" s="82">
        <f>IF(Consultas!AH52='Parâmetros'!$D$1,-10,5)</f>
        <v>5</v>
      </c>
      <c r="AE52" s="82">
        <f>IF(Consultas!AI52&gt;(Consultas!F52*2),-10,0)</f>
        <v>0</v>
      </c>
      <c r="AF52" s="82" t="b">
        <f>IF(Consultas!AD52&gt;1,(IF(Consultas!AI52&gt;(Consultas!AD52),-20,4)))</f>
        <v>0</v>
      </c>
      <c r="AG52" s="82">
        <f>IF(Consultas!AG52='Parâmetros'!$E$1,0,-6)</f>
        <v>0</v>
      </c>
      <c r="AH52" s="82">
        <f>IF(Consultas!AF52='Parâmetros'!$E$1,1,-5)</f>
        <v>1</v>
      </c>
      <c r="AI52" s="82">
        <f>IF(Consultas!AJ52&gt;700,8,IF(Consultas!AJ52&gt;500,4,IF(Consultas!AJ52&gt;200,-4,IF(Consultas!AJ52&gt;1,-15,-20))))</f>
        <v>8</v>
      </c>
      <c r="AJ52" s="82">
        <f>IF(Consultas!AD52='Parâmetros'!$E$10,0,IF(Consultas!AD52&gt;'Parâmetros'!$A$30,12,IF(Consultas!AD52&gt;'Parâmetros'!$A$31,6,IF(Consultas!AD52&gt;'Parâmetros'!$A$32,0,IF(Consultas!AD52&gt;'Parâmetros'!$A$33,0,IF(Consultas!AD52&gt;'Parâmetros'!$A$34,-3,IF(Consultas!AD52&gt;'Parâmetros'!$A$35,-7,-1)))))))</f>
        <v>-1</v>
      </c>
      <c r="AK52" s="82">
        <f>IF(Consultas!AO52='Parâmetros'!$D$1,3,-3)</f>
        <v>-3</v>
      </c>
      <c r="AL52" s="82">
        <f>IF(Consultas!AP52='Parâmetros'!$D$1,5,-3)</f>
        <v>-3</v>
      </c>
      <c r="AM52" s="82">
        <f>IF(Consultas!AL52="N",-6,0)</f>
        <v>0</v>
      </c>
      <c r="AN52" s="82">
        <f>IF(Consultas!AM52="N",-10,0)</f>
        <v>0</v>
      </c>
      <c r="AO52" s="82">
        <f>IF(Consultas!AN52="S",4,-2)</f>
        <v>-2</v>
      </c>
      <c r="AP52" s="39"/>
      <c r="AQ52" s="165">
        <f>IF(Consultas!F52&gt;1,(SUM(F52:AO52)),"N/A")</f>
        <v>45</v>
      </c>
      <c r="AR52" s="78">
        <f>IF((Consultas!AD52&gt;'Parâmetros'!$A$31),"X",AJ52+Y52+V52+AC52)</f>
        <v>2</v>
      </c>
      <c r="AS52" s="78">
        <f>IF((Consultas!AD52&gt;'Parâmetros'!$A$31),"X",(H52+I52+J52+Q52+T52+Y52+Z52+AJ52+AN52))</f>
        <v>3</v>
      </c>
      <c r="AT52" s="78" t="str">
        <f>IF((Consultas!AD52&lt;'Parâmetros'!$A$31),"X",(AD52+AC52+AB52))</f>
        <v>X</v>
      </c>
      <c r="AU52" s="78">
        <f t="shared" si="1"/>
        <v>2</v>
      </c>
      <c r="AV52" s="82" t="str">
        <f>IF(AQ52="N/A","N/A",IF(AQ52&gt;5,'Parâmetros'!$A$15,(IF(AU52=AR52,'Parâmetros'!$A$17,IF(AU52=AS52,'Parâmetros'!$A$16,'Parâmetros'!$A$14)))))</f>
        <v>SEM-RISCO</v>
      </c>
      <c r="AW52" s="86" t="str">
        <f>IF(AQ52="N/A","N/A",IF(AV52='Parâmetros'!$A$15,'Parâmetros'!$C$15,(IF(AV52='Parâmetros'!$A$17,'Parâmetros'!$C$17,IF(AV52='Parâmetros'!$A$16,'Parâmetros'!$C$16,IF(AV52='Parâmetros'!$A$14,'Parâmetros'!$C$12))))))</f>
        <v>LIBERADO</v>
      </c>
      <c r="AX52" s="82" t="str">
        <f>IF(Consultas!F52&gt;1,(IF(Consultas!F52&gt;5000,"SOLICITAR PED COMPRA","N/A")))</f>
        <v>SOLICITAR PED COMPRA</v>
      </c>
      <c r="AY52" s="167" t="str">
        <f>IF(AND(Consultas!M52&lt;&gt;"S", Consultas!H52="S"), "CHECAGEM REVERSA", "N/A")</f>
        <v>N/A</v>
      </c>
      <c r="AZ52" s="167" t="str">
        <f>IF(Consultas!U52="N","PRECISA CORRIGIR END DIVERGENTE","N/A")</f>
        <v>N/A</v>
      </c>
    </row>
    <row r="53" ht="12.0" customHeight="1">
      <c r="A53" s="39" t="s">
        <v>90</v>
      </c>
      <c r="B53" s="82">
        <f>Consultas!B53</f>
        <v>542</v>
      </c>
      <c r="C53" s="82" t="str">
        <f>Consultas!D53</f>
        <v>Oaco</v>
      </c>
      <c r="D53" s="96" t="str">
        <f>Consultas!E53</f>
        <v>143202</v>
      </c>
      <c r="E53" s="104">
        <f>IF(Consultas!AB53&gt;0,YEAR('Parâmetros'!$B$1)-YEAR(Consultas!AB53),"NA")</f>
        <v>55</v>
      </c>
      <c r="F53" s="82">
        <f>IF(Consultas!F53&gt;'Parâmetros'!$B$2,-8,0)</f>
        <v>0</v>
      </c>
      <c r="G53" s="82">
        <f>IF(Consultas!H53='Parâmetros'!$E$1,100,0)</f>
        <v>0</v>
      </c>
      <c r="H53" s="82">
        <f>IF(Consultas!I53='Parâmetros'!$E$1,-4,12)</f>
        <v>-4</v>
      </c>
      <c r="I53" s="82">
        <f>IF(Consultas!J53='Parâmetros'!$E$1,1,-13)</f>
        <v>1</v>
      </c>
      <c r="J53" s="82">
        <f>IF(Consultas!K53='Parâmetros'!$E$1,2,-5)</f>
        <v>2</v>
      </c>
      <c r="K53" s="82" t="str">
        <f>IF(Consultas!L53='Parâmetros'!$D$1,"SOLIC CONTRATO DE ENTREGA","N/A")</f>
        <v>SOLIC CONTRATO DE ENTREGA</v>
      </c>
      <c r="L53" s="82">
        <f>IF(Consultas!R53='Parâmetros'!$E$1,1,-3)</f>
        <v>1</v>
      </c>
      <c r="M53" s="82">
        <f>IF(Consultas!S53&gt;1,(IF(Consultas!S53='Parâmetros'!$E$1,-3,9)))</f>
        <v>9</v>
      </c>
      <c r="N53" s="82">
        <f>IF(Consultas!T53="S",23,0)</f>
        <v>0</v>
      </c>
      <c r="O53" s="82">
        <f>IF(Consultas!U53='Parâmetros'!$E$1,-3,3)</f>
        <v>3</v>
      </c>
      <c r="P53" s="82">
        <f>IF(Consultas!V53='Parâmetros'!$E$1,-100,2)</f>
        <v>2</v>
      </c>
      <c r="Q53" s="82">
        <f>IF(Consultas!M53='Parâmetros'!$D$1,2,-9)</f>
        <v>2</v>
      </c>
      <c r="R53" s="82">
        <f>IF(Consultas!N53="RJ",-12,0)</f>
        <v>0</v>
      </c>
      <c r="S53" s="82">
        <f>IF(Consultas!O53="-",-3,IF(Consultas!O53=0,-6,IF(Consultas!O53=5,0,IF(Consultas!O53=10,6))))</f>
        <v>0</v>
      </c>
      <c r="T53" s="82">
        <f>IF(Consultas!M53="S",0,(IF(Consultas!P53="S",6,0)))</f>
        <v>0</v>
      </c>
      <c r="U53" s="82">
        <f>IF(Consultas!Q53&gt;97,9,IF(Consultas!Q53&gt;75,0,-7))</f>
        <v>9</v>
      </c>
      <c r="V53" s="82">
        <f>IF(Consultas!W53='Parâmetros'!$E$1,1,-5)</f>
        <v>-5</v>
      </c>
      <c r="W53" s="82">
        <f>IF(Consultas!X53="S",3,-3)</f>
        <v>3</v>
      </c>
      <c r="X53" s="82">
        <f>IF(Consultas!Y53="S",0,-7)</f>
        <v>0</v>
      </c>
      <c r="Y53" s="82">
        <f>IF(Consultas!Z53='Parâmetros'!$E$1,2,-8)</f>
        <v>-8</v>
      </c>
      <c r="Z53" s="82">
        <f>IF(Consultas!AA53='Parâmetros'!$E$1,-15,1)</f>
        <v>1</v>
      </c>
      <c r="AA53" s="147" t="s">
        <v>140</v>
      </c>
      <c r="AB53" s="82">
        <f>IF(E53="NA","NA",IF(E53&gt;'Parâmetros'!$A$9,8,IF(E53&gt;'Parâmetros'!$A$8,4,IF(E53&gt;'Parâmetros'!$A$7,0,-6))))</f>
        <v>8</v>
      </c>
      <c r="AC53" s="82">
        <f>IF(Consultas!AC53='Parâmetros'!$E$1,0,5)</f>
        <v>5</v>
      </c>
      <c r="AD53" s="82">
        <f>IF(Consultas!AH53='Parâmetros'!$D$1,-10,5)</f>
        <v>-10</v>
      </c>
      <c r="AE53" s="82">
        <f>IF(Consultas!AI53&gt;(Consultas!F53*2),-10,0)</f>
        <v>-10</v>
      </c>
      <c r="AF53" s="82">
        <f>IF(Consultas!AD53&gt;1,(IF(Consultas!AI53&gt;(Consultas!AD53),-20,4)))</f>
        <v>4</v>
      </c>
      <c r="AG53" s="82">
        <f>IF(Consultas!AG53='Parâmetros'!$E$1,0,-6)</f>
        <v>0</v>
      </c>
      <c r="AH53" s="82">
        <f>IF(Consultas!AF53='Parâmetros'!$E$1,1,-5)</f>
        <v>-5</v>
      </c>
      <c r="AI53" s="82">
        <f>IF(Consultas!AJ53&gt;700,8,IF(Consultas!AJ53&gt;500,4,IF(Consultas!AJ53&gt;200,-4,IF(Consultas!AJ53&gt;1,-15,-20))))</f>
        <v>4</v>
      </c>
      <c r="AJ53" s="82">
        <f>IF(Consultas!AD53='Parâmetros'!$E$10,0,IF(Consultas!AD53&gt;'Parâmetros'!$A$30,12,IF(Consultas!AD53&gt;'Parâmetros'!$A$31,6,IF(Consultas!AD53&gt;'Parâmetros'!$A$32,0,IF(Consultas!AD53&gt;'Parâmetros'!$A$33,0,IF(Consultas!AD53&gt;'Parâmetros'!$A$34,-3,IF(Consultas!AD53&gt;'Parâmetros'!$A$35,-7,-1)))))))</f>
        <v>12</v>
      </c>
      <c r="AK53" s="82">
        <f>IF(Consultas!AO53='Parâmetros'!$D$1,3,-3)</f>
        <v>-3</v>
      </c>
      <c r="AL53" s="82">
        <f>IF(Consultas!AP53='Parâmetros'!$D$1,5,-3)</f>
        <v>-3</v>
      </c>
      <c r="AM53" s="82">
        <f>IF(Consultas!AL53="N",-6,0)</f>
        <v>0</v>
      </c>
      <c r="AN53" s="82">
        <f>IF(Consultas!AM53="N",-10,0)</f>
        <v>0</v>
      </c>
      <c r="AO53" s="82">
        <f>IF(Consultas!AN53="S",4,-2)</f>
        <v>-2</v>
      </c>
      <c r="AP53" s="39"/>
      <c r="AQ53" s="165">
        <f>IF(Consultas!F53&gt;1,(SUM(F53:AO53)),"N/A")</f>
        <v>16</v>
      </c>
      <c r="AR53" s="78" t="str">
        <f>IF((Consultas!AD53&gt;'Parâmetros'!$A$31),"X",AJ53+Y53+V53+AC53)</f>
        <v>X</v>
      </c>
      <c r="AS53" s="78" t="str">
        <f>IF((Consultas!AD53&gt;'Parâmetros'!$A$31),"X",(H53+I53+J53+Q53+T53+Y53+Z53+AJ53+AN53))</f>
        <v>X</v>
      </c>
      <c r="AT53" s="78">
        <f>IF((Consultas!AD53&lt;'Parâmetros'!$A$31),"X",(AD53+AC53+AB53))</f>
        <v>3</v>
      </c>
      <c r="AU53" s="78">
        <f t="shared" si="1"/>
        <v>3</v>
      </c>
      <c r="AV53" s="82" t="str">
        <f>IF(AQ53="N/A","N/A",IF(AQ53&gt;5,'Parâmetros'!$A$15,(IF(AU53=AR53,'Parâmetros'!$A$17,IF(AU53=AS53,'Parâmetros'!$A$16,'Parâmetros'!$A$14)))))</f>
        <v>SEM-RISCO</v>
      </c>
      <c r="AW53" s="86" t="str">
        <f>IF(AQ53="N/A","N/A",IF(AV53='Parâmetros'!$A$15,'Parâmetros'!$C$15,(IF(AV53='Parâmetros'!$A$17,'Parâmetros'!$C$17,IF(AV53='Parâmetros'!$A$16,'Parâmetros'!$C$16,IF(AV53='Parâmetros'!$A$14,'Parâmetros'!$C$12))))))</f>
        <v>LIBERADO</v>
      </c>
      <c r="AX53" s="82" t="str">
        <f>IF(Consultas!F53&gt;1,(IF(Consultas!F53&gt;5000,"SOLICITAR PED COMPRA","N/A")))</f>
        <v>N/A</v>
      </c>
      <c r="AY53" s="167" t="str">
        <f>IF(AND(Consultas!M53&lt;&gt;"S", Consultas!H53="S"), "CHECAGEM REVERSA", "N/A")</f>
        <v>N/A</v>
      </c>
      <c r="AZ53" s="167" t="str">
        <f>IF(Consultas!U53="N","PRECISA CORRIGIR END DIVERGENTE","N/A")</f>
        <v>N/A</v>
      </c>
    </row>
    <row r="54" ht="12.0" customHeight="1">
      <c r="A54" s="39" t="s">
        <v>90</v>
      </c>
      <c r="B54" s="82">
        <f>Consultas!B54</f>
        <v>217</v>
      </c>
      <c r="C54" s="82" t="str">
        <f>Consultas!D54</f>
        <v>Metalpleno</v>
      </c>
      <c r="D54" s="96" t="str">
        <f>Consultas!E54</f>
        <v>144562</v>
      </c>
      <c r="E54" s="104">
        <f>IF(Consultas!AB54&gt;0,YEAR('Parâmetros'!$B$1)-YEAR(Consultas!AB54),"NA")</f>
        <v>54</v>
      </c>
      <c r="F54" s="82">
        <f>IF(Consultas!F54&gt;'Parâmetros'!$B$2,-8,0)</f>
        <v>0</v>
      </c>
      <c r="G54" s="82">
        <f>IF(Consultas!H54='Parâmetros'!$E$1,100,0)</f>
        <v>0</v>
      </c>
      <c r="H54" s="82">
        <f>IF(Consultas!I54='Parâmetros'!$E$1,-4,12)</f>
        <v>-4</v>
      </c>
      <c r="I54" s="82">
        <f>IF(Consultas!J54='Parâmetros'!$E$1,1,-13)</f>
        <v>1</v>
      </c>
      <c r="J54" s="82">
        <f>IF(Consultas!K54='Parâmetros'!$E$1,2,-5)</f>
        <v>2</v>
      </c>
      <c r="K54" s="82" t="str">
        <f>IF(Consultas!L54='Parâmetros'!$D$1,"SOLIC CONTRATO DE ENTREGA","N/A")</f>
        <v>SOLIC CONTRATO DE ENTREGA</v>
      </c>
      <c r="L54" s="82">
        <f>IF(Consultas!R54='Parâmetros'!$E$1,1,-3)</f>
        <v>1</v>
      </c>
      <c r="M54" s="82">
        <f>IF(Consultas!S54&gt;1,(IF(Consultas!S54='Parâmetros'!$E$1,-3,9)))</f>
        <v>9</v>
      </c>
      <c r="N54" s="82">
        <f>IF(Consultas!T54="S",23,0)</f>
        <v>0</v>
      </c>
      <c r="O54" s="82">
        <f>IF(Consultas!U54='Parâmetros'!$E$1,-3,3)</f>
        <v>3</v>
      </c>
      <c r="P54" s="82">
        <f>IF(Consultas!V54='Parâmetros'!$E$1,-100,2)</f>
        <v>2</v>
      </c>
      <c r="Q54" s="82">
        <f>IF(Consultas!M54='Parâmetros'!$D$1,2,-9)</f>
        <v>2</v>
      </c>
      <c r="R54" s="82">
        <f>IF(Consultas!N54="RJ",-12,0)</f>
        <v>0</v>
      </c>
      <c r="S54" s="82">
        <f>IF(Consultas!O54="-",-3,IF(Consultas!O54=0,-6,IF(Consultas!O54=5,0,IF(Consultas!O54=10,6))))</f>
        <v>-3</v>
      </c>
      <c r="T54" s="82">
        <f>IF(Consultas!M54="S",0,(IF(Consultas!P54="S",6,0)))</f>
        <v>0</v>
      </c>
      <c r="U54" s="82">
        <f>IF(Consultas!Q54&gt;97,9,IF(Consultas!Q54&gt;75,0,-7))</f>
        <v>9</v>
      </c>
      <c r="V54" s="82">
        <f>IF(Consultas!W54='Parâmetros'!$E$1,1,-5)</f>
        <v>1</v>
      </c>
      <c r="W54" s="82">
        <f>IF(Consultas!X54="S",3,-3)</f>
        <v>3</v>
      </c>
      <c r="X54" s="82">
        <f>IF(Consultas!Y54="S",0,-7)</f>
        <v>0</v>
      </c>
      <c r="Y54" s="82">
        <f>IF(Consultas!Z54='Parâmetros'!$E$1,2,-8)</f>
        <v>2</v>
      </c>
      <c r="Z54" s="82">
        <f>IF(Consultas!AA54='Parâmetros'!$E$1,-15,1)</f>
        <v>1</v>
      </c>
      <c r="AA54" s="147" t="s">
        <v>140</v>
      </c>
      <c r="AB54" s="82">
        <f>IF(E54="NA","NA",IF(E54&gt;'Parâmetros'!$A$9,8,IF(E54&gt;'Parâmetros'!$A$8,4,IF(E54&gt;'Parâmetros'!$A$7,0,-6))))</f>
        <v>8</v>
      </c>
      <c r="AC54" s="82">
        <f>IF(Consultas!AC54='Parâmetros'!$E$1,0,5)</f>
        <v>0</v>
      </c>
      <c r="AD54" s="82">
        <f>IF(Consultas!AH54='Parâmetros'!$D$1,-10,5)</f>
        <v>5</v>
      </c>
      <c r="AE54" s="82">
        <f>IF(Consultas!AI54&gt;(Consultas!F54*2),-10,0)</f>
        <v>0</v>
      </c>
      <c r="AF54" s="82">
        <f>IF(Consultas!AD54&gt;1,(IF(Consultas!AI54&gt;(Consultas!AD54),-20,4)))</f>
        <v>4</v>
      </c>
      <c r="AG54" s="82">
        <f>IF(Consultas!AG54='Parâmetros'!$E$1,0,-6)</f>
        <v>0</v>
      </c>
      <c r="AH54" s="82">
        <f>IF(Consultas!AF54='Parâmetros'!$E$1,1,-5)</f>
        <v>1</v>
      </c>
      <c r="AI54" s="82">
        <f>IF(Consultas!AJ54&gt;700,8,IF(Consultas!AJ54&gt;500,4,IF(Consultas!AJ54&gt;200,-4,IF(Consultas!AJ54&gt;1,-15,-20))))</f>
        <v>8</v>
      </c>
      <c r="AJ54" s="82">
        <f>IF(Consultas!AD54='Parâmetros'!$E$10,0,IF(Consultas!AD54&gt;'Parâmetros'!$A$30,12,IF(Consultas!AD54&gt;'Parâmetros'!$A$31,6,IF(Consultas!AD54&gt;'Parâmetros'!$A$32,0,IF(Consultas!AD54&gt;'Parâmetros'!$A$33,0,IF(Consultas!AD54&gt;'Parâmetros'!$A$34,-3,IF(Consultas!AD54&gt;'Parâmetros'!$A$35,-7,-1)))))))</f>
        <v>12</v>
      </c>
      <c r="AK54" s="82">
        <f>IF(Consultas!AO54='Parâmetros'!$D$1,3,-3)</f>
        <v>-3</v>
      </c>
      <c r="AL54" s="82">
        <f>IF(Consultas!AP54='Parâmetros'!$D$1,5,-3)</f>
        <v>-3</v>
      </c>
      <c r="AM54" s="82">
        <f>IF(Consultas!AL54="N",-6,0)</f>
        <v>0</v>
      </c>
      <c r="AN54" s="82">
        <f>IF(Consultas!AM54="N",-10,0)</f>
        <v>0</v>
      </c>
      <c r="AO54" s="82">
        <f>IF(Consultas!AN54="S",4,-2)</f>
        <v>-2</v>
      </c>
      <c r="AP54" s="39"/>
      <c r="AQ54" s="165">
        <f>IF(Consultas!F54&gt;1,(SUM(F54:AO54)),"N/A")</f>
        <v>59</v>
      </c>
      <c r="AR54" s="78" t="str">
        <f>IF((Consultas!AD54&gt;'Parâmetros'!$A$31),"X",AJ54+Y54+V54+AC54)</f>
        <v>X</v>
      </c>
      <c r="AS54" s="78" t="str">
        <f>IF((Consultas!AD54&gt;'Parâmetros'!$A$31),"X",(H54+I54+J54+Q54+T54+Y54+Z54+AJ54+AN54))</f>
        <v>X</v>
      </c>
      <c r="AT54" s="78">
        <f>IF((Consultas!AD54&lt;'Parâmetros'!$A$31),"X",(AD54+AC54+AB54))</f>
        <v>13</v>
      </c>
      <c r="AU54" s="78">
        <f t="shared" si="1"/>
        <v>13</v>
      </c>
      <c r="AV54" s="82" t="str">
        <f>IF(AQ54="N/A","N/A",IF(AQ54&gt;5,'Parâmetros'!$A$15,(IF(AU54=AR54,'Parâmetros'!$A$17,IF(AU54=AS54,'Parâmetros'!$A$16,'Parâmetros'!$A$14)))))</f>
        <v>SEM-RISCO</v>
      </c>
      <c r="AW54" s="86" t="str">
        <f>IF(AQ54="N/A","N/A",IF(AV54='Parâmetros'!$A$15,'Parâmetros'!$C$15,(IF(AV54='Parâmetros'!$A$17,'Parâmetros'!$C$17,IF(AV54='Parâmetros'!$A$16,'Parâmetros'!$C$16,IF(AV54='Parâmetros'!$A$14,'Parâmetros'!$C$12))))))</f>
        <v>LIBERADO</v>
      </c>
      <c r="AX54" s="82" t="str">
        <f>IF(Consultas!F54&gt;1,(IF(Consultas!F54&gt;5000,"SOLICITAR PED COMPRA","N/A")))</f>
        <v>SOLICITAR PED COMPRA</v>
      </c>
      <c r="AY54" s="167" t="str">
        <f>IF(AND(Consultas!M54&lt;&gt;"S", Consultas!H54="S"), "CHECAGEM REVERSA", "N/A")</f>
        <v>N/A</v>
      </c>
      <c r="AZ54" s="167" t="str">
        <f>IF(Consultas!U54="N","PRECISA CORRIGIR END DIVERGENTE","N/A")</f>
        <v>N/A</v>
      </c>
    </row>
    <row r="55" ht="12.0" customHeight="1">
      <c r="A55" s="39" t="s">
        <v>90</v>
      </c>
      <c r="B55" s="82">
        <f>Consultas!B55</f>
        <v>218</v>
      </c>
      <c r="C55" s="82" t="str">
        <f>Consultas!D55</f>
        <v>Metalpleno</v>
      </c>
      <c r="D55" s="96" t="str">
        <f>Consultas!E55</f>
        <v>144378</v>
      </c>
      <c r="E55" s="104">
        <f>IF(Consultas!AB55&gt;0,YEAR('Parâmetros'!$B$1)-YEAR(Consultas!AB55),"NA")</f>
        <v>25</v>
      </c>
      <c r="F55" s="82">
        <f>IF(Consultas!F55&gt;'Parâmetros'!$B$2,-8,0)</f>
        <v>0</v>
      </c>
      <c r="G55" s="82">
        <f>IF(Consultas!H55='Parâmetros'!$E$1,100,0)</f>
        <v>0</v>
      </c>
      <c r="H55" s="82">
        <f>IF(Consultas!I55='Parâmetros'!$E$1,-4,12)</f>
        <v>-4</v>
      </c>
      <c r="I55" s="82">
        <f>IF(Consultas!J55='Parâmetros'!$E$1,1,-13)</f>
        <v>1</v>
      </c>
      <c r="J55" s="82">
        <f>IF(Consultas!K55='Parâmetros'!$E$1,2,-5)</f>
        <v>2</v>
      </c>
      <c r="K55" s="82" t="str">
        <f>IF(Consultas!L55='Parâmetros'!$D$1,"SOLIC CONTRATO DE ENTREGA","N/A")</f>
        <v>SOLIC CONTRATO DE ENTREGA</v>
      </c>
      <c r="L55" s="82">
        <f>IF(Consultas!R55='Parâmetros'!$E$1,1,-3)</f>
        <v>1</v>
      </c>
      <c r="M55" s="82">
        <f>IF(Consultas!S55&gt;1,(IF(Consultas!S55='Parâmetros'!$E$1,-3,9)))</f>
        <v>9</v>
      </c>
      <c r="N55" s="82">
        <f>IF(Consultas!T55="S",23,0)</f>
        <v>0</v>
      </c>
      <c r="O55" s="82">
        <f>IF(Consultas!U55='Parâmetros'!$E$1,-3,3)</f>
        <v>3</v>
      </c>
      <c r="P55" s="82">
        <f>IF(Consultas!V55='Parâmetros'!$E$1,-100,2)</f>
        <v>2</v>
      </c>
      <c r="Q55" s="82">
        <f>IF(Consultas!M55='Parâmetros'!$D$1,2,-9)</f>
        <v>-9</v>
      </c>
      <c r="R55" s="82">
        <f>IF(Consultas!N55="RJ",-12,0)</f>
        <v>0</v>
      </c>
      <c r="S55" s="82">
        <f>IF(Consultas!O55="-",-3,IF(Consultas!O55=0,-6,IF(Consultas!O55=5,0,IF(Consultas!O55=10,6))))</f>
        <v>-6</v>
      </c>
      <c r="T55" s="82">
        <f>IF(Consultas!M55="S",0,(IF(Consultas!P55="S",6,0)))</f>
        <v>6</v>
      </c>
      <c r="U55" s="82">
        <f>IF(Consultas!Q55&gt;97,9,IF(Consultas!Q55&gt;75,0,-7))</f>
        <v>9</v>
      </c>
      <c r="V55" s="82">
        <f>IF(Consultas!W55='Parâmetros'!$E$1,1,-5)</f>
        <v>1</v>
      </c>
      <c r="W55" s="82">
        <f>IF(Consultas!X55="S",3,-3)</f>
        <v>3</v>
      </c>
      <c r="X55" s="82">
        <f>IF(Consultas!Y55="S",0,-7)</f>
        <v>0</v>
      </c>
      <c r="Y55" s="82">
        <f>IF(Consultas!Z55='Parâmetros'!$E$1,2,-8)</f>
        <v>2</v>
      </c>
      <c r="Z55" s="82">
        <f>IF(Consultas!AA55='Parâmetros'!$E$1,-15,1)</f>
        <v>1</v>
      </c>
      <c r="AA55" s="147" t="s">
        <v>140</v>
      </c>
      <c r="AB55" s="82">
        <f>IF(E55="NA","NA",IF(E55&gt;'Parâmetros'!$A$9,8,IF(E55&gt;'Parâmetros'!$A$8,4,IF(E55&gt;'Parâmetros'!$A$7,0,-6))))</f>
        <v>4</v>
      </c>
      <c r="AC55" s="82">
        <f>IF(Consultas!AC55='Parâmetros'!$E$1,0,5)</f>
        <v>0</v>
      </c>
      <c r="AD55" s="82">
        <f>IF(Consultas!AH55='Parâmetros'!$D$1,-10,5)</f>
        <v>5</v>
      </c>
      <c r="AE55" s="82">
        <f>IF(Consultas!AI55&gt;(Consultas!F55*2),-10,0)</f>
        <v>0</v>
      </c>
      <c r="AF55" s="82">
        <f>IF(Consultas!AD55&gt;1,(IF(Consultas!AI55&gt;(Consultas!AD55),-20,4)))</f>
        <v>4</v>
      </c>
      <c r="AG55" s="82">
        <f>IF(Consultas!AG55='Parâmetros'!$E$1,0,-6)</f>
        <v>0</v>
      </c>
      <c r="AH55" s="82">
        <f>IF(Consultas!AF55='Parâmetros'!$E$1,1,-5)</f>
        <v>1</v>
      </c>
      <c r="AI55" s="82">
        <f>IF(Consultas!AJ55&gt;700,8,IF(Consultas!AJ55&gt;500,4,IF(Consultas!AJ55&gt;200,-4,IF(Consultas!AJ55&gt;1,-15,-20))))</f>
        <v>4</v>
      </c>
      <c r="AJ55" s="82">
        <f>IF(Consultas!AD55='Parâmetros'!$E$10,0,IF(Consultas!AD55&gt;'Parâmetros'!$A$30,12,IF(Consultas!AD55&gt;'Parâmetros'!$A$31,6,IF(Consultas!AD55&gt;'Parâmetros'!$A$32,0,IF(Consultas!AD55&gt;'Parâmetros'!$A$33,0,IF(Consultas!AD55&gt;'Parâmetros'!$A$34,-3,IF(Consultas!AD55&gt;'Parâmetros'!$A$35,-7,-1)))))))</f>
        <v>12</v>
      </c>
      <c r="AK55" s="82">
        <f>IF(Consultas!AO55='Parâmetros'!$D$1,3,-3)</f>
        <v>-3</v>
      </c>
      <c r="AL55" s="82">
        <f>IF(Consultas!AP55='Parâmetros'!$D$1,5,-3)</f>
        <v>-3</v>
      </c>
      <c r="AM55" s="82">
        <f>IF(Consultas!AL55="N",-6,0)</f>
        <v>0</v>
      </c>
      <c r="AN55" s="82">
        <f>IF(Consultas!AM55="N",-10,0)</f>
        <v>0</v>
      </c>
      <c r="AO55" s="82">
        <f>IF(Consultas!AN55="S",4,-2)</f>
        <v>-2</v>
      </c>
      <c r="AP55" s="39"/>
      <c r="AQ55" s="165">
        <f>IF(Consultas!F55&gt;1,(SUM(F55:AO55)),"N/A")</f>
        <v>43</v>
      </c>
      <c r="AR55" s="78" t="str">
        <f>IF((Consultas!AD55&gt;'Parâmetros'!$A$31),"X",AJ55+Y55+V55+AC55)</f>
        <v>X</v>
      </c>
      <c r="AS55" s="78" t="str">
        <f>IF((Consultas!AD55&gt;'Parâmetros'!$A$31),"X",(H55+I55+J55+Q55+T55+Y55+Z55+AJ55+AN55))</f>
        <v>X</v>
      </c>
      <c r="AT55" s="78">
        <f>IF((Consultas!AD55&lt;'Parâmetros'!$A$31),"X",(AD55+AC55+AB55))</f>
        <v>9</v>
      </c>
      <c r="AU55" s="78">
        <f t="shared" si="1"/>
        <v>9</v>
      </c>
      <c r="AV55" s="82" t="str">
        <f>IF(AQ55="N/A","N/A",IF(AQ55&gt;5,'Parâmetros'!$A$15,(IF(AU55=AR55,'Parâmetros'!$A$17,IF(AU55=AS55,'Parâmetros'!$A$16,'Parâmetros'!$A$14)))))</f>
        <v>SEM-RISCO</v>
      </c>
      <c r="AW55" s="86" t="str">
        <f>IF(AQ55="N/A","N/A",IF(AV55='Parâmetros'!$A$15,'Parâmetros'!$C$15,(IF(AV55='Parâmetros'!$A$17,'Parâmetros'!$C$17,IF(AV55='Parâmetros'!$A$16,'Parâmetros'!$C$16,IF(AV55='Parâmetros'!$A$14,'Parâmetros'!$C$12))))))</f>
        <v>LIBERADO</v>
      </c>
      <c r="AX55" s="82" t="str">
        <f>IF(Consultas!F55&gt;1,(IF(Consultas!F55&gt;5000,"SOLICITAR PED COMPRA","N/A")))</f>
        <v>SOLICITAR PED COMPRA</v>
      </c>
      <c r="AY55" s="167" t="str">
        <f>IF(AND(Consultas!M55&lt;&gt;"S", Consultas!H55="S"), "CHECAGEM REVERSA", "N/A")</f>
        <v>CHECAGEM REVERSA</v>
      </c>
      <c r="AZ55" s="167" t="str">
        <f>IF(Consultas!U55="N","PRECISA CORRIGIR END DIVERGENTE","N/A")</f>
        <v>N/A</v>
      </c>
    </row>
    <row r="56" ht="12.0" customHeight="1">
      <c r="A56" s="39" t="s">
        <v>90</v>
      </c>
      <c r="B56" s="82">
        <f>Consultas!B56</f>
        <v>220</v>
      </c>
      <c r="C56" s="82" t="str">
        <f>Consultas!D56</f>
        <v>Metalpleno</v>
      </c>
      <c r="D56" s="96" t="str">
        <f>Consultas!E56</f>
        <v>144160</v>
      </c>
      <c r="E56" s="104">
        <f>IF(Consultas!AB56&gt;0,YEAR('Parâmetros'!$B$1)-YEAR(Consultas!AB56),"NA")</f>
        <v>3</v>
      </c>
      <c r="F56" s="82">
        <f>IF(Consultas!F56&gt;'Parâmetros'!$B$2,-8,0)</f>
        <v>-8</v>
      </c>
      <c r="G56" s="82">
        <f>IF(Consultas!H56='Parâmetros'!$E$1,100,0)</f>
        <v>0</v>
      </c>
      <c r="H56" s="82">
        <f>IF(Consultas!I56='Parâmetros'!$E$1,-4,12)</f>
        <v>-4</v>
      </c>
      <c r="I56" s="82">
        <f>IF(Consultas!J56='Parâmetros'!$E$1,1,-13)</f>
        <v>1</v>
      </c>
      <c r="J56" s="82">
        <f>IF(Consultas!K56='Parâmetros'!$E$1,2,-5)</f>
        <v>2</v>
      </c>
      <c r="K56" s="82" t="str">
        <f>IF(Consultas!L56='Parâmetros'!$D$1,"SOLIC CONTRATO DE ENTREGA","N/A")</f>
        <v>SOLIC CONTRATO DE ENTREGA</v>
      </c>
      <c r="L56" s="82">
        <f>IF(Consultas!R56='Parâmetros'!$E$1,1,-3)</f>
        <v>1</v>
      </c>
      <c r="M56" s="82">
        <f>IF(Consultas!S56&gt;1,(IF(Consultas!S56='Parâmetros'!$E$1,-3,9)))</f>
        <v>9</v>
      </c>
      <c r="N56" s="82">
        <f>IF(Consultas!T56="S",23,0)</f>
        <v>0</v>
      </c>
      <c r="O56" s="82">
        <f>IF(Consultas!U56='Parâmetros'!$E$1,-3,3)</f>
        <v>3</v>
      </c>
      <c r="P56" s="82">
        <f>IF(Consultas!V56='Parâmetros'!$E$1,-100,2)</f>
        <v>2</v>
      </c>
      <c r="Q56" s="82">
        <f>IF(Consultas!M56='Parâmetros'!$D$1,2,-9)</f>
        <v>-9</v>
      </c>
      <c r="R56" s="82">
        <f>IF(Consultas!N56="RJ",-12,0)</f>
        <v>0</v>
      </c>
      <c r="S56" s="82">
        <f>IF(Consultas!O56="-",-3,IF(Consultas!O56=0,-6,IF(Consultas!O56=5,0,IF(Consultas!O56=10,6))))</f>
        <v>-6</v>
      </c>
      <c r="T56" s="82">
        <f>IF(Consultas!M56="S",0,(IF(Consultas!P56="S",6,0)))</f>
        <v>0</v>
      </c>
      <c r="U56" s="82">
        <f>IF(Consultas!Q56&gt;97,9,IF(Consultas!Q56&gt;75,0,-7))</f>
        <v>9</v>
      </c>
      <c r="V56" s="82">
        <f>IF(Consultas!W56='Parâmetros'!$E$1,1,-5)</f>
        <v>1</v>
      </c>
      <c r="W56" s="82">
        <f>IF(Consultas!X56="S",3,-3)</f>
        <v>3</v>
      </c>
      <c r="X56" s="82">
        <f>IF(Consultas!Y56="S",0,-7)</f>
        <v>0</v>
      </c>
      <c r="Y56" s="82">
        <f>IF(Consultas!Z56='Parâmetros'!$E$1,2,-8)</f>
        <v>2</v>
      </c>
      <c r="Z56" s="82">
        <f>IF(Consultas!AA56='Parâmetros'!$E$1,-15,1)</f>
        <v>1</v>
      </c>
      <c r="AA56" s="147" t="s">
        <v>140</v>
      </c>
      <c r="AB56" s="82">
        <f>IF(E56="NA","NA",IF(E56&gt;'Parâmetros'!$A$9,8,IF(E56&gt;'Parâmetros'!$A$8,4,IF(E56&gt;'Parâmetros'!$A$7,0,-6))))</f>
        <v>-6</v>
      </c>
      <c r="AC56" s="82">
        <f>IF(Consultas!AC56='Parâmetros'!$E$1,0,5)</f>
        <v>0</v>
      </c>
      <c r="AD56" s="82">
        <f>IF(Consultas!AH56='Parâmetros'!$D$1,-10,5)</f>
        <v>5</v>
      </c>
      <c r="AE56" s="82">
        <f>IF(Consultas!AI56&gt;(Consultas!F56*2),-10,0)</f>
        <v>0</v>
      </c>
      <c r="AF56" s="82">
        <f>IF(Consultas!AD56&gt;1,(IF(Consultas!AI56&gt;(Consultas!AD56),-20,4)))</f>
        <v>4</v>
      </c>
      <c r="AG56" s="82">
        <f>IF(Consultas!AG56='Parâmetros'!$E$1,0,-6)</f>
        <v>0</v>
      </c>
      <c r="AH56" s="82">
        <f>IF(Consultas!AF56='Parâmetros'!$E$1,1,-5)</f>
        <v>1</v>
      </c>
      <c r="AI56" s="82">
        <f>IF(Consultas!AJ56&gt;700,8,IF(Consultas!AJ56&gt;500,4,IF(Consultas!AJ56&gt;200,-4,IF(Consultas!AJ56&gt;1,-15,-20))))</f>
        <v>4</v>
      </c>
      <c r="AJ56" s="82">
        <f>IF(Consultas!AD56='Parâmetros'!$E$10,0,IF(Consultas!AD56&gt;'Parâmetros'!$A$30,12,IF(Consultas!AD56&gt;'Parâmetros'!$A$31,6,IF(Consultas!AD56&gt;'Parâmetros'!$A$32,0,IF(Consultas!AD56&gt;'Parâmetros'!$A$33,0,IF(Consultas!AD56&gt;'Parâmetros'!$A$34,-3,IF(Consultas!AD56&gt;'Parâmetros'!$A$35,-7,-1)))))))</f>
        <v>12</v>
      </c>
      <c r="AK56" s="82">
        <f>IF(Consultas!AO56='Parâmetros'!$D$1,3,-3)</f>
        <v>-3</v>
      </c>
      <c r="AL56" s="82">
        <f>IF(Consultas!AP56='Parâmetros'!$D$1,5,-3)</f>
        <v>-3</v>
      </c>
      <c r="AM56" s="82">
        <f>IF(Consultas!AL56="N",-6,0)</f>
        <v>0</v>
      </c>
      <c r="AN56" s="82">
        <f>IF(Consultas!AM56="N",-10,0)</f>
        <v>0</v>
      </c>
      <c r="AO56" s="82">
        <f>IF(Consultas!AN56="S",4,-2)</f>
        <v>-2</v>
      </c>
      <c r="AP56" s="39"/>
      <c r="AQ56" s="165">
        <f>IF(Consultas!F56&gt;1,(SUM(F56:AO56)),"N/A")</f>
        <v>19</v>
      </c>
      <c r="AR56" s="78" t="str">
        <f>IF((Consultas!AD56&gt;'Parâmetros'!$A$31),"X",AJ56+Y56+V56+AC56)</f>
        <v>X</v>
      </c>
      <c r="AS56" s="78" t="str">
        <f>IF((Consultas!AD56&gt;'Parâmetros'!$A$31),"X",(H56+I56+J56+Q56+T56+Y56+Z56+AJ56+AN56))</f>
        <v>X</v>
      </c>
      <c r="AT56" s="78">
        <f>IF((Consultas!AD56&lt;'Parâmetros'!$A$31),"X",(AD56+AC56+AB56))</f>
        <v>-1</v>
      </c>
      <c r="AU56" s="78">
        <f t="shared" si="1"/>
        <v>-1</v>
      </c>
      <c r="AV56" s="82" t="str">
        <f>IF(AQ56="N/A","N/A",IF(AQ56&gt;5,'Parâmetros'!$A$15,(IF(AU56=AR56,'Parâmetros'!$A$17,IF(AU56=AS56,'Parâmetros'!$A$16,'Parâmetros'!$A$14)))))</f>
        <v>SEM-RISCO</v>
      </c>
      <c r="AW56" s="86" t="str">
        <f>IF(AQ56="N/A","N/A",IF(AV56='Parâmetros'!$A$15,'Parâmetros'!$C$15,(IF(AV56='Parâmetros'!$A$17,'Parâmetros'!$C$17,IF(AV56='Parâmetros'!$A$16,'Parâmetros'!$C$16,IF(AV56='Parâmetros'!$A$14,'Parâmetros'!$C$12))))))</f>
        <v>LIBERADO</v>
      </c>
      <c r="AX56" s="82" t="str">
        <f>IF(Consultas!F56&gt;1,(IF(Consultas!F56&gt;5000,"SOLICITAR PED COMPRA","N/A")))</f>
        <v>SOLICITAR PED COMPRA</v>
      </c>
      <c r="AY56" s="167" t="str">
        <f>IF(AND(Consultas!M56&lt;&gt;"S", Consultas!H56="S"), "CHECAGEM REVERSA", "N/A")</f>
        <v>CHECAGEM REVERSA</v>
      </c>
      <c r="AZ56" s="167" t="str">
        <f>IF(Consultas!U56="N","PRECISA CORRIGIR END DIVERGENTE","N/A")</f>
        <v>N/A</v>
      </c>
    </row>
    <row r="57" ht="12.0" customHeight="1">
      <c r="A57" s="39" t="s">
        <v>90</v>
      </c>
      <c r="B57" s="82">
        <f>Consultas!B57</f>
        <v>549</v>
      </c>
      <c r="C57" s="82" t="str">
        <f>Consultas!D57</f>
        <v>Oaco</v>
      </c>
      <c r="D57" s="96" t="str">
        <f>Consultas!E57</f>
        <v>144566</v>
      </c>
      <c r="E57" s="104">
        <f>IF(Consultas!AB57&gt;0,YEAR('Parâmetros'!$B$1)-YEAR(Consultas!AB57),"NA")</f>
        <v>24</v>
      </c>
      <c r="F57" s="82">
        <f>IF(Consultas!F57&gt;'Parâmetros'!$B$2,-8,0)</f>
        <v>0</v>
      </c>
      <c r="G57" s="82">
        <f>IF(Consultas!H57='Parâmetros'!$E$1,100,0)</f>
        <v>0</v>
      </c>
      <c r="H57" s="82">
        <f>IF(Consultas!I57='Parâmetros'!$E$1,-4,12)</f>
        <v>-4</v>
      </c>
      <c r="I57" s="82">
        <f>IF(Consultas!J57='Parâmetros'!$E$1,1,-13)</f>
        <v>1</v>
      </c>
      <c r="J57" s="82">
        <f>IF(Consultas!K57='Parâmetros'!$E$1,2,-5)</f>
        <v>2</v>
      </c>
      <c r="K57" s="82" t="str">
        <f>IF(Consultas!L57='Parâmetros'!$D$1,"SOLIC CONTRATO DE ENTREGA","N/A")</f>
        <v>SOLIC CONTRATO DE ENTREGA</v>
      </c>
      <c r="L57" s="82">
        <f>IF(Consultas!R57='Parâmetros'!$E$1,1,-3)</f>
        <v>1</v>
      </c>
      <c r="M57" s="82">
        <f>IF(Consultas!S57&gt;1,(IF(Consultas!S57='Parâmetros'!$E$1,-3,9)))</f>
        <v>-3</v>
      </c>
      <c r="N57" s="82">
        <f>IF(Consultas!T57="S",23,0)</f>
        <v>0</v>
      </c>
      <c r="O57" s="82">
        <f>IF(Consultas!U57='Parâmetros'!$E$1,-3,3)</f>
        <v>3</v>
      </c>
      <c r="P57" s="82">
        <f>IF(Consultas!V57='Parâmetros'!$E$1,-100,2)</f>
        <v>2</v>
      </c>
      <c r="Q57" s="82">
        <f>IF(Consultas!M57='Parâmetros'!$D$1,2,-9)</f>
        <v>2</v>
      </c>
      <c r="R57" s="82">
        <f>IF(Consultas!N57="RJ",-12,0)</f>
        <v>0</v>
      </c>
      <c r="S57" s="82">
        <f>IF(Consultas!O57="-",-3,IF(Consultas!O57=0,-6,IF(Consultas!O57=5,0,IF(Consultas!O57=10,6))))</f>
        <v>0</v>
      </c>
      <c r="T57" s="82">
        <f>IF(Consultas!M57="S",0,(IF(Consultas!P57="S",6,0)))</f>
        <v>0</v>
      </c>
      <c r="U57" s="82">
        <f>IF(Consultas!Q57&gt;97,9,IF(Consultas!Q57&gt;75,0,-7))</f>
        <v>9</v>
      </c>
      <c r="V57" s="82">
        <f>IF(Consultas!W57='Parâmetros'!$E$1,1,-5)</f>
        <v>1</v>
      </c>
      <c r="W57" s="82">
        <f>IF(Consultas!X57="S",3,-3)</f>
        <v>3</v>
      </c>
      <c r="X57" s="82">
        <f>IF(Consultas!Y57="S",0,-7)</f>
        <v>0</v>
      </c>
      <c r="Y57" s="82">
        <f>IF(Consultas!Z57='Parâmetros'!$E$1,2,-8)</f>
        <v>2</v>
      </c>
      <c r="Z57" s="82">
        <f>IF(Consultas!AA57='Parâmetros'!$E$1,-15,1)</f>
        <v>1</v>
      </c>
      <c r="AA57" s="147" t="s">
        <v>140</v>
      </c>
      <c r="AB57" s="82">
        <f>IF(E57="NA","NA",IF(E57&gt;'Parâmetros'!$A$9,8,IF(E57&gt;'Parâmetros'!$A$8,4,IF(E57&gt;'Parâmetros'!$A$7,0,-6))))</f>
        <v>4</v>
      </c>
      <c r="AC57" s="82">
        <f>IF(Consultas!AC57='Parâmetros'!$E$1,0,5)</f>
        <v>5</v>
      </c>
      <c r="AD57" s="82">
        <f>IF(Consultas!AH57='Parâmetros'!$D$1,-10,5)</f>
        <v>-10</v>
      </c>
      <c r="AE57" s="82">
        <f>IF(Consultas!AI57&gt;(Consultas!F57*2),-10,0)</f>
        <v>-10</v>
      </c>
      <c r="AF57" s="82">
        <f>IF(Consultas!AD57&gt;1,(IF(Consultas!AI57&gt;(Consultas!AD57),-20,4)))</f>
        <v>4</v>
      </c>
      <c r="AG57" s="82">
        <f>IF(Consultas!AG57='Parâmetros'!$E$1,0,-6)</f>
        <v>0</v>
      </c>
      <c r="AH57" s="82">
        <f>IF(Consultas!AF57='Parâmetros'!$E$1,1,-5)</f>
        <v>1</v>
      </c>
      <c r="AI57" s="82">
        <f>IF(Consultas!AJ57&gt;700,8,IF(Consultas!AJ57&gt;500,4,IF(Consultas!AJ57&gt;200,-4,IF(Consultas!AJ57&gt;1,-15,-20))))</f>
        <v>8</v>
      </c>
      <c r="AJ57" s="82">
        <f>IF(Consultas!AD57='Parâmetros'!$E$10,0,IF(Consultas!AD57&gt;'Parâmetros'!$A$30,12,IF(Consultas!AD57&gt;'Parâmetros'!$A$31,6,IF(Consultas!AD57&gt;'Parâmetros'!$A$32,0,IF(Consultas!AD57&gt;'Parâmetros'!$A$33,0,IF(Consultas!AD57&gt;'Parâmetros'!$A$34,-3,IF(Consultas!AD57&gt;'Parâmetros'!$A$35,-7,-1)))))))</f>
        <v>12</v>
      </c>
      <c r="AK57" s="82">
        <f>IF(Consultas!AO57='Parâmetros'!$D$1,3,-3)</f>
        <v>-3</v>
      </c>
      <c r="AL57" s="82">
        <f>IF(Consultas!AP57='Parâmetros'!$D$1,5,-3)</f>
        <v>-3</v>
      </c>
      <c r="AM57" s="82">
        <f>IF(Consultas!AL57="N",-6,0)</f>
        <v>0</v>
      </c>
      <c r="AN57" s="82">
        <f>IF(Consultas!AM57="N",-10,0)</f>
        <v>0</v>
      </c>
      <c r="AO57" s="82">
        <f>IF(Consultas!AN57="S",4,-2)</f>
        <v>-2</v>
      </c>
      <c r="AP57" s="39"/>
      <c r="AQ57" s="165">
        <f>IF(Consultas!F57&gt;1,(SUM(F57:AO57)),"N/A")</f>
        <v>26</v>
      </c>
      <c r="AR57" s="78" t="str">
        <f>IF((Consultas!AD57&gt;'Parâmetros'!$A$31),"X",AJ57+Y57+V57+AC57)</f>
        <v>X</v>
      </c>
      <c r="AS57" s="78" t="str">
        <f>IF((Consultas!AD57&gt;'Parâmetros'!$A$31),"X",(H57+I57+J57+Q57+T57+Y57+Z57+AJ57+AN57))</f>
        <v>X</v>
      </c>
      <c r="AT57" s="78">
        <f>IF((Consultas!AD57&lt;'Parâmetros'!$A$31),"X",(AD57+AC57+AB57))</f>
        <v>-1</v>
      </c>
      <c r="AU57" s="78">
        <f t="shared" si="1"/>
        <v>-1</v>
      </c>
      <c r="AV57" s="82" t="str">
        <f>IF(AQ57="N/A","N/A",IF(AQ57&gt;5,'Parâmetros'!$A$15,(IF(AU57=AR57,'Parâmetros'!$A$17,IF(AU57=AS57,'Parâmetros'!$A$16,'Parâmetros'!$A$14)))))</f>
        <v>SEM-RISCO</v>
      </c>
      <c r="AW57" s="86" t="str">
        <f>IF(AQ57="N/A","N/A",IF(AV57='Parâmetros'!$A$15,'Parâmetros'!$C$15,(IF(AV57='Parâmetros'!$A$17,'Parâmetros'!$C$17,IF(AV57='Parâmetros'!$A$16,'Parâmetros'!$C$16,IF(AV57='Parâmetros'!$A$14,'Parâmetros'!$C$12))))))</f>
        <v>LIBERADO</v>
      </c>
      <c r="AX57" s="82" t="str">
        <f>IF(Consultas!F57&gt;1,(IF(Consultas!F57&gt;5000,"SOLICITAR PED COMPRA","N/A")))</f>
        <v>SOLICITAR PED COMPRA</v>
      </c>
      <c r="AY57" s="167" t="str">
        <f>IF(AND(Consultas!M57&lt;&gt;"S", Consultas!H57="S"), "CHECAGEM REVERSA", "N/A")</f>
        <v>N/A</v>
      </c>
      <c r="AZ57" s="167" t="str">
        <f>IF(Consultas!U57="N","PRECISA CORRIGIR END DIVERGENTE","N/A")</f>
        <v>N/A</v>
      </c>
    </row>
    <row r="58" ht="12.0" customHeight="1">
      <c r="A58" s="39" t="s">
        <v>90</v>
      </c>
      <c r="B58" s="82">
        <f>Consultas!B58</f>
        <v>550</v>
      </c>
      <c r="C58" s="82" t="str">
        <f>Consultas!D58</f>
        <v>Oaco</v>
      </c>
      <c r="D58" s="96" t="str">
        <f>Consultas!E58</f>
        <v>007661</v>
      </c>
      <c r="E58" s="104">
        <f>IF(Consultas!AB58&gt;0,YEAR('Parâmetros'!$B$1)-YEAR(Consultas!AB58),"NA")</f>
        <v>24</v>
      </c>
      <c r="F58" s="82">
        <f>IF(Consultas!F58&gt;'Parâmetros'!$B$2,-8,0)</f>
        <v>0</v>
      </c>
      <c r="G58" s="82">
        <f>IF(Consultas!H58='Parâmetros'!$E$1,100,0)</f>
        <v>0</v>
      </c>
      <c r="H58" s="82">
        <f>IF(Consultas!I58='Parâmetros'!$E$1,-4,12)</f>
        <v>-4</v>
      </c>
      <c r="I58" s="82">
        <f>IF(Consultas!J58='Parâmetros'!$E$1,1,-13)</f>
        <v>1</v>
      </c>
      <c r="J58" s="82">
        <f>IF(Consultas!K58='Parâmetros'!$E$1,2,-5)</f>
        <v>2</v>
      </c>
      <c r="K58" s="82" t="str">
        <f>IF(Consultas!L58='Parâmetros'!$D$1,"SOLIC CONTRATO DE ENTREGA","N/A")</f>
        <v>SOLIC CONTRATO DE ENTREGA</v>
      </c>
      <c r="L58" s="82">
        <f>IF(Consultas!R58='Parâmetros'!$E$1,1,-3)</f>
        <v>1</v>
      </c>
      <c r="M58" s="82">
        <f>IF(Consultas!S58&gt;1,(IF(Consultas!S58='Parâmetros'!$E$1,-3,9)))</f>
        <v>-3</v>
      </c>
      <c r="N58" s="82">
        <f>IF(Consultas!T58="S",23,0)</f>
        <v>0</v>
      </c>
      <c r="O58" s="82">
        <f>IF(Consultas!U58='Parâmetros'!$E$1,-3,3)</f>
        <v>3</v>
      </c>
      <c r="P58" s="82">
        <f>IF(Consultas!V58='Parâmetros'!$E$1,-100,2)</f>
        <v>2</v>
      </c>
      <c r="Q58" s="82">
        <f>IF(Consultas!M58='Parâmetros'!$D$1,2,-9)</f>
        <v>2</v>
      </c>
      <c r="R58" s="82">
        <f>IF(Consultas!N58="RJ",-12,0)</f>
        <v>0</v>
      </c>
      <c r="S58" s="82">
        <f>IF(Consultas!O58="-",-3,IF(Consultas!O58=0,-6,IF(Consultas!O58=5,0,IF(Consultas!O58=10,6))))</f>
        <v>0</v>
      </c>
      <c r="T58" s="82">
        <f>IF(Consultas!M58="S",0,(IF(Consultas!P58="S",6,0)))</f>
        <v>0</v>
      </c>
      <c r="U58" s="82">
        <f>IF(Consultas!Q58&gt;97,9,IF(Consultas!Q58&gt;75,0,-7))</f>
        <v>9</v>
      </c>
      <c r="V58" s="82">
        <f>IF(Consultas!W58='Parâmetros'!$E$1,1,-5)</f>
        <v>1</v>
      </c>
      <c r="W58" s="82">
        <f>IF(Consultas!X58="S",3,-3)</f>
        <v>3</v>
      </c>
      <c r="X58" s="82">
        <f>IF(Consultas!Y58="S",0,-7)</f>
        <v>0</v>
      </c>
      <c r="Y58" s="82">
        <f>IF(Consultas!Z58='Parâmetros'!$E$1,2,-8)</f>
        <v>2</v>
      </c>
      <c r="Z58" s="82">
        <f>IF(Consultas!AA58='Parâmetros'!$E$1,-15,1)</f>
        <v>1</v>
      </c>
      <c r="AA58" s="147" t="s">
        <v>140</v>
      </c>
      <c r="AB58" s="82">
        <f>IF(E58="NA","NA",IF(E58&gt;'Parâmetros'!$A$9,8,IF(E58&gt;'Parâmetros'!$A$8,4,IF(E58&gt;'Parâmetros'!$A$7,0,-6))))</f>
        <v>4</v>
      </c>
      <c r="AC58" s="82">
        <f>IF(Consultas!AC58='Parâmetros'!$E$1,0,5)</f>
        <v>5</v>
      </c>
      <c r="AD58" s="82">
        <f>IF(Consultas!AH58='Parâmetros'!$D$1,-10,5)</f>
        <v>-10</v>
      </c>
      <c r="AE58" s="82">
        <f>IF(Consultas!AI58&gt;(Consultas!F58*2),-10,0)</f>
        <v>-10</v>
      </c>
      <c r="AF58" s="82">
        <f>IF(Consultas!AD58&gt;1,(IF(Consultas!AI58&gt;(Consultas!AD58),-20,4)))</f>
        <v>4</v>
      </c>
      <c r="AG58" s="82">
        <f>IF(Consultas!AG58='Parâmetros'!$E$1,0,-6)</f>
        <v>0</v>
      </c>
      <c r="AH58" s="82">
        <f>IF(Consultas!AF58='Parâmetros'!$E$1,1,-5)</f>
        <v>1</v>
      </c>
      <c r="AI58" s="82">
        <f>IF(Consultas!AJ58&gt;700,8,IF(Consultas!AJ58&gt;500,4,IF(Consultas!AJ58&gt;200,-4,IF(Consultas!AJ58&gt;1,-15,-20))))</f>
        <v>8</v>
      </c>
      <c r="AJ58" s="82">
        <f>IF(Consultas!AD58='Parâmetros'!$E$10,0,IF(Consultas!AD58&gt;'Parâmetros'!$A$30,12,IF(Consultas!AD58&gt;'Parâmetros'!$A$31,6,IF(Consultas!AD58&gt;'Parâmetros'!$A$32,0,IF(Consultas!AD58&gt;'Parâmetros'!$A$33,0,IF(Consultas!AD58&gt;'Parâmetros'!$A$34,-3,IF(Consultas!AD58&gt;'Parâmetros'!$A$35,-7,-1)))))))</f>
        <v>12</v>
      </c>
      <c r="AK58" s="82">
        <f>IF(Consultas!AO58='Parâmetros'!$D$1,3,-3)</f>
        <v>-3</v>
      </c>
      <c r="AL58" s="82">
        <f>IF(Consultas!AP58='Parâmetros'!$D$1,5,-3)</f>
        <v>-3</v>
      </c>
      <c r="AM58" s="82">
        <f>IF(Consultas!AL58="N",-6,0)</f>
        <v>0</v>
      </c>
      <c r="AN58" s="82">
        <f>IF(Consultas!AM58="N",-10,0)</f>
        <v>0</v>
      </c>
      <c r="AO58" s="82">
        <f>IF(Consultas!AN58="S",4,-2)</f>
        <v>-2</v>
      </c>
      <c r="AP58" s="39"/>
      <c r="AQ58" s="165">
        <f>IF(Consultas!F58&gt;1,(SUM(F58:AO58)),"N/A")</f>
        <v>26</v>
      </c>
      <c r="AR58" s="78" t="str">
        <f>IF((Consultas!AD58&gt;'Parâmetros'!$A$31),"X",AJ58+Y58+V58+AC58)</f>
        <v>X</v>
      </c>
      <c r="AS58" s="78" t="str">
        <f>IF((Consultas!AD58&gt;'Parâmetros'!$A$31),"X",(H58+I58+J58+Q58+T58+Y58+Z58+AJ58+AN58))</f>
        <v>X</v>
      </c>
      <c r="AT58" s="78">
        <f>IF((Consultas!AD58&lt;'Parâmetros'!$A$31),"X",(AD58+AC58+AB58))</f>
        <v>-1</v>
      </c>
      <c r="AU58" s="78">
        <f t="shared" si="1"/>
        <v>-1</v>
      </c>
      <c r="AV58" s="82" t="str">
        <f>IF(AQ58="N/A","N/A",IF(AQ58&gt;5,'Parâmetros'!$A$15,(IF(AU58=AR58,'Parâmetros'!$A$17,IF(AU58=AS58,'Parâmetros'!$A$16,'Parâmetros'!$A$14)))))</f>
        <v>SEM-RISCO</v>
      </c>
      <c r="AW58" s="86" t="str">
        <f>IF(AQ58="N/A","N/A",IF(AV58='Parâmetros'!$A$15,'Parâmetros'!$C$15,(IF(AV58='Parâmetros'!$A$17,'Parâmetros'!$C$17,IF(AV58='Parâmetros'!$A$16,'Parâmetros'!$C$16,IF(AV58='Parâmetros'!$A$14,'Parâmetros'!$C$12))))))</f>
        <v>LIBERADO</v>
      </c>
      <c r="AX58" s="82" t="str">
        <f>IF(Consultas!F58&gt;1,(IF(Consultas!F58&gt;5000,"SOLICITAR PED COMPRA","N/A")))</f>
        <v>SOLICITAR PED COMPRA</v>
      </c>
      <c r="AY58" s="167" t="str">
        <f>IF(AND(Consultas!M58&lt;&gt;"S", Consultas!H58="S"), "CHECAGEM REVERSA", "N/A")</f>
        <v>N/A</v>
      </c>
      <c r="AZ58" s="167" t="str">
        <f>IF(Consultas!U58="N","PRECISA CORRIGIR END DIVERGENTE","N/A")</f>
        <v>N/A</v>
      </c>
    </row>
    <row r="59" ht="12.0" customHeight="1">
      <c r="A59" s="39" t="s">
        <v>90</v>
      </c>
      <c r="B59" s="82">
        <f>Consultas!B59</f>
        <v>222</v>
      </c>
      <c r="C59" s="82" t="str">
        <f>Consultas!D59</f>
        <v>Metalpleno</v>
      </c>
      <c r="D59" s="96" t="str">
        <f>Consultas!E59</f>
        <v>144568</v>
      </c>
      <c r="E59" s="104">
        <f>IF(Consultas!AB59&gt;0,YEAR('Parâmetros'!$B$1)-YEAR(Consultas!AB59),"NA")</f>
        <v>13</v>
      </c>
      <c r="F59" s="82">
        <f>IF(Consultas!F59&gt;'Parâmetros'!$B$2,-8,0)</f>
        <v>0</v>
      </c>
      <c r="G59" s="82">
        <f>IF(Consultas!H59='Parâmetros'!$E$1,100,0)</f>
        <v>0</v>
      </c>
      <c r="H59" s="82">
        <f>IF(Consultas!I59='Parâmetros'!$E$1,-4,12)</f>
        <v>-4</v>
      </c>
      <c r="I59" s="82">
        <f>IF(Consultas!J59='Parâmetros'!$E$1,1,-13)</f>
        <v>1</v>
      </c>
      <c r="J59" s="82">
        <f>IF(Consultas!K59='Parâmetros'!$E$1,2,-5)</f>
        <v>2</v>
      </c>
      <c r="K59" s="82" t="str">
        <f>IF(Consultas!L59='Parâmetros'!$D$1,"SOLIC CONTRATO DE ENTREGA","N/A")</f>
        <v>SOLIC CONTRATO DE ENTREGA</v>
      </c>
      <c r="L59" s="82">
        <f>IF(Consultas!R59='Parâmetros'!$E$1,1,-3)</f>
        <v>1</v>
      </c>
      <c r="M59" s="82">
        <f>IF(Consultas!S59&gt;1,(IF(Consultas!S59='Parâmetros'!$E$1,-3,9)))</f>
        <v>-3</v>
      </c>
      <c r="N59" s="82">
        <f>IF(Consultas!T59="S",23,0)</f>
        <v>0</v>
      </c>
      <c r="O59" s="82">
        <f>IF(Consultas!U59='Parâmetros'!$E$1,-3,3)</f>
        <v>3</v>
      </c>
      <c r="P59" s="82">
        <f>IF(Consultas!V59='Parâmetros'!$E$1,-100,2)</f>
        <v>2</v>
      </c>
      <c r="Q59" s="82">
        <f>IF(Consultas!M59='Parâmetros'!$D$1,2,-9)</f>
        <v>2</v>
      </c>
      <c r="R59" s="82">
        <f>IF(Consultas!N59="RJ",-12,0)</f>
        <v>0</v>
      </c>
      <c r="S59" s="82">
        <f>IF(Consultas!O59="-",-3,IF(Consultas!O59=0,-6,IF(Consultas!O59=5,0,IF(Consultas!O59=10,6))))</f>
        <v>-3</v>
      </c>
      <c r="T59" s="82">
        <f>IF(Consultas!M59="S",0,(IF(Consultas!P59="S",6,0)))</f>
        <v>0</v>
      </c>
      <c r="U59" s="82">
        <f>IF(Consultas!Q59&gt;97,9,IF(Consultas!Q59&gt;75,0,-7))</f>
        <v>9</v>
      </c>
      <c r="V59" s="82">
        <f>IF(Consultas!W59='Parâmetros'!$E$1,1,-5)</f>
        <v>1</v>
      </c>
      <c r="W59" s="82">
        <f>IF(Consultas!X59="S",3,-3)</f>
        <v>3</v>
      </c>
      <c r="X59" s="82">
        <f>IF(Consultas!Y59="S",0,-7)</f>
        <v>0</v>
      </c>
      <c r="Y59" s="82">
        <f>IF(Consultas!Z59='Parâmetros'!$E$1,2,-8)</f>
        <v>2</v>
      </c>
      <c r="Z59" s="82">
        <f>IF(Consultas!AA59='Parâmetros'!$E$1,-15,1)</f>
        <v>1</v>
      </c>
      <c r="AA59" s="147" t="s">
        <v>140</v>
      </c>
      <c r="AB59" s="82">
        <f>IF(E59="NA","NA",IF(E59&gt;'Parâmetros'!$A$9,8,IF(E59&gt;'Parâmetros'!$A$8,4,IF(E59&gt;'Parâmetros'!$A$7,0,-6))))</f>
        <v>0</v>
      </c>
      <c r="AC59" s="82">
        <f>IF(Consultas!AC59='Parâmetros'!$E$1,0,5)</f>
        <v>5</v>
      </c>
      <c r="AD59" s="82">
        <f>IF(Consultas!AH59='Parâmetros'!$D$1,-10,5)</f>
        <v>-10</v>
      </c>
      <c r="AE59" s="82">
        <f>IF(Consultas!AI59&gt;(Consultas!F59*2),-10,0)</f>
        <v>0</v>
      </c>
      <c r="AF59" s="82">
        <f>IF(Consultas!AD59&gt;1,(IF(Consultas!AI59&gt;(Consultas!AD59),-20,4)))</f>
        <v>4</v>
      </c>
      <c r="AG59" s="82">
        <f>IF(Consultas!AG59='Parâmetros'!$E$1,0,-6)</f>
        <v>0</v>
      </c>
      <c r="AH59" s="82">
        <f>IF(Consultas!AF59='Parâmetros'!$E$1,1,-5)</f>
        <v>1</v>
      </c>
      <c r="AI59" s="82">
        <f>IF(Consultas!AJ59&gt;700,8,IF(Consultas!AJ59&gt;500,4,IF(Consultas!AJ59&gt;200,-4,IF(Consultas!AJ59&gt;1,-15,-20))))</f>
        <v>8</v>
      </c>
      <c r="AJ59" s="82">
        <f>IF(Consultas!AD59='Parâmetros'!$E$10,0,IF(Consultas!AD59&gt;'Parâmetros'!$A$30,12,IF(Consultas!AD59&gt;'Parâmetros'!$A$31,6,IF(Consultas!AD59&gt;'Parâmetros'!$A$32,0,IF(Consultas!AD59&gt;'Parâmetros'!$A$33,0,IF(Consultas!AD59&gt;'Parâmetros'!$A$34,-3,IF(Consultas!AD59&gt;'Parâmetros'!$A$35,-7,-1)))))))</f>
        <v>12</v>
      </c>
      <c r="AK59" s="82">
        <f>IF(Consultas!AO59='Parâmetros'!$D$1,3,-3)</f>
        <v>-3</v>
      </c>
      <c r="AL59" s="82">
        <f>IF(Consultas!AP59='Parâmetros'!$D$1,5,-3)</f>
        <v>-3</v>
      </c>
      <c r="AM59" s="82">
        <f>IF(Consultas!AL59="N",-6,0)</f>
        <v>0</v>
      </c>
      <c r="AN59" s="82">
        <f>IF(Consultas!AM59="N",-10,0)</f>
        <v>0</v>
      </c>
      <c r="AO59" s="82">
        <f>IF(Consultas!AN59="S",4,-2)</f>
        <v>-2</v>
      </c>
      <c r="AP59" s="39"/>
      <c r="AQ59" s="165">
        <f>IF(Consultas!F59&gt;1,(SUM(F59:AO59)),"N/A")</f>
        <v>29</v>
      </c>
      <c r="AR59" s="78" t="str">
        <f>IF((Consultas!AD59&gt;'Parâmetros'!$A$31),"X",AJ59+Y59+V59+AC59)</f>
        <v>X</v>
      </c>
      <c r="AS59" s="78" t="str">
        <f>IF((Consultas!AD59&gt;'Parâmetros'!$A$31),"X",(H59+I59+J59+Q59+T59+Y59+Z59+AJ59+AN59))</f>
        <v>X</v>
      </c>
      <c r="AT59" s="78">
        <f>IF((Consultas!AD59&lt;'Parâmetros'!$A$31),"X",(AD59+AC59+AB59))</f>
        <v>-5</v>
      </c>
      <c r="AU59" s="78">
        <f t="shared" si="1"/>
        <v>-5</v>
      </c>
      <c r="AV59" s="82" t="str">
        <f>IF(AQ59="N/A","N/A",IF(AQ59&gt;5,'Parâmetros'!$A$15,(IF(AU59=AR59,'Parâmetros'!$A$17,IF(AU59=AS59,'Parâmetros'!$A$16,'Parâmetros'!$A$14)))))</f>
        <v>SEM-RISCO</v>
      </c>
      <c r="AW59" s="86" t="str">
        <f>IF(AQ59="N/A","N/A",IF(AV59='Parâmetros'!$A$15,'Parâmetros'!$C$15,(IF(AV59='Parâmetros'!$A$17,'Parâmetros'!$C$17,IF(AV59='Parâmetros'!$A$16,'Parâmetros'!$C$16,IF(AV59='Parâmetros'!$A$14,'Parâmetros'!$C$12))))))</f>
        <v>LIBERADO</v>
      </c>
      <c r="AX59" s="82" t="str">
        <f>IF(Consultas!F59&gt;1,(IF(Consultas!F59&gt;5000,"SOLICITAR PED COMPRA","N/A")))</f>
        <v>SOLICITAR PED COMPRA</v>
      </c>
      <c r="AY59" s="167" t="str">
        <f>IF(AND(Consultas!M59&lt;&gt;"S", Consultas!H59="S"), "CHECAGEM REVERSA", "N/A")</f>
        <v>N/A</v>
      </c>
      <c r="AZ59" s="167" t="str">
        <f>IF(Consultas!U59="N","PRECISA CORRIGIR END DIVERGENTE","N/A")</f>
        <v>N/A</v>
      </c>
    </row>
    <row r="60" ht="12.0" customHeight="1">
      <c r="A60" s="39" t="s">
        <v>90</v>
      </c>
      <c r="B60" s="82">
        <f>Consultas!B60</f>
        <v>224</v>
      </c>
      <c r="C60" s="82" t="str">
        <f>Consultas!D60</f>
        <v>Metalpleno</v>
      </c>
      <c r="D60" s="96" t="str">
        <f>Consultas!E60</f>
        <v>144570</v>
      </c>
      <c r="E60" s="104">
        <f>IF(Consultas!AB60&gt;0,YEAR('Parâmetros'!$B$1)-YEAR(Consultas!AB60),"NA")</f>
        <v>14</v>
      </c>
      <c r="F60" s="82">
        <f>IF(Consultas!F60&gt;'Parâmetros'!$B$2,-8,0)</f>
        <v>0</v>
      </c>
      <c r="G60" s="82">
        <f>IF(Consultas!H60='Parâmetros'!$E$1,100,0)</f>
        <v>0</v>
      </c>
      <c r="H60" s="82">
        <f>IF(Consultas!I60='Parâmetros'!$E$1,-4,12)</f>
        <v>-4</v>
      </c>
      <c r="I60" s="82">
        <f>IF(Consultas!J60='Parâmetros'!$E$1,1,-13)</f>
        <v>1</v>
      </c>
      <c r="J60" s="82">
        <f>IF(Consultas!K60='Parâmetros'!$E$1,2,-5)</f>
        <v>2</v>
      </c>
      <c r="K60" s="82" t="str">
        <f>IF(Consultas!L60='Parâmetros'!$D$1,"SOLIC CONTRATO DE ENTREGA","N/A")</f>
        <v>SOLIC CONTRATO DE ENTREGA</v>
      </c>
      <c r="L60" s="82">
        <f>IF(Consultas!R60='Parâmetros'!$E$1,1,-3)</f>
        <v>1</v>
      </c>
      <c r="M60" s="82">
        <f>IF(Consultas!S60&gt;1,(IF(Consultas!S60='Parâmetros'!$E$1,-3,9)))</f>
        <v>-3</v>
      </c>
      <c r="N60" s="82">
        <f>IF(Consultas!T60="S",23,0)</f>
        <v>0</v>
      </c>
      <c r="O60" s="82">
        <f>IF(Consultas!U60='Parâmetros'!$E$1,-3,3)</f>
        <v>3</v>
      </c>
      <c r="P60" s="82">
        <f>IF(Consultas!V60='Parâmetros'!$E$1,-100,2)</f>
        <v>2</v>
      </c>
      <c r="Q60" s="82">
        <f>IF(Consultas!M60='Parâmetros'!$D$1,2,-9)</f>
        <v>2</v>
      </c>
      <c r="R60" s="82">
        <f>IF(Consultas!N60="RJ",-12,0)</f>
        <v>0</v>
      </c>
      <c r="S60" s="82">
        <f>IF(Consultas!O60="-",-3,IF(Consultas!O60=0,-6,IF(Consultas!O60=5,0,IF(Consultas!O60=10,6))))</f>
        <v>-3</v>
      </c>
      <c r="T60" s="82">
        <f>IF(Consultas!M60="S",0,(IF(Consultas!P60="S",6,0)))</f>
        <v>0</v>
      </c>
      <c r="U60" s="82">
        <f>IF(Consultas!Q60&gt;97,9,IF(Consultas!Q60&gt;75,0,-7))</f>
        <v>9</v>
      </c>
      <c r="V60" s="82">
        <f>IF(Consultas!W60='Parâmetros'!$E$1,1,-5)</f>
        <v>-5</v>
      </c>
      <c r="W60" s="82">
        <f>IF(Consultas!X60="S",3,-3)</f>
        <v>3</v>
      </c>
      <c r="X60" s="82">
        <f>IF(Consultas!Y60="S",0,-7)</f>
        <v>0</v>
      </c>
      <c r="Y60" s="82">
        <f>IF(Consultas!Z60='Parâmetros'!$E$1,2,-8)</f>
        <v>2</v>
      </c>
      <c r="Z60" s="82">
        <f>IF(Consultas!AA60='Parâmetros'!$E$1,-15,1)</f>
        <v>1</v>
      </c>
      <c r="AA60" s="147" t="s">
        <v>140</v>
      </c>
      <c r="AB60" s="82">
        <f>IF(E60="NA","NA",IF(E60&gt;'Parâmetros'!$A$9,8,IF(E60&gt;'Parâmetros'!$A$8,4,IF(E60&gt;'Parâmetros'!$A$7,0,-6))))</f>
        <v>0</v>
      </c>
      <c r="AC60" s="82">
        <f>IF(Consultas!AC60='Parâmetros'!$E$1,0,5)</f>
        <v>0</v>
      </c>
      <c r="AD60" s="82">
        <f>IF(Consultas!AH60='Parâmetros'!$D$1,-10,5)</f>
        <v>5</v>
      </c>
      <c r="AE60" s="82">
        <f>IF(Consultas!AI60&gt;(Consultas!F60*2),-10,0)</f>
        <v>0</v>
      </c>
      <c r="AF60" s="82">
        <f>IF(Consultas!AD60&gt;1,(IF(Consultas!AI60&gt;(Consultas!AD60),-20,4)))</f>
        <v>4</v>
      </c>
      <c r="AG60" s="82">
        <f>IF(Consultas!AG60='Parâmetros'!$E$1,0,-6)</f>
        <v>0</v>
      </c>
      <c r="AH60" s="82">
        <f>IF(Consultas!AF60='Parâmetros'!$E$1,1,-5)</f>
        <v>-5</v>
      </c>
      <c r="AI60" s="82">
        <f>IF(Consultas!AJ60&gt;700,8,IF(Consultas!AJ60&gt;500,4,IF(Consultas!AJ60&gt;200,-4,IF(Consultas!AJ60&gt;1,-15,-20))))</f>
        <v>8</v>
      </c>
      <c r="AJ60" s="82">
        <f>IF(Consultas!AD60='Parâmetros'!$E$10,0,IF(Consultas!AD60&gt;'Parâmetros'!$A$30,12,IF(Consultas!AD60&gt;'Parâmetros'!$A$31,6,IF(Consultas!AD60&gt;'Parâmetros'!$A$32,0,IF(Consultas!AD60&gt;'Parâmetros'!$A$33,0,IF(Consultas!AD60&gt;'Parâmetros'!$A$34,-3,IF(Consultas!AD60&gt;'Parâmetros'!$A$35,-7,-1)))))))</f>
        <v>6</v>
      </c>
      <c r="AK60" s="82">
        <f>IF(Consultas!AO60='Parâmetros'!$D$1,3,-3)</f>
        <v>-3</v>
      </c>
      <c r="AL60" s="82">
        <f>IF(Consultas!AP60='Parâmetros'!$D$1,5,-3)</f>
        <v>-3</v>
      </c>
      <c r="AM60" s="82">
        <f>IF(Consultas!AL60="N",-6,0)</f>
        <v>0</v>
      </c>
      <c r="AN60" s="82">
        <f>IF(Consultas!AM60="N",-10,0)</f>
        <v>0</v>
      </c>
      <c r="AO60" s="82">
        <f>IF(Consultas!AN60="S",4,-2)</f>
        <v>-2</v>
      </c>
      <c r="AP60" s="39"/>
      <c r="AQ60" s="165">
        <f>IF(Consultas!F60&gt;1,(SUM(F60:AO60)),"N/A")</f>
        <v>21</v>
      </c>
      <c r="AR60" s="78" t="str">
        <f>IF((Consultas!AD60&gt;'Parâmetros'!$A$31),"X",AJ60+Y60+V60+AC60)</f>
        <v>X</v>
      </c>
      <c r="AS60" s="78" t="str">
        <f>IF((Consultas!AD60&gt;'Parâmetros'!$A$31),"X",(H60+I60+J60+Q60+T60+Y60+Z60+AJ60+AN60))</f>
        <v>X</v>
      </c>
      <c r="AT60" s="78">
        <f>IF((Consultas!AD60&lt;'Parâmetros'!$A$31),"X",(AD60+AC60+AB60))</f>
        <v>5</v>
      </c>
      <c r="AU60" s="78">
        <f t="shared" si="1"/>
        <v>5</v>
      </c>
      <c r="AV60" s="82" t="str">
        <f>IF(AQ60="N/A","N/A",IF(AQ60&gt;5,'Parâmetros'!$A$15,(IF(AU60=AR60,'Parâmetros'!$A$17,IF(AU60=AS60,'Parâmetros'!$A$16,'Parâmetros'!$A$14)))))</f>
        <v>SEM-RISCO</v>
      </c>
      <c r="AW60" s="86" t="str">
        <f>IF(AQ60="N/A","N/A",IF(AV60='Parâmetros'!$A$15,'Parâmetros'!$C$15,(IF(AV60='Parâmetros'!$A$17,'Parâmetros'!$C$17,IF(AV60='Parâmetros'!$A$16,'Parâmetros'!$C$16,IF(AV60='Parâmetros'!$A$14,'Parâmetros'!$C$12))))))</f>
        <v>LIBERADO</v>
      </c>
      <c r="AX60" s="82" t="str">
        <f>IF(Consultas!F60&gt;1,(IF(Consultas!F60&gt;5000,"SOLICITAR PED COMPRA","N/A")))</f>
        <v>SOLICITAR PED COMPRA</v>
      </c>
      <c r="AY60" s="167" t="str">
        <f>IF(AND(Consultas!M60&lt;&gt;"S", Consultas!H60="S"), "CHECAGEM REVERSA", "N/A")</f>
        <v>N/A</v>
      </c>
      <c r="AZ60" s="167" t="str">
        <f>IF(Consultas!U60="N","PRECISA CORRIGIR END DIVERGENTE","N/A")</f>
        <v>N/A</v>
      </c>
    </row>
    <row r="61" ht="12.0" customHeight="1">
      <c r="A61" s="39" t="s">
        <v>90</v>
      </c>
      <c r="B61" s="82">
        <f>Consultas!B61</f>
        <v>560</v>
      </c>
      <c r="C61" s="82" t="str">
        <f>Consultas!D61</f>
        <v>Metalpleno</v>
      </c>
      <c r="D61" s="96" t="str">
        <f>Consultas!E61</f>
        <v>036273</v>
      </c>
      <c r="E61" s="104">
        <f>IF(Consultas!AB61&gt;0,YEAR('Parâmetros'!$B$1)-YEAR(Consultas!AB61),"NA")</f>
        <v>13</v>
      </c>
      <c r="F61" s="82">
        <f>IF(Consultas!F61&gt;'Parâmetros'!$B$2,-8,0)</f>
        <v>0</v>
      </c>
      <c r="G61" s="82">
        <f>IF(Consultas!H61='Parâmetros'!$E$1,100,0)</f>
        <v>0</v>
      </c>
      <c r="H61" s="82">
        <f>IF(Consultas!I61='Parâmetros'!$E$1,-4,12)</f>
        <v>-4</v>
      </c>
      <c r="I61" s="82">
        <f>IF(Consultas!J61='Parâmetros'!$E$1,1,-13)</f>
        <v>-13</v>
      </c>
      <c r="J61" s="82">
        <f>IF(Consultas!K61='Parâmetros'!$E$1,2,-5)</f>
        <v>2</v>
      </c>
      <c r="K61" s="82" t="str">
        <f>IF(Consultas!L61='Parâmetros'!$D$1,"SOLIC CONTRATO DE ENTREGA","N/A")</f>
        <v>N/A</v>
      </c>
      <c r="L61" s="82">
        <f>IF(Consultas!R61='Parâmetros'!$E$1,1,-3)</f>
        <v>1</v>
      </c>
      <c r="M61" s="82">
        <f>IF(Consultas!S61&gt;1,(IF(Consultas!S61='Parâmetros'!$E$1,-3,9)))</f>
        <v>9</v>
      </c>
      <c r="N61" s="82">
        <f>IF(Consultas!T61="S",23,0)</f>
        <v>0</v>
      </c>
      <c r="O61" s="82">
        <f>IF(Consultas!U61='Parâmetros'!$E$1,-3,3)</f>
        <v>3</v>
      </c>
      <c r="P61" s="82">
        <f>IF(Consultas!V61='Parâmetros'!$E$1,-100,2)</f>
        <v>2</v>
      </c>
      <c r="Q61" s="82">
        <f>IF(Consultas!M61='Parâmetros'!$D$1,2,-9)</f>
        <v>2</v>
      </c>
      <c r="R61" s="82">
        <f>IF(Consultas!N61="RJ",-12,0)</f>
        <v>0</v>
      </c>
      <c r="S61" s="82">
        <f>IF(Consultas!O61="-",-3,IF(Consultas!O61=0,-6,IF(Consultas!O61=5,0,IF(Consultas!O61=10,6))))</f>
        <v>0</v>
      </c>
      <c r="T61" s="82">
        <f>IF(Consultas!M61="S",0,(IF(Consultas!P61="S",6,0)))</f>
        <v>0</v>
      </c>
      <c r="U61" s="82">
        <f>IF(Consultas!Q61&gt;97,9,IF(Consultas!Q61&gt;75,0,-7))</f>
        <v>9</v>
      </c>
      <c r="V61" s="82">
        <f>IF(Consultas!W61='Parâmetros'!$E$1,1,-5)</f>
        <v>1</v>
      </c>
      <c r="W61" s="82">
        <f>IF(Consultas!X61="S",3,-3)</f>
        <v>3</v>
      </c>
      <c r="X61" s="82">
        <f>IF(Consultas!Y61="S",0,-7)</f>
        <v>0</v>
      </c>
      <c r="Y61" s="82">
        <f>IF(Consultas!Z61='Parâmetros'!$E$1,2,-8)</f>
        <v>2</v>
      </c>
      <c r="Z61" s="82">
        <f>IF(Consultas!AA61='Parâmetros'!$E$1,-15,1)</f>
        <v>1</v>
      </c>
      <c r="AA61" s="147" t="s">
        <v>140</v>
      </c>
      <c r="AB61" s="82">
        <f>IF(E61="NA","NA",IF(E61&gt;'Parâmetros'!$A$9,8,IF(E61&gt;'Parâmetros'!$A$8,4,IF(E61&gt;'Parâmetros'!$A$7,0,-6))))</f>
        <v>0</v>
      </c>
      <c r="AC61" s="82">
        <f>IF(Consultas!AC61='Parâmetros'!$E$1,0,5)</f>
        <v>0</v>
      </c>
      <c r="AD61" s="82">
        <f>IF(Consultas!AH61='Parâmetros'!$D$1,-10,5)</f>
        <v>-10</v>
      </c>
      <c r="AE61" s="82">
        <f>IF(Consultas!AI61&gt;(Consultas!F61*2),-10,0)</f>
        <v>-10</v>
      </c>
      <c r="AF61" s="82">
        <f>IF(Consultas!AD61&gt;1,(IF(Consultas!AI61&gt;(Consultas!AD61),-20,4)))</f>
        <v>4</v>
      </c>
      <c r="AG61" s="82">
        <f>IF(Consultas!AG61='Parâmetros'!$E$1,0,-6)</f>
        <v>0</v>
      </c>
      <c r="AH61" s="82">
        <f>IF(Consultas!AF61='Parâmetros'!$E$1,1,-5)</f>
        <v>-5</v>
      </c>
      <c r="AI61" s="82">
        <f>IF(Consultas!AJ61&gt;700,8,IF(Consultas!AJ61&gt;500,4,IF(Consultas!AJ61&gt;200,-4,IF(Consultas!AJ61&gt;1,-15,-20))))</f>
        <v>8</v>
      </c>
      <c r="AJ61" s="82">
        <f>IF(Consultas!AD61='Parâmetros'!$E$10,0,IF(Consultas!AD61&gt;'Parâmetros'!$A$30,12,IF(Consultas!AD61&gt;'Parâmetros'!$A$31,6,IF(Consultas!AD61&gt;'Parâmetros'!$A$32,0,IF(Consultas!AD61&gt;'Parâmetros'!$A$33,0,IF(Consultas!AD61&gt;'Parâmetros'!$A$34,-3,IF(Consultas!AD61&gt;'Parâmetros'!$A$35,-7,-1)))))))</f>
        <v>12</v>
      </c>
      <c r="AK61" s="82">
        <f>IF(Consultas!AO61='Parâmetros'!$D$1,3,-3)</f>
        <v>-3</v>
      </c>
      <c r="AL61" s="82">
        <f>IF(Consultas!AP61='Parâmetros'!$D$1,5,-3)</f>
        <v>-3</v>
      </c>
      <c r="AM61" s="82">
        <f>IF(Consultas!AL61="N",-6,0)</f>
        <v>0</v>
      </c>
      <c r="AN61" s="82">
        <f>IF(Consultas!AM61="N",-10,0)</f>
        <v>0</v>
      </c>
      <c r="AO61" s="82">
        <f>IF(Consultas!AN61="S",4,-2)</f>
        <v>-2</v>
      </c>
      <c r="AP61" s="39"/>
      <c r="AQ61" s="165">
        <f>IF(Consultas!F61&gt;1,(SUM(F61:AO61)),"N/A")</f>
        <v>9</v>
      </c>
      <c r="AR61" s="78" t="str">
        <f>IF((Consultas!AD61&gt;'Parâmetros'!$A$31),"X",AJ61+Y61+V61+AC61)</f>
        <v>X</v>
      </c>
      <c r="AS61" s="78" t="str">
        <f>IF((Consultas!AD61&gt;'Parâmetros'!$A$31),"X",(H61+I61+J61+Q61+T61+Y61+Z61+AJ61+AN61))</f>
        <v>X</v>
      </c>
      <c r="AT61" s="78">
        <f>IF((Consultas!AD61&lt;'Parâmetros'!$A$31),"X",(AD61+AC61+AB61))</f>
        <v>-10</v>
      </c>
      <c r="AU61" s="78">
        <f t="shared" si="1"/>
        <v>-10</v>
      </c>
      <c r="AV61" s="82" t="str">
        <f>IF(AQ61="N/A","N/A",IF(AQ61&gt;5,'Parâmetros'!$A$15,(IF(AU61=AR61,'Parâmetros'!$A$17,IF(AU61=AS61,'Parâmetros'!$A$16,'Parâmetros'!$A$14)))))</f>
        <v>SEM-RISCO</v>
      </c>
      <c r="AW61" s="86" t="str">
        <f>IF(AQ61="N/A","N/A",IF(AV61='Parâmetros'!$A$15,'Parâmetros'!$C$15,(IF(AV61='Parâmetros'!$A$17,'Parâmetros'!$C$17,IF(AV61='Parâmetros'!$A$16,'Parâmetros'!$C$16,IF(AV61='Parâmetros'!$A$14,'Parâmetros'!$C$12))))))</f>
        <v>LIBERADO</v>
      </c>
      <c r="AX61" s="82" t="str">
        <f>IF(Consultas!F61&gt;1,(IF(Consultas!F61&gt;5000,"SOLICITAR PED COMPRA","N/A")))</f>
        <v>SOLICITAR PED COMPRA</v>
      </c>
      <c r="AY61" s="167" t="str">
        <f>IF(AND(Consultas!M61&lt;&gt;"S", Consultas!H61="S"), "CHECAGEM REVERSA", "N/A")</f>
        <v>N/A</v>
      </c>
      <c r="AZ61" s="167" t="str">
        <f>IF(Consultas!U61="N","PRECISA CORRIGIR END DIVERGENTE","N/A")</f>
        <v>N/A</v>
      </c>
    </row>
    <row r="62" ht="12.0" customHeight="1">
      <c r="A62" s="39" t="s">
        <v>90</v>
      </c>
      <c r="B62" s="82">
        <f>Consultas!B62</f>
        <v>228</v>
      </c>
      <c r="C62" s="82" t="str">
        <f>Consultas!D62</f>
        <v>Metalpleno</v>
      </c>
      <c r="D62" s="96" t="str">
        <f>Consultas!E62</f>
        <v>068591</v>
      </c>
      <c r="E62" s="104">
        <f>IF(Consultas!AB62&gt;0,YEAR('Parâmetros'!$B$1)-YEAR(Consultas!AB62),"NA")</f>
        <v>5</v>
      </c>
      <c r="F62" s="82">
        <f>IF(Consultas!F62&gt;'Parâmetros'!$B$2,-8,0)</f>
        <v>0</v>
      </c>
      <c r="G62" s="82">
        <f>IF(Consultas!H62='Parâmetros'!$E$1,100,0)</f>
        <v>0</v>
      </c>
      <c r="H62" s="82">
        <f>IF(Consultas!I62='Parâmetros'!$E$1,-4,12)</f>
        <v>-4</v>
      </c>
      <c r="I62" s="82">
        <f>IF(Consultas!J62='Parâmetros'!$E$1,1,-13)</f>
        <v>1</v>
      </c>
      <c r="J62" s="82">
        <f>IF(Consultas!K62='Parâmetros'!$E$1,2,-5)</f>
        <v>2</v>
      </c>
      <c r="K62" s="82" t="str">
        <f>IF(Consultas!L62='Parâmetros'!$D$1,"SOLIC CONTRATO DE ENTREGA","N/A")</f>
        <v>SOLIC CONTRATO DE ENTREGA</v>
      </c>
      <c r="L62" s="82">
        <f>IF(Consultas!R62='Parâmetros'!$E$1,1,-3)</f>
        <v>1</v>
      </c>
      <c r="M62" s="82">
        <f>IF(Consultas!S62&gt;1,(IF(Consultas!S62='Parâmetros'!$E$1,-3,9)))</f>
        <v>9</v>
      </c>
      <c r="N62" s="82">
        <f>IF(Consultas!T62="S",23,0)</f>
        <v>0</v>
      </c>
      <c r="O62" s="82">
        <f>IF(Consultas!U62='Parâmetros'!$E$1,-3,3)</f>
        <v>3</v>
      </c>
      <c r="P62" s="82">
        <f>IF(Consultas!V62='Parâmetros'!$E$1,-100,2)</f>
        <v>2</v>
      </c>
      <c r="Q62" s="82">
        <f>IF(Consultas!M62='Parâmetros'!$D$1,2,-9)</f>
        <v>2</v>
      </c>
      <c r="R62" s="82">
        <f>IF(Consultas!N62="RJ",-12,0)</f>
        <v>0</v>
      </c>
      <c r="S62" s="82">
        <f>IF(Consultas!O62="-",-3,IF(Consultas!O62=0,-6,IF(Consultas!O62=5,0,IF(Consultas!O62=10,6))))</f>
        <v>0</v>
      </c>
      <c r="T62" s="82">
        <f>IF(Consultas!M62="S",0,(IF(Consultas!P62="S",6,0)))</f>
        <v>0</v>
      </c>
      <c r="U62" s="82">
        <f>IF(Consultas!Q62&gt;97,9,IF(Consultas!Q62&gt;75,0,-7))</f>
        <v>9</v>
      </c>
      <c r="V62" s="82">
        <f>IF(Consultas!W62='Parâmetros'!$E$1,1,-5)</f>
        <v>1</v>
      </c>
      <c r="W62" s="82">
        <f>IF(Consultas!X62="S",3,-3)</f>
        <v>3</v>
      </c>
      <c r="X62" s="82">
        <f>IF(Consultas!Y62="S",0,-7)</f>
        <v>0</v>
      </c>
      <c r="Y62" s="82">
        <f>IF(Consultas!Z62='Parâmetros'!$E$1,2,-8)</f>
        <v>2</v>
      </c>
      <c r="Z62" s="82">
        <f>IF(Consultas!AA62='Parâmetros'!$E$1,-15,1)</f>
        <v>1</v>
      </c>
      <c r="AA62" s="147" t="s">
        <v>140</v>
      </c>
      <c r="AB62" s="82">
        <f>IF(E62="NA","NA",IF(E62&gt;'Parâmetros'!$A$9,8,IF(E62&gt;'Parâmetros'!$A$8,4,IF(E62&gt;'Parâmetros'!$A$7,0,-6))))</f>
        <v>-6</v>
      </c>
      <c r="AC62" s="82">
        <f>IF(Consultas!AC62='Parâmetros'!$E$1,0,5)</f>
        <v>0</v>
      </c>
      <c r="AD62" s="82">
        <f>IF(Consultas!AH62='Parâmetros'!$D$1,-10,5)</f>
        <v>-10</v>
      </c>
      <c r="AE62" s="82">
        <f>IF(Consultas!AI62&gt;(Consultas!F62*2),-10,0)</f>
        <v>0</v>
      </c>
      <c r="AF62" s="82">
        <f>IF(Consultas!AD62&gt;1,(IF(Consultas!AI62&gt;(Consultas!AD62),-20,4)))</f>
        <v>4</v>
      </c>
      <c r="AG62" s="82">
        <f>IF(Consultas!AG62='Parâmetros'!$E$1,0,-6)</f>
        <v>0</v>
      </c>
      <c r="AH62" s="82">
        <f>IF(Consultas!AF62='Parâmetros'!$E$1,1,-5)</f>
        <v>1</v>
      </c>
      <c r="AI62" s="82">
        <f>IF(Consultas!AJ62&gt;700,8,IF(Consultas!AJ62&gt;500,4,IF(Consultas!AJ62&gt;200,-4,IF(Consultas!AJ62&gt;1,-15,-20))))</f>
        <v>4</v>
      </c>
      <c r="AJ62" s="82">
        <f>IF(Consultas!AD62='Parâmetros'!$E$10,0,IF(Consultas!AD62&gt;'Parâmetros'!$A$30,12,IF(Consultas!AD62&gt;'Parâmetros'!$A$31,6,IF(Consultas!AD62&gt;'Parâmetros'!$A$32,0,IF(Consultas!AD62&gt;'Parâmetros'!$A$33,0,IF(Consultas!AD62&gt;'Parâmetros'!$A$34,-3,IF(Consultas!AD62&gt;'Parâmetros'!$A$35,-7,-1)))))))</f>
        <v>12</v>
      </c>
      <c r="AK62" s="82">
        <f>IF(Consultas!AO62='Parâmetros'!$D$1,3,-3)</f>
        <v>-3</v>
      </c>
      <c r="AL62" s="82">
        <f>IF(Consultas!AP62='Parâmetros'!$D$1,5,-3)</f>
        <v>-3</v>
      </c>
      <c r="AM62" s="82">
        <f>IF(Consultas!AL62="N",-6,0)</f>
        <v>0</v>
      </c>
      <c r="AN62" s="82">
        <f>IF(Consultas!AM62="N",-10,0)</f>
        <v>-10</v>
      </c>
      <c r="AO62" s="82">
        <f>IF(Consultas!AN62="S",4,-2)</f>
        <v>-2</v>
      </c>
      <c r="AP62" s="39"/>
      <c r="AQ62" s="165">
        <f>IF(Consultas!F62&gt;1,(SUM(F62:AO62)),"N/A")</f>
        <v>19</v>
      </c>
      <c r="AR62" s="78" t="str">
        <f>IF((Consultas!AD62&gt;'Parâmetros'!$A$31),"X",AJ62+Y62+V62+AC62)</f>
        <v>X</v>
      </c>
      <c r="AS62" s="78" t="str">
        <f>IF((Consultas!AD62&gt;'Parâmetros'!$A$31),"X",(H62+I62+J62+Q62+T62+Y62+Z62+AJ62+AN62))</f>
        <v>X</v>
      </c>
      <c r="AT62" s="78">
        <f>IF((Consultas!AD62&lt;'Parâmetros'!$A$31),"X",(AD62+AC62+AB62))</f>
        <v>-16</v>
      </c>
      <c r="AU62" s="78">
        <f t="shared" si="1"/>
        <v>-16</v>
      </c>
      <c r="AV62" s="82" t="str">
        <f>IF(AQ62="N/A","N/A",IF(AQ62&gt;5,'Parâmetros'!$A$15,(IF(AU62=AR62,'Parâmetros'!$A$17,IF(AU62=AS62,'Parâmetros'!$A$16,'Parâmetros'!$A$14)))))</f>
        <v>SEM-RISCO</v>
      </c>
      <c r="AW62" s="86" t="str">
        <f>IF(AQ62="N/A","N/A",IF(AV62='Parâmetros'!$A$15,'Parâmetros'!$C$15,(IF(AV62='Parâmetros'!$A$17,'Parâmetros'!$C$17,IF(AV62='Parâmetros'!$A$16,'Parâmetros'!$C$16,IF(AV62='Parâmetros'!$A$14,'Parâmetros'!$C$12))))))</f>
        <v>LIBERADO</v>
      </c>
      <c r="AX62" s="82" t="str">
        <f>IF(Consultas!F62&gt;1,(IF(Consultas!F62&gt;5000,"SOLICITAR PED COMPRA","N/A")))</f>
        <v>SOLICITAR PED COMPRA</v>
      </c>
      <c r="AY62" s="167" t="str">
        <f>IF(AND(Consultas!M62&lt;&gt;"S", Consultas!H62="S"), "CHECAGEM REVERSA", "N/A")</f>
        <v>N/A</v>
      </c>
      <c r="AZ62" s="167" t="str">
        <f>IF(Consultas!U62="N","PRECISA CORRIGIR END DIVERGENTE","N/A")</f>
        <v>N/A</v>
      </c>
    </row>
    <row r="63" ht="12.0" customHeight="1">
      <c r="A63" s="39" t="s">
        <v>90</v>
      </c>
      <c r="B63" s="82">
        <f>Consultas!B63</f>
        <v>231</v>
      </c>
      <c r="C63" s="82" t="str">
        <f>Consultas!D63</f>
        <v>Metalpleno</v>
      </c>
      <c r="D63" s="96" t="str">
        <f>Consultas!E63</f>
        <v>144579</v>
      </c>
      <c r="E63" s="104">
        <f>IF(Consultas!AB63&gt;0,YEAR('Parâmetros'!$B$1)-YEAR(Consultas!AB63),"NA")</f>
        <v>50</v>
      </c>
      <c r="F63" s="82">
        <f>IF(Consultas!F63&gt;'Parâmetros'!$B$2,-8,0)</f>
        <v>0</v>
      </c>
      <c r="G63" s="82">
        <f>IF(Consultas!H63='Parâmetros'!$E$1,100,0)</f>
        <v>0</v>
      </c>
      <c r="H63" s="82">
        <f>IF(Consultas!I63='Parâmetros'!$E$1,-4,12)</f>
        <v>-4</v>
      </c>
      <c r="I63" s="82">
        <f>IF(Consultas!J63='Parâmetros'!$E$1,1,-13)</f>
        <v>1</v>
      </c>
      <c r="J63" s="82">
        <f>IF(Consultas!K63='Parâmetros'!$E$1,2,-5)</f>
        <v>2</v>
      </c>
      <c r="K63" s="82" t="str">
        <f>IF(Consultas!L63='Parâmetros'!$D$1,"SOLIC CONTRATO DE ENTREGA","N/A")</f>
        <v>SOLIC CONTRATO DE ENTREGA</v>
      </c>
      <c r="L63" s="82">
        <f>IF(Consultas!R63='Parâmetros'!$E$1,1,-3)</f>
        <v>1</v>
      </c>
      <c r="M63" s="82">
        <f>IF(Consultas!S63&gt;1,(IF(Consultas!S63='Parâmetros'!$E$1,-3,9)))</f>
        <v>-3</v>
      </c>
      <c r="N63" s="82">
        <f>IF(Consultas!T63="S",23,0)</f>
        <v>0</v>
      </c>
      <c r="O63" s="82">
        <f>IF(Consultas!U63='Parâmetros'!$E$1,-3,3)</f>
        <v>3</v>
      </c>
      <c r="P63" s="82">
        <f>IF(Consultas!V63='Parâmetros'!$E$1,-100,2)</f>
        <v>2</v>
      </c>
      <c r="Q63" s="82">
        <f>IF(Consultas!M63='Parâmetros'!$D$1,2,-9)</f>
        <v>2</v>
      </c>
      <c r="R63" s="82">
        <f>IF(Consultas!N63="RJ",-12,0)</f>
        <v>0</v>
      </c>
      <c r="S63" s="82">
        <f>IF(Consultas!O63="-",-3,IF(Consultas!O63=0,-6,IF(Consultas!O63=5,0,IF(Consultas!O63=10,6))))</f>
        <v>0</v>
      </c>
      <c r="T63" s="82">
        <f>IF(Consultas!M63="S",0,(IF(Consultas!P63="S",6,0)))</f>
        <v>0</v>
      </c>
      <c r="U63" s="82">
        <f>IF(Consultas!Q63&gt;97,9,IF(Consultas!Q63&gt;75,0,-7))</f>
        <v>9</v>
      </c>
      <c r="V63" s="82">
        <f>IF(Consultas!W63='Parâmetros'!$E$1,1,-5)</f>
        <v>1</v>
      </c>
      <c r="W63" s="82">
        <f>IF(Consultas!X63="S",3,-3)</f>
        <v>3</v>
      </c>
      <c r="X63" s="82">
        <f>IF(Consultas!Y63="S",0,-7)</f>
        <v>0</v>
      </c>
      <c r="Y63" s="82">
        <f>IF(Consultas!Z63='Parâmetros'!$E$1,2,-8)</f>
        <v>2</v>
      </c>
      <c r="Z63" s="82">
        <f>IF(Consultas!AA63='Parâmetros'!$E$1,-15,1)</f>
        <v>1</v>
      </c>
      <c r="AA63" s="147" t="s">
        <v>140</v>
      </c>
      <c r="AB63" s="82">
        <f>IF(E63="NA","NA",IF(E63&gt;'Parâmetros'!$A$9,8,IF(E63&gt;'Parâmetros'!$A$8,4,IF(E63&gt;'Parâmetros'!$A$7,0,-6))))</f>
        <v>8</v>
      </c>
      <c r="AC63" s="82">
        <f>IF(Consultas!AC63='Parâmetros'!$E$1,0,5)</f>
        <v>5</v>
      </c>
      <c r="AD63" s="82">
        <f>IF(Consultas!AH63='Parâmetros'!$D$1,-10,5)</f>
        <v>-10</v>
      </c>
      <c r="AE63" s="82">
        <f>IF(Consultas!AI63&gt;(Consultas!F63*2),-10,0)</f>
        <v>-10</v>
      </c>
      <c r="AF63" s="82">
        <f>IF(Consultas!AD63&gt;1,(IF(Consultas!AI63&gt;(Consultas!AD63),-20,4)))</f>
        <v>4</v>
      </c>
      <c r="AG63" s="82">
        <f>IF(Consultas!AG63='Parâmetros'!$E$1,0,-6)</f>
        <v>0</v>
      </c>
      <c r="AH63" s="82">
        <f>IF(Consultas!AF63='Parâmetros'!$E$1,1,-5)</f>
        <v>-5</v>
      </c>
      <c r="AI63" s="82">
        <f>IF(Consultas!AJ63&gt;700,8,IF(Consultas!AJ63&gt;500,4,IF(Consultas!AJ63&gt;200,-4,IF(Consultas!AJ63&gt;1,-15,-20))))</f>
        <v>8</v>
      </c>
      <c r="AJ63" s="82">
        <f>IF(Consultas!AD63='Parâmetros'!$E$10,0,IF(Consultas!AD63&gt;'Parâmetros'!$A$30,12,IF(Consultas!AD63&gt;'Parâmetros'!$A$31,6,IF(Consultas!AD63&gt;'Parâmetros'!$A$32,0,IF(Consultas!AD63&gt;'Parâmetros'!$A$33,0,IF(Consultas!AD63&gt;'Parâmetros'!$A$34,-3,IF(Consultas!AD63&gt;'Parâmetros'!$A$35,-7,-1)))))))</f>
        <v>12</v>
      </c>
      <c r="AK63" s="82">
        <f>IF(Consultas!AO63='Parâmetros'!$D$1,3,-3)</f>
        <v>-3</v>
      </c>
      <c r="AL63" s="82">
        <f>IF(Consultas!AP63='Parâmetros'!$D$1,5,-3)</f>
        <v>-3</v>
      </c>
      <c r="AM63" s="82">
        <f>IF(Consultas!AL63="N",-6,0)</f>
        <v>0</v>
      </c>
      <c r="AN63" s="82">
        <f>IF(Consultas!AM63="N",-10,0)</f>
        <v>0</v>
      </c>
      <c r="AO63" s="82">
        <f>IF(Consultas!AN63="S",4,-2)</f>
        <v>-2</v>
      </c>
      <c r="AP63" s="39"/>
      <c r="AQ63" s="165">
        <f>IF(Consultas!F63&gt;1,(SUM(F63:AO63)),"N/A")</f>
        <v>24</v>
      </c>
      <c r="AR63" s="78" t="str">
        <f>IF((Consultas!AD63&gt;'Parâmetros'!$A$31),"X",AJ63+Y63+V63+AC63)</f>
        <v>X</v>
      </c>
      <c r="AS63" s="78" t="str">
        <f>IF((Consultas!AD63&gt;'Parâmetros'!$A$31),"X",(H63+I63+J63+Q63+T63+Y63+Z63+AJ63+AN63))</f>
        <v>X</v>
      </c>
      <c r="AT63" s="78">
        <f>IF((Consultas!AD63&lt;'Parâmetros'!$A$31),"X",(AD63+AC63+AB63))</f>
        <v>3</v>
      </c>
      <c r="AU63" s="78">
        <f t="shared" si="1"/>
        <v>3</v>
      </c>
      <c r="AV63" s="82" t="str">
        <f>IF(AQ63="N/A","N/A",IF(AQ63&gt;5,'Parâmetros'!$A$15,(IF(AU63=AR63,'Parâmetros'!$A$17,IF(AU63=AS63,'Parâmetros'!$A$16,'Parâmetros'!$A$14)))))</f>
        <v>SEM-RISCO</v>
      </c>
      <c r="AW63" s="86" t="str">
        <f>IF(AQ63="N/A","N/A",IF(AV63='Parâmetros'!$A$15,'Parâmetros'!$C$15,(IF(AV63='Parâmetros'!$A$17,'Parâmetros'!$C$17,IF(AV63='Parâmetros'!$A$16,'Parâmetros'!$C$16,IF(AV63='Parâmetros'!$A$14,'Parâmetros'!$C$12))))))</f>
        <v>LIBERADO</v>
      </c>
      <c r="AX63" s="82" t="str">
        <f>IF(Consultas!F63&gt;1,(IF(Consultas!F63&gt;5000,"SOLICITAR PED COMPRA","N/A")))</f>
        <v>SOLICITAR PED COMPRA</v>
      </c>
      <c r="AY63" s="167" t="str">
        <f>IF(AND(Consultas!M63&lt;&gt;"S", Consultas!H63="S"), "CHECAGEM REVERSA", "N/A")</f>
        <v>N/A</v>
      </c>
      <c r="AZ63" s="167" t="str">
        <f>IF(Consultas!U63="N","PRECISA CORRIGIR END DIVERGENTE","N/A")</f>
        <v>N/A</v>
      </c>
    </row>
    <row r="64" ht="12.0" customHeight="1">
      <c r="A64" s="39" t="s">
        <v>90</v>
      </c>
      <c r="B64" s="82">
        <f>Consultas!B64</f>
        <v>232</v>
      </c>
      <c r="C64" s="82" t="str">
        <f>Consultas!D64</f>
        <v>Metalpleno</v>
      </c>
      <c r="D64" s="96" t="str">
        <f>Consultas!E64</f>
        <v>144580</v>
      </c>
      <c r="E64" s="104">
        <f>IF(Consultas!AB64&gt;0,YEAR('Parâmetros'!$B$1)-YEAR(Consultas!AB64),"NA")</f>
        <v>50</v>
      </c>
      <c r="F64" s="82">
        <f>IF(Consultas!F64&gt;'Parâmetros'!$B$2,-8,0)</f>
        <v>0</v>
      </c>
      <c r="G64" s="82">
        <f>IF(Consultas!H64='Parâmetros'!$E$1,100,0)</f>
        <v>0</v>
      </c>
      <c r="H64" s="82">
        <f>IF(Consultas!I64='Parâmetros'!$E$1,-4,12)</f>
        <v>-4</v>
      </c>
      <c r="I64" s="82">
        <f>IF(Consultas!J64='Parâmetros'!$E$1,1,-13)</f>
        <v>1</v>
      </c>
      <c r="J64" s="82">
        <f>IF(Consultas!K64='Parâmetros'!$E$1,2,-5)</f>
        <v>2</v>
      </c>
      <c r="K64" s="82" t="str">
        <f>IF(Consultas!L64='Parâmetros'!$D$1,"SOLIC CONTRATO DE ENTREGA","N/A")</f>
        <v>SOLIC CONTRATO DE ENTREGA</v>
      </c>
      <c r="L64" s="82">
        <f>IF(Consultas!R64='Parâmetros'!$E$1,1,-3)</f>
        <v>1</v>
      </c>
      <c r="M64" s="82">
        <f>IF(Consultas!S64&gt;1,(IF(Consultas!S64='Parâmetros'!$E$1,-3,9)))</f>
        <v>-3</v>
      </c>
      <c r="N64" s="82">
        <f>IF(Consultas!T64="S",23,0)</f>
        <v>0</v>
      </c>
      <c r="O64" s="82">
        <f>IF(Consultas!U64='Parâmetros'!$E$1,-3,3)</f>
        <v>3</v>
      </c>
      <c r="P64" s="82">
        <f>IF(Consultas!V64='Parâmetros'!$E$1,-100,2)</f>
        <v>2</v>
      </c>
      <c r="Q64" s="82">
        <f>IF(Consultas!M64='Parâmetros'!$D$1,2,-9)</f>
        <v>2</v>
      </c>
      <c r="R64" s="82">
        <f>IF(Consultas!N64="RJ",-12,0)</f>
        <v>0</v>
      </c>
      <c r="S64" s="82">
        <f>IF(Consultas!O64="-",-3,IF(Consultas!O64=0,-6,IF(Consultas!O64=5,0,IF(Consultas!O64=10,6))))</f>
        <v>0</v>
      </c>
      <c r="T64" s="82">
        <f>IF(Consultas!M64="S",0,(IF(Consultas!P64="S",6,0)))</f>
        <v>0</v>
      </c>
      <c r="U64" s="82">
        <f>IF(Consultas!Q64&gt;97,9,IF(Consultas!Q64&gt;75,0,-7))</f>
        <v>9</v>
      </c>
      <c r="V64" s="82">
        <f>IF(Consultas!W64='Parâmetros'!$E$1,1,-5)</f>
        <v>1</v>
      </c>
      <c r="W64" s="82">
        <f>IF(Consultas!X64="S",3,-3)</f>
        <v>3</v>
      </c>
      <c r="X64" s="82">
        <f>IF(Consultas!Y64="S",0,-7)</f>
        <v>0</v>
      </c>
      <c r="Y64" s="82">
        <f>IF(Consultas!Z64='Parâmetros'!$E$1,2,-8)</f>
        <v>2</v>
      </c>
      <c r="Z64" s="82">
        <f>IF(Consultas!AA64='Parâmetros'!$E$1,-15,1)</f>
        <v>1</v>
      </c>
      <c r="AA64" s="147" t="s">
        <v>140</v>
      </c>
      <c r="AB64" s="82">
        <f>IF(E64="NA","NA",IF(E64&gt;'Parâmetros'!$A$9,8,IF(E64&gt;'Parâmetros'!$A$8,4,IF(E64&gt;'Parâmetros'!$A$7,0,-6))))</f>
        <v>8</v>
      </c>
      <c r="AC64" s="82">
        <f>IF(Consultas!AC64='Parâmetros'!$E$1,0,5)</f>
        <v>5</v>
      </c>
      <c r="AD64" s="82">
        <f>IF(Consultas!AH64='Parâmetros'!$D$1,-10,5)</f>
        <v>-10</v>
      </c>
      <c r="AE64" s="82">
        <f>IF(Consultas!AI64&gt;(Consultas!F64*2),-10,0)</f>
        <v>-10</v>
      </c>
      <c r="AF64" s="82">
        <f>IF(Consultas!AD64&gt;1,(IF(Consultas!AI64&gt;(Consultas!AD64),-20,4)))</f>
        <v>4</v>
      </c>
      <c r="AG64" s="82">
        <f>IF(Consultas!AG64='Parâmetros'!$E$1,0,-6)</f>
        <v>0</v>
      </c>
      <c r="AH64" s="82">
        <f>IF(Consultas!AF64='Parâmetros'!$E$1,1,-5)</f>
        <v>-5</v>
      </c>
      <c r="AI64" s="82">
        <f>IF(Consultas!AJ64&gt;700,8,IF(Consultas!AJ64&gt;500,4,IF(Consultas!AJ64&gt;200,-4,IF(Consultas!AJ64&gt;1,-15,-20))))</f>
        <v>8</v>
      </c>
      <c r="AJ64" s="82">
        <f>IF(Consultas!AD64='Parâmetros'!$E$10,0,IF(Consultas!AD64&gt;'Parâmetros'!$A$30,12,IF(Consultas!AD64&gt;'Parâmetros'!$A$31,6,IF(Consultas!AD64&gt;'Parâmetros'!$A$32,0,IF(Consultas!AD64&gt;'Parâmetros'!$A$33,0,IF(Consultas!AD64&gt;'Parâmetros'!$A$34,-3,IF(Consultas!AD64&gt;'Parâmetros'!$A$35,-7,-1)))))))</f>
        <v>12</v>
      </c>
      <c r="AK64" s="82">
        <f>IF(Consultas!AO64='Parâmetros'!$D$1,3,-3)</f>
        <v>-3</v>
      </c>
      <c r="AL64" s="82">
        <f>IF(Consultas!AP64='Parâmetros'!$D$1,5,-3)</f>
        <v>-3</v>
      </c>
      <c r="AM64" s="82">
        <f>IF(Consultas!AL64="N",-6,0)</f>
        <v>0</v>
      </c>
      <c r="AN64" s="82">
        <f>IF(Consultas!AM64="N",-10,0)</f>
        <v>0</v>
      </c>
      <c r="AO64" s="82">
        <f>IF(Consultas!AN64="S",4,-2)</f>
        <v>-2</v>
      </c>
      <c r="AP64" s="39"/>
      <c r="AQ64" s="165">
        <f>IF(Consultas!F64&gt;1,(SUM(F64:AO64)),"N/A")</f>
        <v>24</v>
      </c>
      <c r="AR64" s="78" t="str">
        <f>IF((Consultas!AD64&gt;'Parâmetros'!$A$31),"X",AJ64+Y64+V64+AC64)</f>
        <v>X</v>
      </c>
      <c r="AS64" s="78" t="str">
        <f>IF((Consultas!AD64&gt;'Parâmetros'!$A$31),"X",(H64+I64+J64+Q64+T64+Y64+Z64+AJ64+AN64))</f>
        <v>X</v>
      </c>
      <c r="AT64" s="78">
        <f>IF((Consultas!AD64&lt;'Parâmetros'!$A$31),"X",(AD64+AC64+AB64))</f>
        <v>3</v>
      </c>
      <c r="AU64" s="78">
        <f t="shared" si="1"/>
        <v>3</v>
      </c>
      <c r="AV64" s="82" t="str">
        <f>IF(AQ64="N/A","N/A",IF(AQ64&gt;5,'Parâmetros'!$A$15,(IF(AU64=AR64,'Parâmetros'!$A$17,IF(AU64=AS64,'Parâmetros'!$A$16,'Parâmetros'!$A$14)))))</f>
        <v>SEM-RISCO</v>
      </c>
      <c r="AW64" s="86" t="str">
        <f>IF(AQ64="N/A","N/A",IF(AV64='Parâmetros'!$A$15,'Parâmetros'!$C$15,(IF(AV64='Parâmetros'!$A$17,'Parâmetros'!$C$17,IF(AV64='Parâmetros'!$A$16,'Parâmetros'!$C$16,IF(AV64='Parâmetros'!$A$14,'Parâmetros'!$C$12))))))</f>
        <v>LIBERADO</v>
      </c>
      <c r="AX64" s="82" t="str">
        <f>IF(Consultas!F64&gt;1,(IF(Consultas!F64&gt;5000,"SOLICITAR PED COMPRA","N/A")))</f>
        <v>SOLICITAR PED COMPRA</v>
      </c>
      <c r="AY64" s="167" t="str">
        <f>IF(AND(Consultas!M64&lt;&gt;"S", Consultas!H64="S"), "CHECAGEM REVERSA", "N/A")</f>
        <v>N/A</v>
      </c>
      <c r="AZ64" s="167" t="str">
        <f>IF(Consultas!U64="N","PRECISA CORRIGIR END DIVERGENTE","N/A")</f>
        <v>N/A</v>
      </c>
    </row>
    <row r="65" ht="12.0" customHeight="1">
      <c r="A65" s="39" t="s">
        <v>90</v>
      </c>
      <c r="B65" s="82">
        <f>Consultas!B65</f>
        <v>1873</v>
      </c>
      <c r="C65" s="82" t="str">
        <f>Consultas!D65</f>
        <v>GsiBW</v>
      </c>
      <c r="D65" s="96" t="str">
        <f>Consultas!E65</f>
        <v>011678</v>
      </c>
      <c r="E65" s="104">
        <f>IF(Consultas!AB65&gt;0,YEAR('Parâmetros'!$B$1)-YEAR(Consultas!AB65),"NA")</f>
        <v>59</v>
      </c>
      <c r="F65" s="82">
        <f>IF(Consultas!F65&gt;'Parâmetros'!$B$2,-8,0)</f>
        <v>0</v>
      </c>
      <c r="G65" s="82">
        <f>IF(Consultas!H65='Parâmetros'!$E$1,100,0)</f>
        <v>0</v>
      </c>
      <c r="H65" s="82">
        <f>IF(Consultas!I65='Parâmetros'!$E$1,-4,12)</f>
        <v>-4</v>
      </c>
      <c r="I65" s="82">
        <f>IF(Consultas!J65='Parâmetros'!$E$1,1,-13)</f>
        <v>1</v>
      </c>
      <c r="J65" s="82">
        <f>IF(Consultas!K65='Parâmetros'!$E$1,2,-5)</f>
        <v>2</v>
      </c>
      <c r="K65" s="82" t="str">
        <f>IF(Consultas!L65='Parâmetros'!$D$1,"SOLIC CONTRATO DE ENTREGA","N/A")</f>
        <v>N/A</v>
      </c>
      <c r="L65" s="82">
        <f>IF(Consultas!R65='Parâmetros'!$E$1,1,-3)</f>
        <v>1</v>
      </c>
      <c r="M65" s="82">
        <f>IF(Consultas!S65&gt;1,(IF(Consultas!S65='Parâmetros'!$E$1,-3,9)))</f>
        <v>9</v>
      </c>
      <c r="N65" s="82">
        <f>IF(Consultas!T65="S",23,0)</f>
        <v>23</v>
      </c>
      <c r="O65" s="82">
        <f>IF(Consultas!U65='Parâmetros'!$E$1,-3,3)</f>
        <v>3</v>
      </c>
      <c r="P65" s="82">
        <f>IF(Consultas!V65='Parâmetros'!$E$1,-100,2)</f>
        <v>2</v>
      </c>
      <c r="Q65" s="82">
        <f>IF(Consultas!M65='Parâmetros'!$D$1,2,-9)</f>
        <v>-9</v>
      </c>
      <c r="R65" s="82">
        <f>IF(Consultas!N65="RJ",-12,0)</f>
        <v>0</v>
      </c>
      <c r="S65" s="82">
        <f>IF(Consultas!O65="-",-3,IF(Consultas!O65=0,-6,IF(Consultas!O65=5,0,IF(Consultas!O65=10,6))))</f>
        <v>-6</v>
      </c>
      <c r="T65" s="82">
        <f>IF(Consultas!M65="S",0,(IF(Consultas!P65="S",6,0)))</f>
        <v>0</v>
      </c>
      <c r="U65" s="82">
        <f>IF(Consultas!Q65&gt;97,9,IF(Consultas!Q65&gt;75,0,-7))</f>
        <v>9</v>
      </c>
      <c r="V65" s="82">
        <f>IF(Consultas!W65='Parâmetros'!$E$1,1,-5)</f>
        <v>1</v>
      </c>
      <c r="W65" s="82">
        <f>IF(Consultas!X65="S",3,-3)</f>
        <v>3</v>
      </c>
      <c r="X65" s="82">
        <f>IF(Consultas!Y65="S",0,-7)</f>
        <v>0</v>
      </c>
      <c r="Y65" s="82">
        <f>IF(Consultas!Z65='Parâmetros'!$E$1,2,-8)</f>
        <v>2</v>
      </c>
      <c r="Z65" s="82">
        <f>IF(Consultas!AA65='Parâmetros'!$E$1,-15,1)</f>
        <v>1</v>
      </c>
      <c r="AA65" s="147" t="s">
        <v>140</v>
      </c>
      <c r="AB65" s="82">
        <f>IF(E65="NA","NA",IF(E65&gt;'Parâmetros'!$A$9,8,IF(E65&gt;'Parâmetros'!$A$8,4,IF(E65&gt;'Parâmetros'!$A$7,0,-6))))</f>
        <v>8</v>
      </c>
      <c r="AC65" s="82">
        <f>IF(Consultas!AC65='Parâmetros'!$E$1,0,5)</f>
        <v>0</v>
      </c>
      <c r="AD65" s="82">
        <f>IF(Consultas!AH65='Parâmetros'!$D$1,-10,5)</f>
        <v>5</v>
      </c>
      <c r="AE65" s="82">
        <f>IF(Consultas!AI65&gt;(Consultas!F65*2),-10,0)</f>
        <v>-10</v>
      </c>
      <c r="AF65" s="82" t="b">
        <f>IF(Consultas!AD65&gt;1,(IF(Consultas!AI65&gt;(Consultas!AD65),-20,4)))</f>
        <v>0</v>
      </c>
      <c r="AG65" s="82">
        <f>IF(Consultas!AG65='Parâmetros'!$E$1,0,-6)</f>
        <v>0</v>
      </c>
      <c r="AH65" s="82">
        <f>IF(Consultas!AF65='Parâmetros'!$E$1,1,-5)</f>
        <v>-5</v>
      </c>
      <c r="AI65" s="82">
        <f>IF(Consultas!AJ65&gt;700,8,IF(Consultas!AJ65&gt;500,4,IF(Consultas!AJ65&gt;200,-4,IF(Consultas!AJ65&gt;1,-15,-20))))</f>
        <v>4</v>
      </c>
      <c r="AJ65" s="82">
        <f>IF(Consultas!AD65='Parâmetros'!$E$10,0,IF(Consultas!AD65&gt;'Parâmetros'!$A$30,12,IF(Consultas!AD65&gt;'Parâmetros'!$A$31,6,IF(Consultas!AD65&gt;'Parâmetros'!$A$32,0,IF(Consultas!AD65&gt;'Parâmetros'!$A$33,0,IF(Consultas!AD65&gt;'Parâmetros'!$A$34,-3,IF(Consultas!AD65&gt;'Parâmetros'!$A$35,-7,-1)))))))</f>
        <v>-1</v>
      </c>
      <c r="AK65" s="82">
        <f>IF(Consultas!AO65='Parâmetros'!$D$1,3,-3)</f>
        <v>-3</v>
      </c>
      <c r="AL65" s="82">
        <f>IF(Consultas!AP65='Parâmetros'!$D$1,5,-3)</f>
        <v>-3</v>
      </c>
      <c r="AM65" s="82">
        <f>IF(Consultas!AL65="N",-6,0)</f>
        <v>0</v>
      </c>
      <c r="AN65" s="82">
        <f>IF(Consultas!AM65="N",-10,0)</f>
        <v>0</v>
      </c>
      <c r="AO65" s="82">
        <f>IF(Consultas!AN65="S",4,-2)</f>
        <v>-2</v>
      </c>
      <c r="AP65" s="39"/>
      <c r="AQ65" s="165">
        <f>IF(Consultas!F65&gt;1,(SUM(F65:AO65)),"N/A")</f>
        <v>31</v>
      </c>
      <c r="AR65" s="78">
        <f>IF((Consultas!AD65&gt;'Parâmetros'!$A$31),"X",AJ65+Y65+V65+AC65)</f>
        <v>2</v>
      </c>
      <c r="AS65" s="78">
        <f>IF((Consultas!AD65&gt;'Parâmetros'!$A$31),"X",(H65+I65+J65+Q65+T65+Y65+Z65+AJ65+AN65))</f>
        <v>-8</v>
      </c>
      <c r="AT65" s="78" t="str">
        <f>IF((Consultas!AD65&lt;'Parâmetros'!$A$31),"X",(AD65+AC65+AB65))</f>
        <v>X</v>
      </c>
      <c r="AU65" s="78">
        <f t="shared" si="1"/>
        <v>-8</v>
      </c>
      <c r="AV65" s="82" t="str">
        <f>IF(AQ65="N/A","N/A",IF(AQ65&gt;5,'Parâmetros'!$A$15,(IF(AU65=AR65,'Parâmetros'!$A$17,IF(AU65=AS65,'Parâmetros'!$A$16,'Parâmetros'!$A$14)))))</f>
        <v>SEM-RISCO</v>
      </c>
      <c r="AW65" s="86" t="str">
        <f>IF(AQ65="N/A","N/A",IF(AV65='Parâmetros'!$A$15,'Parâmetros'!$C$15,(IF(AV65='Parâmetros'!$A$17,'Parâmetros'!$C$17,IF(AV65='Parâmetros'!$A$16,'Parâmetros'!$C$16,IF(AV65='Parâmetros'!$A$14,'Parâmetros'!$C$12))))))</f>
        <v>LIBERADO</v>
      </c>
      <c r="AX65" s="82" t="str">
        <f>IF(Consultas!F65&gt;1,(IF(Consultas!F65&gt;5000,"SOLICITAR PED COMPRA","N/A")))</f>
        <v>N/A</v>
      </c>
      <c r="AY65" s="167" t="str">
        <f>IF(AND(Consultas!M65&lt;&gt;"S", Consultas!H65="S"), "CHECAGEM REVERSA", "N/A")</f>
        <v>CHECAGEM REVERSA</v>
      </c>
      <c r="AZ65" s="167" t="str">
        <f>IF(Consultas!U65="N","PRECISA CORRIGIR END DIVERGENTE","N/A")</f>
        <v>N/A</v>
      </c>
    </row>
    <row r="66" ht="12.0" customHeight="1">
      <c r="A66" s="39" t="s">
        <v>90</v>
      </c>
      <c r="B66" s="82">
        <f>Consultas!B66</f>
        <v>233</v>
      </c>
      <c r="C66" s="82" t="str">
        <f>Consultas!D66</f>
        <v>Metalpleno</v>
      </c>
      <c r="D66" s="96" t="str">
        <f>Consultas!E66</f>
        <v>144585</v>
      </c>
      <c r="E66" s="104">
        <f>IF(Consultas!AB66&gt;0,YEAR('Parâmetros'!$B$1)-YEAR(Consultas!AB66),"NA")</f>
        <v>11</v>
      </c>
      <c r="F66" s="82">
        <f>IF(Consultas!F66&gt;'Parâmetros'!$B$2,-8,0)</f>
        <v>0</v>
      </c>
      <c r="G66" s="82">
        <f>IF(Consultas!H66='Parâmetros'!$E$1,100,0)</f>
        <v>0</v>
      </c>
      <c r="H66" s="82">
        <f>IF(Consultas!I66='Parâmetros'!$E$1,-4,12)</f>
        <v>12</v>
      </c>
      <c r="I66" s="82">
        <f>IF(Consultas!J66='Parâmetros'!$E$1,1,-13)</f>
        <v>1</v>
      </c>
      <c r="J66" s="82">
        <f>IF(Consultas!K66='Parâmetros'!$E$1,2,-5)</f>
        <v>2</v>
      </c>
      <c r="K66" s="82" t="str">
        <f>IF(Consultas!L66='Parâmetros'!$D$1,"SOLIC CONTRATO DE ENTREGA","N/A")</f>
        <v>SOLIC CONTRATO DE ENTREGA</v>
      </c>
      <c r="L66" s="82">
        <f>IF(Consultas!R66='Parâmetros'!$E$1,1,-3)</f>
        <v>1</v>
      </c>
      <c r="M66" s="82">
        <f>IF(Consultas!S66&gt;1,(IF(Consultas!S66='Parâmetros'!$E$1,-3,9)))</f>
        <v>-3</v>
      </c>
      <c r="N66" s="82">
        <f>IF(Consultas!T66="S",23,0)</f>
        <v>0</v>
      </c>
      <c r="O66" s="82">
        <f>IF(Consultas!U66='Parâmetros'!$E$1,-3,3)</f>
        <v>3</v>
      </c>
      <c r="P66" s="82">
        <f>IF(Consultas!V66='Parâmetros'!$E$1,-100,2)</f>
        <v>2</v>
      </c>
      <c r="Q66" s="82">
        <f>IF(Consultas!M66='Parâmetros'!$D$1,2,-9)</f>
        <v>2</v>
      </c>
      <c r="R66" s="82">
        <f>IF(Consultas!N66="RJ",-12,0)</f>
        <v>0</v>
      </c>
      <c r="S66" s="82">
        <f>IF(Consultas!O66="-",-3,IF(Consultas!O66=0,-6,IF(Consultas!O66=5,0,IF(Consultas!O66=10,6))))</f>
        <v>-3</v>
      </c>
      <c r="T66" s="82">
        <f>IF(Consultas!M66="S",0,(IF(Consultas!P66="S",6,0)))</f>
        <v>0</v>
      </c>
      <c r="U66" s="82">
        <f>IF(Consultas!Q66&gt;97,9,IF(Consultas!Q66&gt;75,0,-7))</f>
        <v>9</v>
      </c>
      <c r="V66" s="82">
        <f>IF(Consultas!W66='Parâmetros'!$E$1,1,-5)</f>
        <v>1</v>
      </c>
      <c r="W66" s="82">
        <f>IF(Consultas!X66="S",3,-3)</f>
        <v>3</v>
      </c>
      <c r="X66" s="82">
        <f>IF(Consultas!Y66="S",0,-7)</f>
        <v>0</v>
      </c>
      <c r="Y66" s="82">
        <f>IF(Consultas!Z66='Parâmetros'!$E$1,2,-8)</f>
        <v>2</v>
      </c>
      <c r="Z66" s="82">
        <f>IF(Consultas!AA66='Parâmetros'!$E$1,-15,1)</f>
        <v>1</v>
      </c>
      <c r="AA66" s="147" t="s">
        <v>140</v>
      </c>
      <c r="AB66" s="82">
        <f>IF(E66="NA","NA",IF(E66&gt;'Parâmetros'!$A$9,8,IF(E66&gt;'Parâmetros'!$A$8,4,IF(E66&gt;'Parâmetros'!$A$7,0,-6))))</f>
        <v>0</v>
      </c>
      <c r="AC66" s="82">
        <f>IF(Consultas!AC66='Parâmetros'!$E$1,0,5)</f>
        <v>0</v>
      </c>
      <c r="AD66" s="82">
        <f>IF(Consultas!AH66='Parâmetros'!$D$1,-10,5)</f>
        <v>5</v>
      </c>
      <c r="AE66" s="82">
        <f>IF(Consultas!AI66&gt;(Consultas!F66*2),-10,0)</f>
        <v>0</v>
      </c>
      <c r="AF66" s="82">
        <f>IF(Consultas!AD66&gt;1,(IF(Consultas!AI66&gt;(Consultas!AD66),-20,4)))</f>
        <v>4</v>
      </c>
      <c r="AG66" s="82">
        <f>IF(Consultas!AG66='Parâmetros'!$E$1,0,-6)</f>
        <v>0</v>
      </c>
      <c r="AH66" s="82">
        <f>IF(Consultas!AF66='Parâmetros'!$E$1,1,-5)</f>
        <v>1</v>
      </c>
      <c r="AI66" s="82">
        <f>IF(Consultas!AJ66&gt;700,8,IF(Consultas!AJ66&gt;500,4,IF(Consultas!AJ66&gt;200,-4,IF(Consultas!AJ66&gt;1,-15,-20))))</f>
        <v>4</v>
      </c>
      <c r="AJ66" s="82">
        <f>IF(Consultas!AD66='Parâmetros'!$E$10,0,IF(Consultas!AD66&gt;'Parâmetros'!$A$30,12,IF(Consultas!AD66&gt;'Parâmetros'!$A$31,6,IF(Consultas!AD66&gt;'Parâmetros'!$A$32,0,IF(Consultas!AD66&gt;'Parâmetros'!$A$33,0,IF(Consultas!AD66&gt;'Parâmetros'!$A$34,-3,IF(Consultas!AD66&gt;'Parâmetros'!$A$35,-7,-1)))))))</f>
        <v>12</v>
      </c>
      <c r="AK66" s="82">
        <f>IF(Consultas!AO66='Parâmetros'!$D$1,3,-3)</f>
        <v>-3</v>
      </c>
      <c r="AL66" s="82">
        <f>IF(Consultas!AP66='Parâmetros'!$D$1,5,-3)</f>
        <v>-3</v>
      </c>
      <c r="AM66" s="82">
        <f>IF(Consultas!AL66="N",-6,0)</f>
        <v>0</v>
      </c>
      <c r="AN66" s="82">
        <f>IF(Consultas!AM66="N",-10,0)</f>
        <v>0</v>
      </c>
      <c r="AO66" s="82">
        <f>IF(Consultas!AN66="S",4,-2)</f>
        <v>-2</v>
      </c>
      <c r="AP66" s="39"/>
      <c r="AQ66" s="165">
        <f>IF(Consultas!F66&gt;1,(SUM(F66:AO66)),"N/A")</f>
        <v>51</v>
      </c>
      <c r="AR66" s="78" t="str">
        <f>IF((Consultas!AD66&gt;'Parâmetros'!$A$31),"X",AJ66+Y66+V66+AC66)</f>
        <v>X</v>
      </c>
      <c r="AS66" s="78" t="str">
        <f>IF((Consultas!AD66&gt;'Parâmetros'!$A$31),"X",(H66+I66+J66+Q66+T66+Y66+Z66+AJ66+AN66))</f>
        <v>X</v>
      </c>
      <c r="AT66" s="78">
        <f>IF((Consultas!AD66&lt;'Parâmetros'!$A$31),"X",(AD66+AC66+AB66))</f>
        <v>5</v>
      </c>
      <c r="AU66" s="78">
        <f t="shared" si="1"/>
        <v>5</v>
      </c>
      <c r="AV66" s="82" t="str">
        <f>IF(AQ66="N/A","N/A",IF(AQ66&gt;5,'Parâmetros'!$A$15,(IF(AU66=AR66,'Parâmetros'!$A$17,IF(AU66=AS66,'Parâmetros'!$A$16,'Parâmetros'!$A$14)))))</f>
        <v>SEM-RISCO</v>
      </c>
      <c r="AW66" s="86" t="str">
        <f>IF(AQ66="N/A","N/A",IF(AV66='Parâmetros'!$A$15,'Parâmetros'!$C$15,(IF(AV66='Parâmetros'!$A$17,'Parâmetros'!$C$17,IF(AV66='Parâmetros'!$A$16,'Parâmetros'!$C$16,IF(AV66='Parâmetros'!$A$14,'Parâmetros'!$C$12))))))</f>
        <v>LIBERADO</v>
      </c>
      <c r="AX66" s="82" t="str">
        <f>IF(Consultas!F66&gt;1,(IF(Consultas!F66&gt;5000,"SOLICITAR PED COMPRA","N/A")))</f>
        <v>SOLICITAR PED COMPRA</v>
      </c>
      <c r="AY66" s="167" t="str">
        <f>IF(AND(Consultas!M66&lt;&gt;"S", Consultas!H66="S"), "CHECAGEM REVERSA", "N/A")</f>
        <v>N/A</v>
      </c>
      <c r="AZ66" s="167" t="str">
        <f>IF(Consultas!U66="N","PRECISA CORRIGIR END DIVERGENTE","N/A")</f>
        <v>N/A</v>
      </c>
    </row>
    <row r="67" ht="12.0" customHeight="1">
      <c r="A67" s="39" t="s">
        <v>90</v>
      </c>
      <c r="B67" s="82">
        <f>Consultas!B67</f>
        <v>234</v>
      </c>
      <c r="C67" s="82" t="str">
        <f>Consultas!D67</f>
        <v>Metalpleno</v>
      </c>
      <c r="D67" s="96" t="str">
        <f>Consultas!E67</f>
        <v>144586</v>
      </c>
      <c r="E67" s="104">
        <f>IF(Consultas!AB67&gt;0,YEAR('Parâmetros'!$B$1)-YEAR(Consultas!AB67),"NA")</f>
        <v>39</v>
      </c>
      <c r="F67" s="82">
        <f>IF(Consultas!F67&gt;'Parâmetros'!$B$2,-8,0)</f>
        <v>-8</v>
      </c>
      <c r="G67" s="82">
        <f>IF(Consultas!H67='Parâmetros'!$E$1,100,0)</f>
        <v>0</v>
      </c>
      <c r="H67" s="82">
        <f>IF(Consultas!I67='Parâmetros'!$E$1,-4,12)</f>
        <v>-4</v>
      </c>
      <c r="I67" s="82">
        <f>IF(Consultas!J67='Parâmetros'!$E$1,1,-13)</f>
        <v>1</v>
      </c>
      <c r="J67" s="82">
        <f>IF(Consultas!K67='Parâmetros'!$E$1,2,-5)</f>
        <v>2</v>
      </c>
      <c r="K67" s="82" t="str">
        <f>IF(Consultas!L67='Parâmetros'!$D$1,"SOLIC CONTRATO DE ENTREGA","N/A")</f>
        <v>SOLIC CONTRATO DE ENTREGA</v>
      </c>
      <c r="L67" s="82">
        <f>IF(Consultas!R67='Parâmetros'!$E$1,1,-3)</f>
        <v>1</v>
      </c>
      <c r="M67" s="82">
        <f>IF(Consultas!S67&gt;1,(IF(Consultas!S67='Parâmetros'!$E$1,-3,9)))</f>
        <v>9</v>
      </c>
      <c r="N67" s="82">
        <f>IF(Consultas!T67="S",23,0)</f>
        <v>0</v>
      </c>
      <c r="O67" s="82">
        <f>IF(Consultas!U67='Parâmetros'!$E$1,-3,3)</f>
        <v>3</v>
      </c>
      <c r="P67" s="82">
        <f>IF(Consultas!V67='Parâmetros'!$E$1,-100,2)</f>
        <v>2</v>
      </c>
      <c r="Q67" s="82">
        <f>IF(Consultas!M67='Parâmetros'!$D$1,2,-9)</f>
        <v>2</v>
      </c>
      <c r="R67" s="82">
        <f>IF(Consultas!N67="RJ",-12,0)</f>
        <v>0</v>
      </c>
      <c r="S67" s="82">
        <f>IF(Consultas!O67="-",-3,IF(Consultas!O67=0,-6,IF(Consultas!O67=5,0,IF(Consultas!O67=10,6))))</f>
        <v>-3</v>
      </c>
      <c r="T67" s="82">
        <f>IF(Consultas!M67="S",0,(IF(Consultas!P67="S",6,0)))</f>
        <v>0</v>
      </c>
      <c r="U67" s="82">
        <f>IF(Consultas!Q67&gt;97,9,IF(Consultas!Q67&gt;75,0,-7))</f>
        <v>9</v>
      </c>
      <c r="V67" s="82">
        <f>IF(Consultas!W67='Parâmetros'!$E$1,1,-5)</f>
        <v>1</v>
      </c>
      <c r="W67" s="82">
        <f>IF(Consultas!X67="S",3,-3)</f>
        <v>3</v>
      </c>
      <c r="X67" s="82">
        <f>IF(Consultas!Y67="S",0,-7)</f>
        <v>0</v>
      </c>
      <c r="Y67" s="82">
        <f>IF(Consultas!Z67='Parâmetros'!$E$1,2,-8)</f>
        <v>2</v>
      </c>
      <c r="Z67" s="82">
        <f>IF(Consultas!AA67='Parâmetros'!$E$1,-15,1)</f>
        <v>1</v>
      </c>
      <c r="AA67" s="147" t="s">
        <v>140</v>
      </c>
      <c r="AB67" s="82">
        <f>IF(E67="NA","NA",IF(E67&gt;'Parâmetros'!$A$9,8,IF(E67&gt;'Parâmetros'!$A$8,4,IF(E67&gt;'Parâmetros'!$A$7,0,-6))))</f>
        <v>8</v>
      </c>
      <c r="AC67" s="82">
        <f>IF(Consultas!AC67='Parâmetros'!$E$1,0,5)</f>
        <v>5</v>
      </c>
      <c r="AD67" s="82">
        <f>IF(Consultas!AH67='Parâmetros'!$D$1,-10,5)</f>
        <v>-10</v>
      </c>
      <c r="AE67" s="82">
        <f>IF(Consultas!AI67&gt;(Consultas!F67*2),-10,0)</f>
        <v>-10</v>
      </c>
      <c r="AF67" s="82">
        <f>IF(Consultas!AD67&gt;1,(IF(Consultas!AI67&gt;(Consultas!AD67),-20,4)))</f>
        <v>4</v>
      </c>
      <c r="AG67" s="82">
        <f>IF(Consultas!AG67='Parâmetros'!$E$1,0,-6)</f>
        <v>0</v>
      </c>
      <c r="AH67" s="82">
        <f>IF(Consultas!AF67='Parâmetros'!$E$1,1,-5)</f>
        <v>-5</v>
      </c>
      <c r="AI67" s="82">
        <f>IF(Consultas!AJ67&gt;700,8,IF(Consultas!AJ67&gt;500,4,IF(Consultas!AJ67&gt;200,-4,IF(Consultas!AJ67&gt;1,-15,-20))))</f>
        <v>8</v>
      </c>
      <c r="AJ67" s="82">
        <f>IF(Consultas!AD67='Parâmetros'!$E$10,0,IF(Consultas!AD67&gt;'Parâmetros'!$A$30,12,IF(Consultas!AD67&gt;'Parâmetros'!$A$31,6,IF(Consultas!AD67&gt;'Parâmetros'!$A$32,0,IF(Consultas!AD67&gt;'Parâmetros'!$A$33,0,IF(Consultas!AD67&gt;'Parâmetros'!$A$34,-3,IF(Consultas!AD67&gt;'Parâmetros'!$A$35,-7,-1)))))))</f>
        <v>12</v>
      </c>
      <c r="AK67" s="82">
        <f>IF(Consultas!AO67='Parâmetros'!$D$1,3,-3)</f>
        <v>-3</v>
      </c>
      <c r="AL67" s="82">
        <f>IF(Consultas!AP67='Parâmetros'!$D$1,5,-3)</f>
        <v>-3</v>
      </c>
      <c r="AM67" s="82">
        <f>IF(Consultas!AL67="N",-6,0)</f>
        <v>0</v>
      </c>
      <c r="AN67" s="82">
        <f>IF(Consultas!AM67="N",-10,0)</f>
        <v>0</v>
      </c>
      <c r="AO67" s="82">
        <f>IF(Consultas!AN67="S",4,-2)</f>
        <v>-2</v>
      </c>
      <c r="AP67" s="39"/>
      <c r="AQ67" s="165">
        <f>IF(Consultas!F67&gt;1,(SUM(F67:AO67)),"N/A")</f>
        <v>25</v>
      </c>
      <c r="AR67" s="78" t="str">
        <f>IF((Consultas!AD67&gt;'Parâmetros'!$A$31),"X",AJ67+Y67+V67+AC67)</f>
        <v>X</v>
      </c>
      <c r="AS67" s="78" t="str">
        <f>IF((Consultas!AD67&gt;'Parâmetros'!$A$31),"X",(H67+I67+J67+Q67+T67+Y67+Z67+AJ67+AN67))</f>
        <v>X</v>
      </c>
      <c r="AT67" s="78">
        <f>IF((Consultas!AD67&lt;'Parâmetros'!$A$31),"X",(AD67+AC67+AB67))</f>
        <v>3</v>
      </c>
      <c r="AU67" s="78">
        <f t="shared" si="1"/>
        <v>3</v>
      </c>
      <c r="AV67" s="82" t="str">
        <f>IF(AQ67="N/A","N/A",IF(AQ67&gt;5,'Parâmetros'!$A$15,(IF(AU67=AR67,'Parâmetros'!$A$17,IF(AU67=AS67,'Parâmetros'!$A$16,'Parâmetros'!$A$14)))))</f>
        <v>SEM-RISCO</v>
      </c>
      <c r="AW67" s="86" t="str">
        <f>IF(AQ67="N/A","N/A",IF(AV67='Parâmetros'!$A$15,'Parâmetros'!$C$15,(IF(AV67='Parâmetros'!$A$17,'Parâmetros'!$C$17,IF(AV67='Parâmetros'!$A$16,'Parâmetros'!$C$16,IF(AV67='Parâmetros'!$A$14,'Parâmetros'!$C$12))))))</f>
        <v>LIBERADO</v>
      </c>
      <c r="AX67" s="82" t="str">
        <f>IF(Consultas!F67&gt;1,(IF(Consultas!F67&gt;5000,"SOLICITAR PED COMPRA","N/A")))</f>
        <v>SOLICITAR PED COMPRA</v>
      </c>
      <c r="AY67" s="167" t="str">
        <f>IF(AND(Consultas!M67&lt;&gt;"S", Consultas!H67="S"), "CHECAGEM REVERSA", "N/A")</f>
        <v>N/A</v>
      </c>
      <c r="AZ67" s="167" t="str">
        <f>IF(Consultas!U67="N","PRECISA CORRIGIR END DIVERGENTE","N/A")</f>
        <v>N/A</v>
      </c>
    </row>
    <row r="68" ht="12.0" customHeight="1">
      <c r="A68" s="39" t="s">
        <v>90</v>
      </c>
      <c r="B68" s="82" t="str">
        <f>Consultas!B68</f>
        <v>-</v>
      </c>
      <c r="C68" s="82" t="str">
        <f>Consultas!D68</f>
        <v>Metalpleno</v>
      </c>
      <c r="D68" s="96" t="str">
        <f>Consultas!E68</f>
        <v>-</v>
      </c>
      <c r="E68" s="104">
        <f>IF(Consultas!AB68&gt;0,YEAR('Parâmetros'!$B$1)-YEAR(Consultas!AB68),"NA")</f>
        <v>10</v>
      </c>
      <c r="F68" s="82">
        <f>IF(Consultas!F68&gt;'Parâmetros'!$B$2,-8,0)</f>
        <v>0</v>
      </c>
      <c r="G68" s="82">
        <f>IF(Consultas!H68='Parâmetros'!$E$1,100,0)</f>
        <v>0</v>
      </c>
      <c r="H68" s="82">
        <f>IF(Consultas!I68='Parâmetros'!$E$1,-4,12)</f>
        <v>-4</v>
      </c>
      <c r="I68" s="82">
        <f>IF(Consultas!J68='Parâmetros'!$E$1,1,-13)</f>
        <v>1</v>
      </c>
      <c r="J68" s="82">
        <f>IF(Consultas!K68='Parâmetros'!$E$1,2,-5)</f>
        <v>2</v>
      </c>
      <c r="K68" s="82" t="str">
        <f>IF(Consultas!L68='Parâmetros'!$D$1,"SOLIC CONTRATO DE ENTREGA","N/A")</f>
        <v>SOLIC CONTRATO DE ENTREGA</v>
      </c>
      <c r="L68" s="82">
        <f>IF(Consultas!R68='Parâmetros'!$E$1,1,-3)</f>
        <v>1</v>
      </c>
      <c r="M68" s="82">
        <f>IF(Consultas!S68&gt;1,(IF(Consultas!S68='Parâmetros'!$E$1,-3,9)))</f>
        <v>-3</v>
      </c>
      <c r="N68" s="82">
        <f>IF(Consultas!T68="S",23,0)</f>
        <v>0</v>
      </c>
      <c r="O68" s="82">
        <f>IF(Consultas!U68='Parâmetros'!$E$1,-3,3)</f>
        <v>3</v>
      </c>
      <c r="P68" s="82">
        <f>IF(Consultas!V68='Parâmetros'!$E$1,-100,2)</f>
        <v>2</v>
      </c>
      <c r="Q68" s="82">
        <f>IF(Consultas!M68='Parâmetros'!$D$1,2,-9)</f>
        <v>2</v>
      </c>
      <c r="R68" s="82">
        <f>IF(Consultas!N68="RJ",-12,0)</f>
        <v>0</v>
      </c>
      <c r="S68" s="82">
        <f>IF(Consultas!O68="-",-3,IF(Consultas!O68=0,-6,IF(Consultas!O68=5,0,IF(Consultas!O68=10,6))))</f>
        <v>0</v>
      </c>
      <c r="T68" s="82">
        <f>IF(Consultas!M68="S",0,(IF(Consultas!P68="S",6,0)))</f>
        <v>0</v>
      </c>
      <c r="U68" s="82">
        <f>IF(Consultas!Q68&gt;97,9,IF(Consultas!Q68&gt;75,0,-7))</f>
        <v>9</v>
      </c>
      <c r="V68" s="82">
        <f>IF(Consultas!W68='Parâmetros'!$E$1,1,-5)</f>
        <v>1</v>
      </c>
      <c r="W68" s="82">
        <f>IF(Consultas!X68="S",3,-3)</f>
        <v>3</v>
      </c>
      <c r="X68" s="82">
        <f>IF(Consultas!Y68="S",0,-7)</f>
        <v>0</v>
      </c>
      <c r="Y68" s="82">
        <f>IF(Consultas!Z68='Parâmetros'!$E$1,2,-8)</f>
        <v>2</v>
      </c>
      <c r="Z68" s="82">
        <f>IF(Consultas!AA68='Parâmetros'!$E$1,-15,1)</f>
        <v>1</v>
      </c>
      <c r="AA68" s="147" t="s">
        <v>140</v>
      </c>
      <c r="AB68" s="82">
        <f>IF(E68="NA","NA",IF(E68&gt;'Parâmetros'!$A$9,8,IF(E68&gt;'Parâmetros'!$A$8,4,IF(E68&gt;'Parâmetros'!$A$7,0,-6))))</f>
        <v>0</v>
      </c>
      <c r="AC68" s="82">
        <f>IF(Consultas!AC68='Parâmetros'!$E$1,0,5)</f>
        <v>0</v>
      </c>
      <c r="AD68" s="82">
        <f>IF(Consultas!AH68='Parâmetros'!$D$1,-10,5)</f>
        <v>-10</v>
      </c>
      <c r="AE68" s="82">
        <f>IF(Consultas!AI68&gt;(Consultas!F68*2),-10,0)</f>
        <v>0</v>
      </c>
      <c r="AF68" s="82">
        <f>IF(Consultas!AD68&gt;1,(IF(Consultas!AI68&gt;(Consultas!AD68),-20,4)))</f>
        <v>4</v>
      </c>
      <c r="AG68" s="82">
        <f>IF(Consultas!AG68='Parâmetros'!$E$1,0,-6)</f>
        <v>0</v>
      </c>
      <c r="AH68" s="82">
        <f>IF(Consultas!AF68='Parâmetros'!$E$1,1,-5)</f>
        <v>-5</v>
      </c>
      <c r="AI68" s="82">
        <f>IF(Consultas!AJ68&gt;700,8,IF(Consultas!AJ68&gt;500,4,IF(Consultas!AJ68&gt;200,-4,IF(Consultas!AJ68&gt;1,-15,-20))))</f>
        <v>8</v>
      </c>
      <c r="AJ68" s="82">
        <f>IF(Consultas!AD68='Parâmetros'!$E$10,0,IF(Consultas!AD68&gt;'Parâmetros'!$A$30,12,IF(Consultas!AD68&gt;'Parâmetros'!$A$31,6,IF(Consultas!AD68&gt;'Parâmetros'!$A$32,0,IF(Consultas!AD68&gt;'Parâmetros'!$A$33,0,IF(Consultas!AD68&gt;'Parâmetros'!$A$34,-3,IF(Consultas!AD68&gt;'Parâmetros'!$A$35,-7,-1)))))))</f>
        <v>12</v>
      </c>
      <c r="AK68" s="82">
        <f>IF(Consultas!AO68='Parâmetros'!$D$1,3,-3)</f>
        <v>-3</v>
      </c>
      <c r="AL68" s="82">
        <f>IF(Consultas!AP68='Parâmetros'!$D$1,5,-3)</f>
        <v>-3</v>
      </c>
      <c r="AM68" s="82">
        <f>IF(Consultas!AL68="N",-6,0)</f>
        <v>0</v>
      </c>
      <c r="AN68" s="82">
        <f>IF(Consultas!AM68="N",-10,0)</f>
        <v>0</v>
      </c>
      <c r="AO68" s="82">
        <f>IF(Consultas!AN68="S",4,-2)</f>
        <v>-2</v>
      </c>
      <c r="AP68" s="39"/>
      <c r="AQ68" s="165">
        <f>IF(Consultas!F68&gt;1,(SUM(F68:AO68)),"N/A")</f>
        <v>21</v>
      </c>
      <c r="AR68" s="78" t="str">
        <f>IF((Consultas!AD68&gt;'Parâmetros'!$A$31),"X",AJ68+Y68+V68+AC68)</f>
        <v>X</v>
      </c>
      <c r="AS68" s="78" t="str">
        <f>IF((Consultas!AD68&gt;'Parâmetros'!$A$31),"X",(H68+I68+J68+Q68+T68+Y68+Z68+AJ68+AN68))</f>
        <v>X</v>
      </c>
      <c r="AT68" s="78">
        <f>IF((Consultas!AD68&lt;'Parâmetros'!$A$31),"X",(AD68+AC68+AB68))</f>
        <v>-10</v>
      </c>
      <c r="AU68" s="78">
        <f t="shared" si="1"/>
        <v>-10</v>
      </c>
      <c r="AV68" s="82" t="str">
        <f>IF(AQ68="N/A","N/A",IF(AQ68&gt;5,'Parâmetros'!$A$15,(IF(AU68=AR68,'Parâmetros'!$A$17,IF(AU68=AS68,'Parâmetros'!$A$16,'Parâmetros'!$A$14)))))</f>
        <v>SEM-RISCO</v>
      </c>
      <c r="AW68" s="86" t="str">
        <f>IF(AQ68="N/A","N/A",IF(AV68='Parâmetros'!$A$15,'Parâmetros'!$C$15,(IF(AV68='Parâmetros'!$A$17,'Parâmetros'!$C$17,IF(AV68='Parâmetros'!$A$16,'Parâmetros'!$C$16,IF(AV68='Parâmetros'!$A$14,'Parâmetros'!$C$12))))))</f>
        <v>LIBERADO</v>
      </c>
      <c r="AX68" s="82" t="str">
        <f>IF(Consultas!F68&gt;1,(IF(Consultas!F68&gt;5000,"SOLICITAR PED COMPRA","N/A")))</f>
        <v>SOLICITAR PED COMPRA</v>
      </c>
      <c r="AY68" s="167" t="str">
        <f>IF(AND(Consultas!M68&lt;&gt;"S", Consultas!H68="S"), "CHECAGEM REVERSA", "N/A")</f>
        <v>N/A</v>
      </c>
      <c r="AZ68" s="167" t="str">
        <f>IF(Consultas!U68="N","PRECISA CORRIGIR END DIVERGENTE","N/A")</f>
        <v>N/A</v>
      </c>
    </row>
    <row r="69" ht="12.0" customHeight="1">
      <c r="A69" s="39" t="s">
        <v>90</v>
      </c>
      <c r="B69" s="82">
        <f>Consultas!B69</f>
        <v>237</v>
      </c>
      <c r="C69" s="82" t="str">
        <f>Consultas!D69</f>
        <v>Metalpleno</v>
      </c>
      <c r="D69" s="96" t="str">
        <f>Consultas!E69</f>
        <v>144589</v>
      </c>
      <c r="E69" s="104">
        <f>IF(Consultas!AB69&gt;0,YEAR('Parâmetros'!$B$1)-YEAR(Consultas!AB69),"NA")</f>
        <v>48</v>
      </c>
      <c r="F69" s="82">
        <f>IF(Consultas!F69&gt;'Parâmetros'!$B$2,-8,0)</f>
        <v>0</v>
      </c>
      <c r="G69" s="82">
        <f>IF(Consultas!H69='Parâmetros'!$E$1,100,0)</f>
        <v>0</v>
      </c>
      <c r="H69" s="82">
        <f>IF(Consultas!I69='Parâmetros'!$E$1,-4,12)</f>
        <v>-4</v>
      </c>
      <c r="I69" s="82">
        <f>IF(Consultas!J69='Parâmetros'!$E$1,1,-13)</f>
        <v>1</v>
      </c>
      <c r="J69" s="82">
        <f>IF(Consultas!K69='Parâmetros'!$E$1,2,-5)</f>
        <v>2</v>
      </c>
      <c r="K69" s="82" t="str">
        <f>IF(Consultas!L69='Parâmetros'!$D$1,"SOLIC CONTRATO DE ENTREGA","N/A")</f>
        <v>SOLIC CONTRATO DE ENTREGA</v>
      </c>
      <c r="L69" s="82">
        <f>IF(Consultas!R69='Parâmetros'!$E$1,1,-3)</f>
        <v>1</v>
      </c>
      <c r="M69" s="82">
        <f>IF(Consultas!S69&gt;1,(IF(Consultas!S69='Parâmetros'!$E$1,-3,9)))</f>
        <v>-3</v>
      </c>
      <c r="N69" s="82">
        <f>IF(Consultas!T69="S",23,0)</f>
        <v>0</v>
      </c>
      <c r="O69" s="82">
        <f>IF(Consultas!U69='Parâmetros'!$E$1,-3,3)</f>
        <v>3</v>
      </c>
      <c r="P69" s="82">
        <f>IF(Consultas!V69='Parâmetros'!$E$1,-100,2)</f>
        <v>2</v>
      </c>
      <c r="Q69" s="82">
        <f>IF(Consultas!M69='Parâmetros'!$D$1,2,-9)</f>
        <v>2</v>
      </c>
      <c r="R69" s="82">
        <f>IF(Consultas!N69="RJ",-12,0)</f>
        <v>0</v>
      </c>
      <c r="S69" s="82">
        <f>IF(Consultas!O69="-",-3,IF(Consultas!O69=0,-6,IF(Consultas!O69=5,0,IF(Consultas!O69=10,6))))</f>
        <v>0</v>
      </c>
      <c r="T69" s="82">
        <f>IF(Consultas!M69="S",0,(IF(Consultas!P69="S",6,0)))</f>
        <v>0</v>
      </c>
      <c r="U69" s="82">
        <f>IF(Consultas!Q69&gt;97,9,IF(Consultas!Q69&gt;75,0,-7))</f>
        <v>9</v>
      </c>
      <c r="V69" s="82">
        <f>IF(Consultas!W69='Parâmetros'!$E$1,1,-5)</f>
        <v>1</v>
      </c>
      <c r="W69" s="82">
        <f>IF(Consultas!X69="S",3,-3)</f>
        <v>3</v>
      </c>
      <c r="X69" s="82">
        <f>IF(Consultas!Y69="S",0,-7)</f>
        <v>0</v>
      </c>
      <c r="Y69" s="82">
        <f>IF(Consultas!Z69='Parâmetros'!$E$1,2,-8)</f>
        <v>2</v>
      </c>
      <c r="Z69" s="82">
        <f>IF(Consultas!AA69='Parâmetros'!$E$1,-15,1)</f>
        <v>1</v>
      </c>
      <c r="AA69" s="147" t="s">
        <v>140</v>
      </c>
      <c r="AB69" s="82">
        <f>IF(E69="NA","NA",IF(E69&gt;'Parâmetros'!$A$9,8,IF(E69&gt;'Parâmetros'!$A$8,4,IF(E69&gt;'Parâmetros'!$A$7,0,-6))))</f>
        <v>8</v>
      </c>
      <c r="AC69" s="82">
        <f>IF(Consultas!AC69='Parâmetros'!$E$1,0,5)</f>
        <v>0</v>
      </c>
      <c r="AD69" s="82">
        <f>IF(Consultas!AH69='Parâmetros'!$D$1,-10,5)</f>
        <v>-10</v>
      </c>
      <c r="AE69" s="82">
        <f>IF(Consultas!AI69&gt;(Consultas!F69*2),-10,0)</f>
        <v>-10</v>
      </c>
      <c r="AF69" s="82">
        <f>IF(Consultas!AD69&gt;1,(IF(Consultas!AI69&gt;(Consultas!AD69),-20,4)))</f>
        <v>4</v>
      </c>
      <c r="AG69" s="82">
        <f>IF(Consultas!AG69='Parâmetros'!$E$1,0,-6)</f>
        <v>0</v>
      </c>
      <c r="AH69" s="82">
        <f>IF(Consultas!AF69='Parâmetros'!$E$1,1,-5)</f>
        <v>-5</v>
      </c>
      <c r="AI69" s="82">
        <f>IF(Consultas!AJ69&gt;700,8,IF(Consultas!AJ69&gt;500,4,IF(Consultas!AJ69&gt;200,-4,IF(Consultas!AJ69&gt;1,-15,-20))))</f>
        <v>8</v>
      </c>
      <c r="AJ69" s="82">
        <f>IF(Consultas!AD69='Parâmetros'!$E$10,0,IF(Consultas!AD69&gt;'Parâmetros'!$A$30,12,IF(Consultas!AD69&gt;'Parâmetros'!$A$31,6,IF(Consultas!AD69&gt;'Parâmetros'!$A$32,0,IF(Consultas!AD69&gt;'Parâmetros'!$A$33,0,IF(Consultas!AD69&gt;'Parâmetros'!$A$34,-3,IF(Consultas!AD69&gt;'Parâmetros'!$A$35,-7,-1)))))))</f>
        <v>12</v>
      </c>
      <c r="AK69" s="82">
        <f>IF(Consultas!AO69='Parâmetros'!$D$1,3,-3)</f>
        <v>-3</v>
      </c>
      <c r="AL69" s="82">
        <f>IF(Consultas!AP69='Parâmetros'!$D$1,5,-3)</f>
        <v>-3</v>
      </c>
      <c r="AM69" s="82">
        <f>IF(Consultas!AL69="N",-6,0)</f>
        <v>0</v>
      </c>
      <c r="AN69" s="82">
        <f>IF(Consultas!AM69="N",-10,0)</f>
        <v>0</v>
      </c>
      <c r="AO69" s="82">
        <f>IF(Consultas!AN69="S",4,-2)</f>
        <v>-2</v>
      </c>
      <c r="AP69" s="39"/>
      <c r="AQ69" s="165">
        <f>IF(Consultas!F69&gt;1,(SUM(F69:AO69)),"N/A")</f>
        <v>19</v>
      </c>
      <c r="AR69" s="78" t="str">
        <f>IF((Consultas!AD69&gt;'Parâmetros'!$A$31),"X",AJ69+Y69+V69+AC69)</f>
        <v>X</v>
      </c>
      <c r="AS69" s="78" t="str">
        <f>IF((Consultas!AD69&gt;'Parâmetros'!$A$31),"X",(H69+I69+J69+Q69+T69+Y69+Z69+AJ69+AN69))</f>
        <v>X</v>
      </c>
      <c r="AT69" s="78">
        <f>IF((Consultas!AD69&lt;'Parâmetros'!$A$31),"X",(AD69+AC69+AB69))</f>
        <v>-2</v>
      </c>
      <c r="AU69" s="78">
        <f t="shared" si="1"/>
        <v>-2</v>
      </c>
      <c r="AV69" s="82" t="str">
        <f>IF(AQ69="N/A","N/A",IF(AQ69&gt;5,'Parâmetros'!$A$15,(IF(AU69=AR69,'Parâmetros'!$A$17,IF(AU69=AS69,'Parâmetros'!$A$16,'Parâmetros'!$A$14)))))</f>
        <v>SEM-RISCO</v>
      </c>
      <c r="AW69" s="86" t="str">
        <f>IF(AQ69="N/A","N/A",IF(AV69='Parâmetros'!$A$15,'Parâmetros'!$C$15,(IF(AV69='Parâmetros'!$A$17,'Parâmetros'!$C$17,IF(AV69='Parâmetros'!$A$16,'Parâmetros'!$C$16,IF(AV69='Parâmetros'!$A$14,'Parâmetros'!$C$12))))))</f>
        <v>LIBERADO</v>
      </c>
      <c r="AX69" s="82" t="str">
        <f>IF(Consultas!F69&gt;1,(IF(Consultas!F69&gt;5000,"SOLICITAR PED COMPRA","N/A")))</f>
        <v>N/A</v>
      </c>
      <c r="AY69" s="167" t="str">
        <f>IF(AND(Consultas!M69&lt;&gt;"S", Consultas!H69="S"), "CHECAGEM REVERSA", "N/A")</f>
        <v>N/A</v>
      </c>
      <c r="AZ69" s="167" t="str">
        <f>IF(Consultas!U69="N","PRECISA CORRIGIR END DIVERGENTE","N/A")</f>
        <v>N/A</v>
      </c>
    </row>
    <row r="70" ht="12.0" customHeight="1">
      <c r="A70" s="39" t="s">
        <v>90</v>
      </c>
      <c r="B70" s="82">
        <f>Consultas!B70</f>
        <v>1874</v>
      </c>
      <c r="C70" s="82" t="str">
        <f>Consultas!D70</f>
        <v>Metalpleno</v>
      </c>
      <c r="D70" s="96" t="str">
        <f>Consultas!E70</f>
        <v>144590</v>
      </c>
      <c r="E70" s="104">
        <f>IF(Consultas!AB70&gt;0,YEAR('Parâmetros'!$B$1)-YEAR(Consultas!AB70),"NA")</f>
        <v>56</v>
      </c>
      <c r="F70" s="82">
        <f>IF(Consultas!F70&gt;'Parâmetros'!$B$2,-8,0)</f>
        <v>0</v>
      </c>
      <c r="G70" s="82">
        <f>IF(Consultas!H70='Parâmetros'!$E$1,100,0)</f>
        <v>0</v>
      </c>
      <c r="H70" s="82">
        <f>IF(Consultas!I70='Parâmetros'!$E$1,-4,12)</f>
        <v>-4</v>
      </c>
      <c r="I70" s="82">
        <f>IF(Consultas!J70='Parâmetros'!$E$1,1,-13)</f>
        <v>1</v>
      </c>
      <c r="J70" s="82">
        <f>IF(Consultas!K70='Parâmetros'!$E$1,2,-5)</f>
        <v>2</v>
      </c>
      <c r="K70" s="82" t="str">
        <f>IF(Consultas!L70='Parâmetros'!$D$1,"SOLIC CONTRATO DE ENTREGA","N/A")</f>
        <v>SOLIC CONTRATO DE ENTREGA</v>
      </c>
      <c r="L70" s="82">
        <f>IF(Consultas!R70='Parâmetros'!$E$1,1,-3)</f>
        <v>1</v>
      </c>
      <c r="M70" s="82">
        <f>IF(Consultas!S70&gt;1,(IF(Consultas!S70='Parâmetros'!$E$1,-3,9)))</f>
        <v>9</v>
      </c>
      <c r="N70" s="82">
        <f>IF(Consultas!T70="S",23,0)</f>
        <v>0</v>
      </c>
      <c r="O70" s="82">
        <f>IF(Consultas!U70='Parâmetros'!$E$1,-3,3)</f>
        <v>3</v>
      </c>
      <c r="P70" s="82">
        <f>IF(Consultas!V70='Parâmetros'!$E$1,-100,2)</f>
        <v>2</v>
      </c>
      <c r="Q70" s="82">
        <f>IF(Consultas!M70='Parâmetros'!$D$1,2,-9)</f>
        <v>2</v>
      </c>
      <c r="R70" s="82">
        <f>IF(Consultas!N70="RJ",-12,0)</f>
        <v>0</v>
      </c>
      <c r="S70" s="82">
        <f>IF(Consultas!O70="-",-3,IF(Consultas!O70=0,-6,IF(Consultas!O70=5,0,IF(Consultas!O70=10,6))))</f>
        <v>-3</v>
      </c>
      <c r="T70" s="82">
        <f>IF(Consultas!M70="S",0,(IF(Consultas!P70="S",6,0)))</f>
        <v>0</v>
      </c>
      <c r="U70" s="82">
        <f>IF(Consultas!Q70&gt;97,9,IF(Consultas!Q70&gt;75,0,-7))</f>
        <v>9</v>
      </c>
      <c r="V70" s="82">
        <f>IF(Consultas!W70='Parâmetros'!$E$1,1,-5)</f>
        <v>1</v>
      </c>
      <c r="W70" s="82">
        <f>IF(Consultas!X70="S",3,-3)</f>
        <v>3</v>
      </c>
      <c r="X70" s="82">
        <f>IF(Consultas!Y70="S",0,-7)</f>
        <v>0</v>
      </c>
      <c r="Y70" s="82">
        <f>IF(Consultas!Z70='Parâmetros'!$E$1,2,-8)</f>
        <v>2</v>
      </c>
      <c r="Z70" s="82">
        <f>IF(Consultas!AA70='Parâmetros'!$E$1,-15,1)</f>
        <v>1</v>
      </c>
      <c r="AA70" s="147" t="s">
        <v>140</v>
      </c>
      <c r="AB70" s="82">
        <f>IF(E70="NA","NA",IF(E70&gt;'Parâmetros'!$A$9,8,IF(E70&gt;'Parâmetros'!$A$8,4,IF(E70&gt;'Parâmetros'!$A$7,0,-6))))</f>
        <v>8</v>
      </c>
      <c r="AC70" s="82">
        <f>IF(Consultas!AC70='Parâmetros'!$E$1,0,5)</f>
        <v>5</v>
      </c>
      <c r="AD70" s="82">
        <f>IF(Consultas!AH70='Parâmetros'!$D$1,-10,5)</f>
        <v>-10</v>
      </c>
      <c r="AE70" s="82">
        <f>IF(Consultas!AI70&gt;(Consultas!F70*2),-10,0)</f>
        <v>-10</v>
      </c>
      <c r="AF70" s="82">
        <f>IF(Consultas!AD70&gt;1,(IF(Consultas!AI70&gt;(Consultas!AD70),-20,4)))</f>
        <v>4</v>
      </c>
      <c r="AG70" s="82">
        <f>IF(Consultas!AG70='Parâmetros'!$E$1,0,-6)</f>
        <v>0</v>
      </c>
      <c r="AH70" s="82">
        <f>IF(Consultas!AF70='Parâmetros'!$E$1,1,-5)</f>
        <v>-5</v>
      </c>
      <c r="AI70" s="82">
        <f>IF(Consultas!AJ70&gt;700,8,IF(Consultas!AJ70&gt;500,4,IF(Consultas!AJ70&gt;200,-4,IF(Consultas!AJ70&gt;1,-15,-20))))</f>
        <v>8</v>
      </c>
      <c r="AJ70" s="82">
        <f>IF(Consultas!AD70='Parâmetros'!$E$10,0,IF(Consultas!AD70&gt;'Parâmetros'!$A$30,12,IF(Consultas!AD70&gt;'Parâmetros'!$A$31,6,IF(Consultas!AD70&gt;'Parâmetros'!$A$32,0,IF(Consultas!AD70&gt;'Parâmetros'!$A$33,0,IF(Consultas!AD70&gt;'Parâmetros'!$A$34,-3,IF(Consultas!AD70&gt;'Parâmetros'!$A$35,-7,-1)))))))</f>
        <v>12</v>
      </c>
      <c r="AK70" s="82">
        <f>IF(Consultas!AO70='Parâmetros'!$D$1,3,-3)</f>
        <v>-3</v>
      </c>
      <c r="AL70" s="82">
        <f>IF(Consultas!AP70='Parâmetros'!$D$1,5,-3)</f>
        <v>-3</v>
      </c>
      <c r="AM70" s="82">
        <f>IF(Consultas!AL70="N",-6,0)</f>
        <v>0</v>
      </c>
      <c r="AN70" s="82">
        <f>IF(Consultas!AM70="N",-10,0)</f>
        <v>0</v>
      </c>
      <c r="AO70" s="82">
        <f>IF(Consultas!AN70="S",4,-2)</f>
        <v>-2</v>
      </c>
      <c r="AP70" s="39"/>
      <c r="AQ70" s="165">
        <f>IF(Consultas!F70&gt;1,(SUM(F70:AO70)),"N/A")</f>
        <v>33</v>
      </c>
      <c r="AR70" s="78" t="str">
        <f>IF((Consultas!AD70&gt;'Parâmetros'!$A$31),"X",AJ70+Y70+V70+AC70)</f>
        <v>X</v>
      </c>
      <c r="AS70" s="78" t="str">
        <f>IF((Consultas!AD70&gt;'Parâmetros'!$A$31),"X",(H70+I70+J70+Q70+T70+Y70+Z70+AJ70+AN70))</f>
        <v>X</v>
      </c>
      <c r="AT70" s="78">
        <f>IF((Consultas!AD70&lt;'Parâmetros'!$A$31),"X",(AD70+AC70+AB70))</f>
        <v>3</v>
      </c>
      <c r="AU70" s="78">
        <f t="shared" si="1"/>
        <v>3</v>
      </c>
      <c r="AV70" s="82" t="str">
        <f>IF(AQ70="N/A","N/A",IF(AQ70&gt;5,'Parâmetros'!$A$15,(IF(AU70=AR70,'Parâmetros'!$A$17,IF(AU70=AS70,'Parâmetros'!$A$16,'Parâmetros'!$A$14)))))</f>
        <v>SEM-RISCO</v>
      </c>
      <c r="AW70" s="86" t="str">
        <f>IF(AQ70="N/A","N/A",IF(AV70='Parâmetros'!$A$15,'Parâmetros'!$C$15,(IF(AV70='Parâmetros'!$A$17,'Parâmetros'!$C$17,IF(AV70='Parâmetros'!$A$16,'Parâmetros'!$C$16,IF(AV70='Parâmetros'!$A$14,'Parâmetros'!$C$12))))))</f>
        <v>LIBERADO</v>
      </c>
      <c r="AX70" s="82" t="str">
        <f>IF(Consultas!F70&gt;1,(IF(Consultas!F70&gt;5000,"SOLICITAR PED COMPRA","N/A")))</f>
        <v>N/A</v>
      </c>
      <c r="AY70" s="167" t="str">
        <f>IF(AND(Consultas!M70&lt;&gt;"S", Consultas!H70="S"), "CHECAGEM REVERSA", "N/A")</f>
        <v>N/A</v>
      </c>
      <c r="AZ70" s="167" t="str">
        <f>IF(Consultas!U70="N","PRECISA CORRIGIR END DIVERGENTE","N/A")</f>
        <v>N/A</v>
      </c>
    </row>
    <row r="71" ht="12.0" customHeight="1">
      <c r="A71" s="39" t="s">
        <v>90</v>
      </c>
      <c r="B71" s="82">
        <f>Consultas!B71</f>
        <v>571</v>
      </c>
      <c r="C71" s="82" t="str">
        <f>Consultas!D71</f>
        <v>Oaco</v>
      </c>
      <c r="D71" s="96" t="str">
        <f>Consultas!E71</f>
        <v>144591</v>
      </c>
      <c r="E71" s="104">
        <f>IF(Consultas!AB71&gt;0,YEAR('Parâmetros'!$B$1)-YEAR(Consultas!AB71),"NA")</f>
        <v>19</v>
      </c>
      <c r="F71" s="82">
        <f>IF(Consultas!F71&gt;'Parâmetros'!$B$2,-8,0)</f>
        <v>0</v>
      </c>
      <c r="G71" s="82">
        <f>IF(Consultas!H71='Parâmetros'!$E$1,100,0)</f>
        <v>0</v>
      </c>
      <c r="H71" s="82">
        <f>IF(Consultas!I71='Parâmetros'!$E$1,-4,12)</f>
        <v>-4</v>
      </c>
      <c r="I71" s="82">
        <f>IF(Consultas!J71='Parâmetros'!$E$1,1,-13)</f>
        <v>1</v>
      </c>
      <c r="J71" s="82">
        <f>IF(Consultas!K71='Parâmetros'!$E$1,2,-5)</f>
        <v>2</v>
      </c>
      <c r="K71" s="82" t="str">
        <f>IF(Consultas!L71='Parâmetros'!$D$1,"SOLIC CONTRATO DE ENTREGA","N/A")</f>
        <v>SOLIC CONTRATO DE ENTREGA</v>
      </c>
      <c r="L71" s="82">
        <f>IF(Consultas!R71='Parâmetros'!$E$1,1,-3)</f>
        <v>1</v>
      </c>
      <c r="M71" s="82">
        <f>IF(Consultas!S71&gt;1,(IF(Consultas!S71='Parâmetros'!$E$1,-3,9)))</f>
        <v>9</v>
      </c>
      <c r="N71" s="82">
        <f>IF(Consultas!T71="S",23,0)</f>
        <v>0</v>
      </c>
      <c r="O71" s="82">
        <f>IF(Consultas!U71='Parâmetros'!$E$1,-3,3)</f>
        <v>3</v>
      </c>
      <c r="P71" s="82">
        <f>IF(Consultas!V71='Parâmetros'!$E$1,-100,2)</f>
        <v>2</v>
      </c>
      <c r="Q71" s="82">
        <f>IF(Consultas!M71='Parâmetros'!$D$1,2,-9)</f>
        <v>2</v>
      </c>
      <c r="R71" s="82">
        <f>IF(Consultas!N71="RJ",-12,0)</f>
        <v>0</v>
      </c>
      <c r="S71" s="82">
        <f>IF(Consultas!O71="-",-3,IF(Consultas!O71=0,-6,IF(Consultas!O71=5,0,IF(Consultas!O71=10,6))))</f>
        <v>-3</v>
      </c>
      <c r="T71" s="82">
        <f>IF(Consultas!M71="S",0,(IF(Consultas!P71="S",6,0)))</f>
        <v>0</v>
      </c>
      <c r="U71" s="82">
        <f>IF(Consultas!Q71&gt;97,9,IF(Consultas!Q71&gt;75,0,-7))</f>
        <v>9</v>
      </c>
      <c r="V71" s="82">
        <f>IF(Consultas!W71='Parâmetros'!$E$1,1,-5)</f>
        <v>1</v>
      </c>
      <c r="W71" s="82">
        <f>IF(Consultas!X71="S",3,-3)</f>
        <v>3</v>
      </c>
      <c r="X71" s="82">
        <f>IF(Consultas!Y71="S",0,-7)</f>
        <v>0</v>
      </c>
      <c r="Y71" s="82">
        <f>IF(Consultas!Z71='Parâmetros'!$E$1,2,-8)</f>
        <v>2</v>
      </c>
      <c r="Z71" s="82">
        <f>IF(Consultas!AA71='Parâmetros'!$E$1,-15,1)</f>
        <v>1</v>
      </c>
      <c r="AA71" s="147" t="s">
        <v>140</v>
      </c>
      <c r="AB71" s="82">
        <f>IF(E71="NA","NA",IF(E71&gt;'Parâmetros'!$A$9,8,IF(E71&gt;'Parâmetros'!$A$8,4,IF(E71&gt;'Parâmetros'!$A$7,0,-6))))</f>
        <v>4</v>
      </c>
      <c r="AC71" s="82">
        <f>IF(Consultas!AC71='Parâmetros'!$E$1,0,5)</f>
        <v>5</v>
      </c>
      <c r="AD71" s="82">
        <f>IF(Consultas!AH71='Parâmetros'!$D$1,-10,5)</f>
        <v>-10</v>
      </c>
      <c r="AE71" s="82">
        <f>IF(Consultas!AI71&gt;(Consultas!F71*2),-10,0)</f>
        <v>-10</v>
      </c>
      <c r="AF71" s="82">
        <f>IF(Consultas!AD71&gt;1,(IF(Consultas!AI71&gt;(Consultas!AD71),-20,4)))</f>
        <v>4</v>
      </c>
      <c r="AG71" s="82">
        <f>IF(Consultas!AG71='Parâmetros'!$E$1,0,-6)</f>
        <v>0</v>
      </c>
      <c r="AH71" s="82">
        <f>IF(Consultas!AF71='Parâmetros'!$E$1,1,-5)</f>
        <v>-5</v>
      </c>
      <c r="AI71" s="82">
        <f>IF(Consultas!AJ71&gt;700,8,IF(Consultas!AJ71&gt;500,4,IF(Consultas!AJ71&gt;200,-4,IF(Consultas!AJ71&gt;1,-15,-20))))</f>
        <v>-4</v>
      </c>
      <c r="AJ71" s="82">
        <f>IF(Consultas!AD71='Parâmetros'!$E$10,0,IF(Consultas!AD71&gt;'Parâmetros'!$A$30,12,IF(Consultas!AD71&gt;'Parâmetros'!$A$31,6,IF(Consultas!AD71&gt;'Parâmetros'!$A$32,0,IF(Consultas!AD71&gt;'Parâmetros'!$A$33,0,IF(Consultas!AD71&gt;'Parâmetros'!$A$34,-3,IF(Consultas!AD71&gt;'Parâmetros'!$A$35,-7,-1)))))))</f>
        <v>12</v>
      </c>
      <c r="AK71" s="82">
        <f>IF(Consultas!AO71='Parâmetros'!$D$1,3,-3)</f>
        <v>-3</v>
      </c>
      <c r="AL71" s="82">
        <f>IF(Consultas!AP71='Parâmetros'!$D$1,5,-3)</f>
        <v>-3</v>
      </c>
      <c r="AM71" s="82">
        <f>IF(Consultas!AL71="N",-6,0)</f>
        <v>0</v>
      </c>
      <c r="AN71" s="82">
        <f>IF(Consultas!AM71="N",-10,0)</f>
        <v>0</v>
      </c>
      <c r="AO71" s="82">
        <f>IF(Consultas!AN71="S",4,-2)</f>
        <v>-2</v>
      </c>
      <c r="AP71" s="39"/>
      <c r="AQ71" s="165">
        <f>IF(Consultas!F71&gt;1,(SUM(F71:AO71)),"N/A")</f>
        <v>17</v>
      </c>
      <c r="AR71" s="78" t="str">
        <f>IF((Consultas!AD71&gt;'Parâmetros'!$A$31),"X",AJ71+Y71+V71+AC71)</f>
        <v>X</v>
      </c>
      <c r="AS71" s="78" t="str">
        <f>IF((Consultas!AD71&gt;'Parâmetros'!$A$31),"X",(H71+I71+J71+Q71+T71+Y71+Z71+AJ71+AN71))</f>
        <v>X</v>
      </c>
      <c r="AT71" s="78">
        <f>IF((Consultas!AD71&lt;'Parâmetros'!$A$31),"X",(AD71+AC71+AB71))</f>
        <v>-1</v>
      </c>
      <c r="AU71" s="78">
        <f t="shared" si="1"/>
        <v>-1</v>
      </c>
      <c r="AV71" s="82" t="str">
        <f>IF(AQ71="N/A","N/A",IF(AQ71&gt;5,'Parâmetros'!$A$15,(IF(AU71=AR71,'Parâmetros'!$A$17,IF(AU71=AS71,'Parâmetros'!$A$16,'Parâmetros'!$A$14)))))</f>
        <v>SEM-RISCO</v>
      </c>
      <c r="AW71" s="86" t="str">
        <f>IF(AQ71="N/A","N/A",IF(AV71='Parâmetros'!$A$15,'Parâmetros'!$C$15,(IF(AV71='Parâmetros'!$A$17,'Parâmetros'!$C$17,IF(AV71='Parâmetros'!$A$16,'Parâmetros'!$C$16,IF(AV71='Parâmetros'!$A$14,'Parâmetros'!$C$12))))))</f>
        <v>LIBERADO</v>
      </c>
      <c r="AX71" s="82" t="str">
        <f>IF(Consultas!F71&gt;1,(IF(Consultas!F71&gt;5000,"SOLICITAR PED COMPRA","N/A")))</f>
        <v>SOLICITAR PED COMPRA</v>
      </c>
      <c r="AY71" s="167" t="str">
        <f>IF(AND(Consultas!M71&lt;&gt;"S", Consultas!H71="S"), "CHECAGEM REVERSA", "N/A")</f>
        <v>N/A</v>
      </c>
      <c r="AZ71" s="167" t="str">
        <f>IF(Consultas!U71="N","PRECISA CORRIGIR END DIVERGENTE","N/A")</f>
        <v>N/A</v>
      </c>
    </row>
    <row r="72" ht="12.0" customHeight="1">
      <c r="A72" s="39" t="s">
        <v>90</v>
      </c>
      <c r="B72" s="82">
        <f>Consultas!B72</f>
        <v>572</v>
      </c>
      <c r="C72" s="82" t="str">
        <f>Consultas!D72</f>
        <v>Oaco</v>
      </c>
      <c r="D72" s="96" t="str">
        <f>Consultas!E72</f>
        <v>144591</v>
      </c>
      <c r="E72" s="104">
        <f>IF(Consultas!AB72&gt;0,YEAR('Parâmetros'!$B$1)-YEAR(Consultas!AB72),"NA")</f>
        <v>19</v>
      </c>
      <c r="F72" s="82">
        <f>IF(Consultas!F72&gt;'Parâmetros'!$B$2,-8,0)</f>
        <v>0</v>
      </c>
      <c r="G72" s="82">
        <f>IF(Consultas!H72='Parâmetros'!$E$1,100,0)</f>
        <v>0</v>
      </c>
      <c r="H72" s="82">
        <f>IF(Consultas!I72='Parâmetros'!$E$1,-4,12)</f>
        <v>-4</v>
      </c>
      <c r="I72" s="82">
        <f>IF(Consultas!J72='Parâmetros'!$E$1,1,-13)</f>
        <v>1</v>
      </c>
      <c r="J72" s="82">
        <f>IF(Consultas!K72='Parâmetros'!$E$1,2,-5)</f>
        <v>2</v>
      </c>
      <c r="K72" s="82" t="str">
        <f>IF(Consultas!L72='Parâmetros'!$D$1,"SOLIC CONTRATO DE ENTREGA","N/A")</f>
        <v>SOLIC CONTRATO DE ENTREGA</v>
      </c>
      <c r="L72" s="82">
        <f>IF(Consultas!R72='Parâmetros'!$E$1,1,-3)</f>
        <v>1</v>
      </c>
      <c r="M72" s="82">
        <f>IF(Consultas!S72&gt;1,(IF(Consultas!S72='Parâmetros'!$E$1,-3,9)))</f>
        <v>9</v>
      </c>
      <c r="N72" s="82">
        <f>IF(Consultas!T72="S",23,0)</f>
        <v>0</v>
      </c>
      <c r="O72" s="82">
        <f>IF(Consultas!U72='Parâmetros'!$E$1,-3,3)</f>
        <v>3</v>
      </c>
      <c r="P72" s="82">
        <f>IF(Consultas!V72='Parâmetros'!$E$1,-100,2)</f>
        <v>2</v>
      </c>
      <c r="Q72" s="82">
        <f>IF(Consultas!M72='Parâmetros'!$D$1,2,-9)</f>
        <v>2</v>
      </c>
      <c r="R72" s="82">
        <f>IF(Consultas!N72="RJ",-12,0)</f>
        <v>0</v>
      </c>
      <c r="S72" s="82">
        <f>IF(Consultas!O72="-",-3,IF(Consultas!O72=0,-6,IF(Consultas!O72=5,0,IF(Consultas!O72=10,6))))</f>
        <v>-3</v>
      </c>
      <c r="T72" s="82">
        <f>IF(Consultas!M72="S",0,(IF(Consultas!P72="S",6,0)))</f>
        <v>0</v>
      </c>
      <c r="U72" s="82">
        <f>IF(Consultas!Q72&gt;97,9,IF(Consultas!Q72&gt;75,0,-7))</f>
        <v>9</v>
      </c>
      <c r="V72" s="82">
        <f>IF(Consultas!W72='Parâmetros'!$E$1,1,-5)</f>
        <v>1</v>
      </c>
      <c r="W72" s="82">
        <f>IF(Consultas!X72="S",3,-3)</f>
        <v>3</v>
      </c>
      <c r="X72" s="82">
        <f>IF(Consultas!Y72="S",0,-7)</f>
        <v>0</v>
      </c>
      <c r="Y72" s="82">
        <f>IF(Consultas!Z72='Parâmetros'!$E$1,2,-8)</f>
        <v>2</v>
      </c>
      <c r="Z72" s="82">
        <f>IF(Consultas!AA72='Parâmetros'!$E$1,-15,1)</f>
        <v>1</v>
      </c>
      <c r="AA72" s="147" t="s">
        <v>140</v>
      </c>
      <c r="AB72" s="82">
        <f>IF(E72="NA","NA",IF(E72&gt;'Parâmetros'!$A$9,8,IF(E72&gt;'Parâmetros'!$A$8,4,IF(E72&gt;'Parâmetros'!$A$7,0,-6))))</f>
        <v>4</v>
      </c>
      <c r="AC72" s="82">
        <f>IF(Consultas!AC72='Parâmetros'!$E$1,0,5)</f>
        <v>5</v>
      </c>
      <c r="AD72" s="82">
        <f>IF(Consultas!AH72='Parâmetros'!$D$1,-10,5)</f>
        <v>-10</v>
      </c>
      <c r="AE72" s="82">
        <f>IF(Consultas!AI72&gt;(Consultas!F72*2),-10,0)</f>
        <v>-10</v>
      </c>
      <c r="AF72" s="82">
        <f>IF(Consultas!AD72&gt;1,(IF(Consultas!AI72&gt;(Consultas!AD72),-20,4)))</f>
        <v>4</v>
      </c>
      <c r="AG72" s="82">
        <f>IF(Consultas!AG72='Parâmetros'!$E$1,0,-6)</f>
        <v>0</v>
      </c>
      <c r="AH72" s="82">
        <f>IF(Consultas!AF72='Parâmetros'!$E$1,1,-5)</f>
        <v>-5</v>
      </c>
      <c r="AI72" s="82">
        <f>IF(Consultas!AJ72&gt;700,8,IF(Consultas!AJ72&gt;500,4,IF(Consultas!AJ72&gt;200,-4,IF(Consultas!AJ72&gt;1,-15,-20))))</f>
        <v>-4</v>
      </c>
      <c r="AJ72" s="82">
        <f>IF(Consultas!AD72='Parâmetros'!$E$10,0,IF(Consultas!AD72&gt;'Parâmetros'!$A$30,12,IF(Consultas!AD72&gt;'Parâmetros'!$A$31,6,IF(Consultas!AD72&gt;'Parâmetros'!$A$32,0,IF(Consultas!AD72&gt;'Parâmetros'!$A$33,0,IF(Consultas!AD72&gt;'Parâmetros'!$A$34,-3,IF(Consultas!AD72&gt;'Parâmetros'!$A$35,-7,-1)))))))</f>
        <v>12</v>
      </c>
      <c r="AK72" s="82">
        <f>IF(Consultas!AO72='Parâmetros'!$D$1,3,-3)</f>
        <v>-3</v>
      </c>
      <c r="AL72" s="82">
        <f>IF(Consultas!AP72='Parâmetros'!$D$1,5,-3)</f>
        <v>-3</v>
      </c>
      <c r="AM72" s="82">
        <f>IF(Consultas!AL72="N",-6,0)</f>
        <v>0</v>
      </c>
      <c r="AN72" s="82">
        <f>IF(Consultas!AM72="N",-10,0)</f>
        <v>0</v>
      </c>
      <c r="AO72" s="82">
        <f>IF(Consultas!AN72="S",4,-2)</f>
        <v>-2</v>
      </c>
      <c r="AP72" s="39"/>
      <c r="AQ72" s="165">
        <f>IF(Consultas!F72&gt;1,(SUM(F72:AO72)),"N/A")</f>
        <v>17</v>
      </c>
      <c r="AR72" s="78" t="str">
        <f>IF((Consultas!AD72&gt;'Parâmetros'!$A$31),"X",AJ72+Y72+V72+AC72)</f>
        <v>X</v>
      </c>
      <c r="AS72" s="78" t="str">
        <f>IF((Consultas!AD72&gt;'Parâmetros'!$A$31),"X",(H72+I72+J72+Q72+T72+Y72+Z72+AJ72+AN72))</f>
        <v>X</v>
      </c>
      <c r="AT72" s="78">
        <f>IF((Consultas!AD72&lt;'Parâmetros'!$A$31),"X",(AD72+AC72+AB72))</f>
        <v>-1</v>
      </c>
      <c r="AU72" s="78">
        <f t="shared" si="1"/>
        <v>-1</v>
      </c>
      <c r="AV72" s="82" t="str">
        <f>IF(AQ72="N/A","N/A",IF(AQ72&gt;5,'Parâmetros'!$A$15,(IF(AU72=AR72,'Parâmetros'!$A$17,IF(AU72=AS72,'Parâmetros'!$A$16,'Parâmetros'!$A$14)))))</f>
        <v>SEM-RISCO</v>
      </c>
      <c r="AW72" s="86" t="str">
        <f>IF(AQ72="N/A","N/A",IF(AV72='Parâmetros'!$A$15,'Parâmetros'!$C$15,(IF(AV72='Parâmetros'!$A$17,'Parâmetros'!$C$17,IF(AV72='Parâmetros'!$A$16,'Parâmetros'!$C$16,IF(AV72='Parâmetros'!$A$14,'Parâmetros'!$C$12))))))</f>
        <v>LIBERADO</v>
      </c>
      <c r="AX72" s="82" t="str">
        <f>IF(Consultas!F72&gt;1,(IF(Consultas!F72&gt;5000,"SOLICITAR PED COMPRA","N/A")))</f>
        <v>N/A</v>
      </c>
      <c r="AY72" s="167" t="str">
        <f>IF(AND(Consultas!M72&lt;&gt;"S", Consultas!H72="S"), "CHECAGEM REVERSA", "N/A")</f>
        <v>N/A</v>
      </c>
      <c r="AZ72" s="167" t="str">
        <f>IF(Consultas!U72="N","PRECISA CORRIGIR END DIVERGENTE","N/A")</f>
        <v>N/A</v>
      </c>
    </row>
    <row r="73" ht="12.0" customHeight="1">
      <c r="A73" s="39" t="s">
        <v>90</v>
      </c>
      <c r="B73" s="82">
        <f>Consultas!B73</f>
        <v>238</v>
      </c>
      <c r="C73" s="82" t="str">
        <f>Consultas!D73</f>
        <v>Metalpleno</v>
      </c>
      <c r="D73" s="96" t="str">
        <f>Consultas!E73</f>
        <v>144592</v>
      </c>
      <c r="E73" s="104">
        <f>IF(Consultas!AB73&gt;0,YEAR('Parâmetros'!$B$1)-YEAR(Consultas!AB73),"NA")</f>
        <v>16</v>
      </c>
      <c r="F73" s="82">
        <f>IF(Consultas!F73&gt;'Parâmetros'!$B$2,-8,0)</f>
        <v>0</v>
      </c>
      <c r="G73" s="82">
        <f>IF(Consultas!H73='Parâmetros'!$E$1,100,0)</f>
        <v>0</v>
      </c>
      <c r="H73" s="82">
        <f>IF(Consultas!I73='Parâmetros'!$E$1,-4,12)</f>
        <v>-4</v>
      </c>
      <c r="I73" s="82">
        <f>IF(Consultas!J73='Parâmetros'!$E$1,1,-13)</f>
        <v>1</v>
      </c>
      <c r="J73" s="82">
        <f>IF(Consultas!K73='Parâmetros'!$E$1,2,-5)</f>
        <v>2</v>
      </c>
      <c r="K73" s="82" t="str">
        <f>IF(Consultas!L73='Parâmetros'!$D$1,"SOLIC CONTRATO DE ENTREGA","N/A")</f>
        <v>SOLIC CONTRATO DE ENTREGA</v>
      </c>
      <c r="L73" s="82">
        <f>IF(Consultas!R73='Parâmetros'!$E$1,1,-3)</f>
        <v>1</v>
      </c>
      <c r="M73" s="82">
        <f>IF(Consultas!S73&gt;1,(IF(Consultas!S73='Parâmetros'!$E$1,-3,9)))</f>
        <v>-3</v>
      </c>
      <c r="N73" s="82">
        <f>IF(Consultas!T73="S",23,0)</f>
        <v>0</v>
      </c>
      <c r="O73" s="82">
        <f>IF(Consultas!U73='Parâmetros'!$E$1,-3,3)</f>
        <v>3</v>
      </c>
      <c r="P73" s="82">
        <f>IF(Consultas!V73='Parâmetros'!$E$1,-100,2)</f>
        <v>2</v>
      </c>
      <c r="Q73" s="82">
        <f>IF(Consultas!M73='Parâmetros'!$D$1,2,-9)</f>
        <v>-9</v>
      </c>
      <c r="R73" s="82">
        <f>IF(Consultas!N73="RJ",-12,0)</f>
        <v>0</v>
      </c>
      <c r="S73" s="82">
        <f>IF(Consultas!O73="-",-3,IF(Consultas!O73=0,-6,IF(Consultas!O73=5,0,IF(Consultas!O73=10,6))))</f>
        <v>-6</v>
      </c>
      <c r="T73" s="82">
        <f>IF(Consultas!M73="S",0,(IF(Consultas!P73="S",6,0)))</f>
        <v>6</v>
      </c>
      <c r="U73" s="82">
        <f>IF(Consultas!Q73&gt;97,9,IF(Consultas!Q73&gt;75,0,-7))</f>
        <v>9</v>
      </c>
      <c r="V73" s="82">
        <f>IF(Consultas!W73='Parâmetros'!$E$1,1,-5)</f>
        <v>1</v>
      </c>
      <c r="W73" s="82">
        <f>IF(Consultas!X73="S",3,-3)</f>
        <v>3</v>
      </c>
      <c r="X73" s="82">
        <f>IF(Consultas!Y73="S",0,-7)</f>
        <v>0</v>
      </c>
      <c r="Y73" s="82">
        <f>IF(Consultas!Z73='Parâmetros'!$E$1,2,-8)</f>
        <v>2</v>
      </c>
      <c r="Z73" s="82">
        <f>IF(Consultas!AA73='Parâmetros'!$E$1,-15,1)</f>
        <v>1</v>
      </c>
      <c r="AA73" s="147" t="s">
        <v>140</v>
      </c>
      <c r="AB73" s="82">
        <f>IF(E73="NA","NA",IF(E73&gt;'Parâmetros'!$A$9,8,IF(E73&gt;'Parâmetros'!$A$8,4,IF(E73&gt;'Parâmetros'!$A$7,0,-6))))</f>
        <v>4</v>
      </c>
      <c r="AC73" s="82">
        <f>IF(Consultas!AC73='Parâmetros'!$E$1,0,5)</f>
        <v>0</v>
      </c>
      <c r="AD73" s="82">
        <f>IF(Consultas!AH73='Parâmetros'!$D$1,-10,5)</f>
        <v>5</v>
      </c>
      <c r="AE73" s="82">
        <f>IF(Consultas!AI73&gt;(Consultas!F73*2),-10,0)</f>
        <v>-10</v>
      </c>
      <c r="AF73" s="82">
        <f>IF(Consultas!AD73&gt;1,(IF(Consultas!AI73&gt;(Consultas!AD73),-20,4)))</f>
        <v>4</v>
      </c>
      <c r="AG73" s="82">
        <f>IF(Consultas!AG73='Parâmetros'!$E$1,0,-6)</f>
        <v>0</v>
      </c>
      <c r="AH73" s="82">
        <f>IF(Consultas!AF73='Parâmetros'!$E$1,1,-5)</f>
        <v>-5</v>
      </c>
      <c r="AI73" s="82">
        <f>IF(Consultas!AJ73&gt;700,8,IF(Consultas!AJ73&gt;500,4,IF(Consultas!AJ73&gt;200,-4,IF(Consultas!AJ73&gt;1,-15,-20))))</f>
        <v>-4</v>
      </c>
      <c r="AJ73" s="82">
        <f>IF(Consultas!AD73='Parâmetros'!$E$10,0,IF(Consultas!AD73&gt;'Parâmetros'!$A$30,12,IF(Consultas!AD73&gt;'Parâmetros'!$A$31,6,IF(Consultas!AD73&gt;'Parâmetros'!$A$32,0,IF(Consultas!AD73&gt;'Parâmetros'!$A$33,0,IF(Consultas!AD73&gt;'Parâmetros'!$A$34,-3,IF(Consultas!AD73&gt;'Parâmetros'!$A$35,-7,-1)))))))</f>
        <v>12</v>
      </c>
      <c r="AK73" s="82">
        <f>IF(Consultas!AO73='Parâmetros'!$D$1,3,-3)</f>
        <v>-3</v>
      </c>
      <c r="AL73" s="82">
        <f>IF(Consultas!AP73='Parâmetros'!$D$1,5,-3)</f>
        <v>-3</v>
      </c>
      <c r="AM73" s="82">
        <f>IF(Consultas!AL73="N",-6,0)</f>
        <v>0</v>
      </c>
      <c r="AN73" s="82">
        <f>IF(Consultas!AM73="N",-10,0)</f>
        <v>0</v>
      </c>
      <c r="AO73" s="82">
        <f>IF(Consultas!AN73="S",4,-2)</f>
        <v>-2</v>
      </c>
      <c r="AP73" s="39"/>
      <c r="AQ73" s="165">
        <f>IF(Consultas!F73&gt;1,(SUM(F73:AO73)),"N/A")</f>
        <v>7</v>
      </c>
      <c r="AR73" s="78" t="str">
        <f>IF((Consultas!AD73&gt;'Parâmetros'!$A$31),"X",AJ73+Y73+V73+AC73)</f>
        <v>X</v>
      </c>
      <c r="AS73" s="78" t="str">
        <f>IF((Consultas!AD73&gt;'Parâmetros'!$A$31),"X",(H73+I73+J73+Q73+T73+Y73+Z73+AJ73+AN73))</f>
        <v>X</v>
      </c>
      <c r="AT73" s="78">
        <f>IF((Consultas!AD73&lt;'Parâmetros'!$A$31),"X",(AD73+AC73+AB73))</f>
        <v>9</v>
      </c>
      <c r="AU73" s="78">
        <f t="shared" si="1"/>
        <v>9</v>
      </c>
      <c r="AV73" s="82" t="str">
        <f>IF(AQ73="N/A","N/A",IF(AQ73&gt;5,'Parâmetros'!$A$15,(IF(AU73=AR73,'Parâmetros'!$A$17,IF(AU73=AS73,'Parâmetros'!$A$16,'Parâmetros'!$A$14)))))</f>
        <v>SEM-RISCO</v>
      </c>
      <c r="AW73" s="86" t="str">
        <f>IF(AQ73="N/A","N/A",IF(AV73='Parâmetros'!$A$15,'Parâmetros'!$C$15,(IF(AV73='Parâmetros'!$A$17,'Parâmetros'!$C$17,IF(AV73='Parâmetros'!$A$16,'Parâmetros'!$C$16,IF(AV73='Parâmetros'!$A$14,'Parâmetros'!$C$12))))))</f>
        <v>LIBERADO</v>
      </c>
      <c r="AX73" s="82" t="str">
        <f>IF(Consultas!F73&gt;1,(IF(Consultas!F73&gt;5000,"SOLICITAR PED COMPRA","N/A")))</f>
        <v>N/A</v>
      </c>
      <c r="AY73" s="167" t="str">
        <f>IF(AND(Consultas!M73&lt;&gt;"S", Consultas!H73="S"), "CHECAGEM REVERSA", "N/A")</f>
        <v>CHECAGEM REVERSA</v>
      </c>
      <c r="AZ73" s="167" t="str">
        <f>IF(Consultas!U73="N","PRECISA CORRIGIR END DIVERGENTE","N/A")</f>
        <v>N/A</v>
      </c>
    </row>
    <row r="74" ht="12.0" customHeight="1">
      <c r="A74" s="39" t="s">
        <v>90</v>
      </c>
      <c r="B74" s="82">
        <f>Consultas!B74</f>
        <v>240</v>
      </c>
      <c r="C74" s="82" t="str">
        <f>Consultas!D74</f>
        <v>Metalpleno</v>
      </c>
      <c r="D74" s="96" t="str">
        <f>Consultas!E74</f>
        <v>020698</v>
      </c>
      <c r="E74" s="104">
        <f>IF(Consultas!AB74&gt;0,YEAR('Parâmetros'!$B$1)-YEAR(Consultas!AB74),"NA")</f>
        <v>11</v>
      </c>
      <c r="F74" s="82">
        <f>IF(Consultas!F74&gt;'Parâmetros'!$B$2,-8,0)</f>
        <v>0</v>
      </c>
      <c r="G74" s="82">
        <f>IF(Consultas!H74='Parâmetros'!$E$1,100,0)</f>
        <v>0</v>
      </c>
      <c r="H74" s="82">
        <f>IF(Consultas!I74='Parâmetros'!$E$1,-4,12)</f>
        <v>-4</v>
      </c>
      <c r="I74" s="82">
        <f>IF(Consultas!J74='Parâmetros'!$E$1,1,-13)</f>
        <v>1</v>
      </c>
      <c r="J74" s="82">
        <f>IF(Consultas!K74='Parâmetros'!$E$1,2,-5)</f>
        <v>2</v>
      </c>
      <c r="K74" s="82" t="str">
        <f>IF(Consultas!L74='Parâmetros'!$D$1,"SOLIC CONTRATO DE ENTREGA","N/A")</f>
        <v>SOLIC CONTRATO DE ENTREGA</v>
      </c>
      <c r="L74" s="82">
        <f>IF(Consultas!R74='Parâmetros'!$E$1,1,-3)</f>
        <v>1</v>
      </c>
      <c r="M74" s="82">
        <f>IF(Consultas!S74&gt;1,(IF(Consultas!S74='Parâmetros'!$E$1,-3,9)))</f>
        <v>-3</v>
      </c>
      <c r="N74" s="82">
        <f>IF(Consultas!T74="S",23,0)</f>
        <v>0</v>
      </c>
      <c r="O74" s="82">
        <f>IF(Consultas!U74='Parâmetros'!$E$1,-3,3)</f>
        <v>3</v>
      </c>
      <c r="P74" s="82">
        <f>IF(Consultas!V74='Parâmetros'!$E$1,-100,2)</f>
        <v>2</v>
      </c>
      <c r="Q74" s="82">
        <f>IF(Consultas!M74='Parâmetros'!$D$1,2,-9)</f>
        <v>2</v>
      </c>
      <c r="R74" s="82">
        <f>IF(Consultas!N74="RJ",-12,0)</f>
        <v>0</v>
      </c>
      <c r="S74" s="82">
        <f>IF(Consultas!O74="-",-3,IF(Consultas!O74=0,-6,IF(Consultas!O74=5,0,IF(Consultas!O74=10,6))))</f>
        <v>0</v>
      </c>
      <c r="T74" s="82">
        <f>IF(Consultas!M74="S",0,(IF(Consultas!P74="S",6,0)))</f>
        <v>0</v>
      </c>
      <c r="U74" s="82">
        <f>IF(Consultas!Q74&gt;97,9,IF(Consultas!Q74&gt;75,0,-7))</f>
        <v>9</v>
      </c>
      <c r="V74" s="82">
        <f>IF(Consultas!W74='Parâmetros'!$E$1,1,-5)</f>
        <v>1</v>
      </c>
      <c r="W74" s="82">
        <f>IF(Consultas!X74="S",3,-3)</f>
        <v>3</v>
      </c>
      <c r="X74" s="82">
        <f>IF(Consultas!Y74="S",0,-7)</f>
        <v>0</v>
      </c>
      <c r="Y74" s="82">
        <f>IF(Consultas!Z74='Parâmetros'!$E$1,2,-8)</f>
        <v>2</v>
      </c>
      <c r="Z74" s="82">
        <f>IF(Consultas!AA74='Parâmetros'!$E$1,-15,1)</f>
        <v>1</v>
      </c>
      <c r="AA74" s="147" t="s">
        <v>140</v>
      </c>
      <c r="AB74" s="82">
        <f>IF(E74="NA","NA",IF(E74&gt;'Parâmetros'!$A$9,8,IF(E74&gt;'Parâmetros'!$A$8,4,IF(E74&gt;'Parâmetros'!$A$7,0,-6))))</f>
        <v>0</v>
      </c>
      <c r="AC74" s="82">
        <f>IF(Consultas!AC74='Parâmetros'!$E$1,0,5)</f>
        <v>0</v>
      </c>
      <c r="AD74" s="82">
        <f>IF(Consultas!AH74='Parâmetros'!$D$1,-10,5)</f>
        <v>5</v>
      </c>
      <c r="AE74" s="82">
        <f>IF(Consultas!AI74&gt;(Consultas!F74*2),-10,0)</f>
        <v>0</v>
      </c>
      <c r="AF74" s="82">
        <f>IF(Consultas!AD74&gt;1,(IF(Consultas!AI74&gt;(Consultas!AD74),-20,4)))</f>
        <v>4</v>
      </c>
      <c r="AG74" s="82">
        <f>IF(Consultas!AG74='Parâmetros'!$E$1,0,-6)</f>
        <v>0</v>
      </c>
      <c r="AH74" s="82">
        <f>IF(Consultas!AF74='Parâmetros'!$E$1,1,-5)</f>
        <v>1</v>
      </c>
      <c r="AI74" s="82">
        <f>IF(Consultas!AJ74&gt;700,8,IF(Consultas!AJ74&gt;500,4,IF(Consultas!AJ74&gt;200,-4,IF(Consultas!AJ74&gt;1,-15,-20))))</f>
        <v>-4</v>
      </c>
      <c r="AJ74" s="82">
        <f>IF(Consultas!AD74='Parâmetros'!$E$10,0,IF(Consultas!AD74&gt;'Parâmetros'!$A$30,12,IF(Consultas!AD74&gt;'Parâmetros'!$A$31,6,IF(Consultas!AD74&gt;'Parâmetros'!$A$32,0,IF(Consultas!AD74&gt;'Parâmetros'!$A$33,0,IF(Consultas!AD74&gt;'Parâmetros'!$A$34,-3,IF(Consultas!AD74&gt;'Parâmetros'!$A$35,-7,-1)))))))</f>
        <v>12</v>
      </c>
      <c r="AK74" s="82">
        <f>IF(Consultas!AO74='Parâmetros'!$D$1,3,-3)</f>
        <v>-3</v>
      </c>
      <c r="AL74" s="82">
        <f>IF(Consultas!AP74='Parâmetros'!$D$1,5,-3)</f>
        <v>-3</v>
      </c>
      <c r="AM74" s="82">
        <f>IF(Consultas!AL74="N",-6,0)</f>
        <v>0</v>
      </c>
      <c r="AN74" s="82">
        <f>IF(Consultas!AM74="N",-10,0)</f>
        <v>0</v>
      </c>
      <c r="AO74" s="82">
        <f>IF(Consultas!AN74="S",4,-2)</f>
        <v>-2</v>
      </c>
      <c r="AP74" s="39"/>
      <c r="AQ74" s="165">
        <f>IF(Consultas!F74&gt;1,(SUM(F74:AO74)),"N/A")</f>
        <v>30</v>
      </c>
      <c r="AR74" s="78" t="str">
        <f>IF((Consultas!AD74&gt;'Parâmetros'!$A$31),"X",AJ74+Y74+V74+AC74)</f>
        <v>X</v>
      </c>
      <c r="AS74" s="78" t="str">
        <f>IF((Consultas!AD74&gt;'Parâmetros'!$A$31),"X",(H74+I74+J74+Q74+T74+Y74+Z74+AJ74+AN74))</f>
        <v>X</v>
      </c>
      <c r="AT74" s="78">
        <f>IF((Consultas!AD74&lt;'Parâmetros'!$A$31),"X",(AD74+AC74+AB74))</f>
        <v>5</v>
      </c>
      <c r="AU74" s="78">
        <f t="shared" si="1"/>
        <v>5</v>
      </c>
      <c r="AV74" s="82" t="str">
        <f>IF(AQ74="N/A","N/A",IF(AQ74&gt;5,'Parâmetros'!$A$15,(IF(AU74=AR74,'Parâmetros'!$A$17,IF(AU74=AS74,'Parâmetros'!$A$16,'Parâmetros'!$A$14)))))</f>
        <v>SEM-RISCO</v>
      </c>
      <c r="AW74" s="86" t="str">
        <f>IF(AQ74="N/A","N/A",IF(AV74='Parâmetros'!$A$15,'Parâmetros'!$C$15,(IF(AV74='Parâmetros'!$A$17,'Parâmetros'!$C$17,IF(AV74='Parâmetros'!$A$16,'Parâmetros'!$C$16,IF(AV74='Parâmetros'!$A$14,'Parâmetros'!$C$12))))))</f>
        <v>LIBERADO</v>
      </c>
      <c r="AX74" s="82" t="str">
        <f>IF(Consultas!F74&gt;1,(IF(Consultas!F74&gt;5000,"SOLICITAR PED COMPRA","N/A")))</f>
        <v>N/A</v>
      </c>
      <c r="AY74" s="167" t="str">
        <f>IF(AND(Consultas!M74&lt;&gt;"S", Consultas!H74="S"), "CHECAGEM REVERSA", "N/A")</f>
        <v>N/A</v>
      </c>
      <c r="AZ74" s="167" t="str">
        <f>IF(Consultas!U74="N","PRECISA CORRIGIR END DIVERGENTE","N/A")</f>
        <v>N/A</v>
      </c>
    </row>
    <row r="75" ht="12.0" customHeight="1">
      <c r="A75" s="39" t="s">
        <v>90</v>
      </c>
      <c r="B75" s="82">
        <f>Consultas!B75</f>
        <v>241</v>
      </c>
      <c r="C75" s="82" t="str">
        <f>Consultas!D75</f>
        <v>Metalpleno</v>
      </c>
      <c r="D75" s="96" t="str">
        <f>Consultas!E75</f>
        <v>144594</v>
      </c>
      <c r="E75" s="104">
        <f>IF(Consultas!AB75&gt;0,YEAR('Parâmetros'!$B$1)-YEAR(Consultas!AB75),"NA")</f>
        <v>57</v>
      </c>
      <c r="F75" s="82">
        <f>IF(Consultas!F75&gt;'Parâmetros'!$B$2,-8,0)</f>
        <v>0</v>
      </c>
      <c r="G75" s="82">
        <f>IF(Consultas!H75='Parâmetros'!$E$1,100,0)</f>
        <v>0</v>
      </c>
      <c r="H75" s="82">
        <f>IF(Consultas!I75='Parâmetros'!$E$1,-4,12)</f>
        <v>-4</v>
      </c>
      <c r="I75" s="82">
        <f>IF(Consultas!J75='Parâmetros'!$E$1,1,-13)</f>
        <v>1</v>
      </c>
      <c r="J75" s="82">
        <f>IF(Consultas!K75='Parâmetros'!$E$1,2,-5)</f>
        <v>2</v>
      </c>
      <c r="K75" s="82" t="str">
        <f>IF(Consultas!L75='Parâmetros'!$D$1,"SOLIC CONTRATO DE ENTREGA","N/A")</f>
        <v>SOLIC CONTRATO DE ENTREGA</v>
      </c>
      <c r="L75" s="82">
        <f>IF(Consultas!R75='Parâmetros'!$E$1,1,-3)</f>
        <v>1</v>
      </c>
      <c r="M75" s="82">
        <f>IF(Consultas!S75&gt;1,(IF(Consultas!S75='Parâmetros'!$E$1,-3,9)))</f>
        <v>-3</v>
      </c>
      <c r="N75" s="82">
        <f>IF(Consultas!T75="S",23,0)</f>
        <v>0</v>
      </c>
      <c r="O75" s="82">
        <f>IF(Consultas!U75='Parâmetros'!$E$1,-3,3)</f>
        <v>3</v>
      </c>
      <c r="P75" s="82">
        <f>IF(Consultas!V75='Parâmetros'!$E$1,-100,2)</f>
        <v>2</v>
      </c>
      <c r="Q75" s="82">
        <f>IF(Consultas!M75='Parâmetros'!$D$1,2,-9)</f>
        <v>2</v>
      </c>
      <c r="R75" s="82">
        <f>IF(Consultas!N75="RJ",-12,0)</f>
        <v>0</v>
      </c>
      <c r="S75" s="82">
        <f>IF(Consultas!O75="-",-3,IF(Consultas!O75=0,-6,IF(Consultas!O75=5,0,IF(Consultas!O75=10,6))))</f>
        <v>0</v>
      </c>
      <c r="T75" s="82">
        <f>IF(Consultas!M75="S",0,(IF(Consultas!P75="S",6,0)))</f>
        <v>0</v>
      </c>
      <c r="U75" s="82">
        <f>IF(Consultas!Q75&gt;97,9,IF(Consultas!Q75&gt;75,0,-7))</f>
        <v>9</v>
      </c>
      <c r="V75" s="82">
        <f>IF(Consultas!W75='Parâmetros'!$E$1,1,-5)</f>
        <v>1</v>
      </c>
      <c r="W75" s="82">
        <f>IF(Consultas!X75="S",3,-3)</f>
        <v>3</v>
      </c>
      <c r="X75" s="82">
        <f>IF(Consultas!Y75="S",0,-7)</f>
        <v>0</v>
      </c>
      <c r="Y75" s="82">
        <f>IF(Consultas!Z75='Parâmetros'!$E$1,2,-8)</f>
        <v>2</v>
      </c>
      <c r="Z75" s="82">
        <f>IF(Consultas!AA75='Parâmetros'!$E$1,-15,1)</f>
        <v>1</v>
      </c>
      <c r="AA75" s="147" t="s">
        <v>140</v>
      </c>
      <c r="AB75" s="82">
        <f>IF(E75="NA","NA",IF(E75&gt;'Parâmetros'!$A$9,8,IF(E75&gt;'Parâmetros'!$A$8,4,IF(E75&gt;'Parâmetros'!$A$7,0,-6))))</f>
        <v>8</v>
      </c>
      <c r="AC75" s="82">
        <f>IF(Consultas!AC75='Parâmetros'!$E$1,0,5)</f>
        <v>5</v>
      </c>
      <c r="AD75" s="82">
        <f>IF(Consultas!AH75='Parâmetros'!$D$1,-10,5)</f>
        <v>-10</v>
      </c>
      <c r="AE75" s="82">
        <f>IF(Consultas!AI75&gt;(Consultas!F75*2),-10,0)</f>
        <v>0</v>
      </c>
      <c r="AF75" s="82">
        <f>IF(Consultas!AD75&gt;1,(IF(Consultas!AI75&gt;(Consultas!AD75),-20,4)))</f>
        <v>4</v>
      </c>
      <c r="AG75" s="82">
        <f>IF(Consultas!AG75='Parâmetros'!$E$1,0,-6)</f>
        <v>0</v>
      </c>
      <c r="AH75" s="82">
        <f>IF(Consultas!AF75='Parâmetros'!$E$1,1,-5)</f>
        <v>1</v>
      </c>
      <c r="AI75" s="82">
        <f>IF(Consultas!AJ75&gt;700,8,IF(Consultas!AJ75&gt;500,4,IF(Consultas!AJ75&gt;200,-4,IF(Consultas!AJ75&gt;1,-15,-20))))</f>
        <v>-4</v>
      </c>
      <c r="AJ75" s="82">
        <f>IF(Consultas!AD75='Parâmetros'!$E$10,0,IF(Consultas!AD75&gt;'Parâmetros'!$A$30,12,IF(Consultas!AD75&gt;'Parâmetros'!$A$31,6,IF(Consultas!AD75&gt;'Parâmetros'!$A$32,0,IF(Consultas!AD75&gt;'Parâmetros'!$A$33,0,IF(Consultas!AD75&gt;'Parâmetros'!$A$34,-3,IF(Consultas!AD75&gt;'Parâmetros'!$A$35,-7,-1)))))))</f>
        <v>12</v>
      </c>
      <c r="AK75" s="82">
        <f>IF(Consultas!AO75='Parâmetros'!$D$1,3,-3)</f>
        <v>-3</v>
      </c>
      <c r="AL75" s="82">
        <f>IF(Consultas!AP75='Parâmetros'!$D$1,5,-3)</f>
        <v>-3</v>
      </c>
      <c r="AM75" s="82">
        <f>IF(Consultas!AL75="N",-6,0)</f>
        <v>0</v>
      </c>
      <c r="AN75" s="82">
        <f>IF(Consultas!AM75="N",-10,0)</f>
        <v>0</v>
      </c>
      <c r="AO75" s="82">
        <f>IF(Consultas!AN75="S",4,-2)</f>
        <v>-2</v>
      </c>
      <c r="AP75" s="39"/>
      <c r="AQ75" s="165">
        <f>IF(Consultas!F75&gt;1,(SUM(F75:AO75)),"N/A")</f>
        <v>28</v>
      </c>
      <c r="AR75" s="78" t="str">
        <f>IF((Consultas!AD75&gt;'Parâmetros'!$A$31),"X",AJ75+Y75+V75+AC75)</f>
        <v>X</v>
      </c>
      <c r="AS75" s="78" t="str">
        <f>IF((Consultas!AD75&gt;'Parâmetros'!$A$31),"X",(H75+I75+J75+Q75+T75+Y75+Z75+AJ75+AN75))</f>
        <v>X</v>
      </c>
      <c r="AT75" s="78">
        <f>IF((Consultas!AD75&lt;'Parâmetros'!$A$31),"X",(AD75+AC75+AB75))</f>
        <v>3</v>
      </c>
      <c r="AU75" s="78">
        <f t="shared" si="1"/>
        <v>3</v>
      </c>
      <c r="AV75" s="82" t="str">
        <f>IF(AQ75="N/A","N/A",IF(AQ75&gt;5,'Parâmetros'!$A$15,(IF(AU75=AR75,'Parâmetros'!$A$17,IF(AU75=AS75,'Parâmetros'!$A$16,'Parâmetros'!$A$14)))))</f>
        <v>SEM-RISCO</v>
      </c>
      <c r="AW75" s="86" t="str">
        <f>IF(AQ75="N/A","N/A",IF(AV75='Parâmetros'!$A$15,'Parâmetros'!$C$15,(IF(AV75='Parâmetros'!$A$17,'Parâmetros'!$C$17,IF(AV75='Parâmetros'!$A$16,'Parâmetros'!$C$16,IF(AV75='Parâmetros'!$A$14,'Parâmetros'!$C$12))))))</f>
        <v>LIBERADO</v>
      </c>
      <c r="AX75" s="82" t="str">
        <f>IF(Consultas!F75&gt;1,(IF(Consultas!F75&gt;5000,"SOLICITAR PED COMPRA","N/A")))</f>
        <v>SOLICITAR PED COMPRA</v>
      </c>
      <c r="AY75" s="167" t="str">
        <f>IF(AND(Consultas!M75&lt;&gt;"S", Consultas!H75="S"), "CHECAGEM REVERSA", "N/A")</f>
        <v>N/A</v>
      </c>
      <c r="AZ75" s="167" t="str">
        <f>IF(Consultas!U75="N","PRECISA CORRIGIR END DIVERGENTE","N/A")</f>
        <v>N/A</v>
      </c>
    </row>
    <row r="76" ht="12.0" customHeight="1">
      <c r="A76" s="39" t="s">
        <v>90</v>
      </c>
      <c r="B76" s="82">
        <f>Consultas!B76</f>
        <v>577</v>
      </c>
      <c r="C76" s="82" t="str">
        <f>Consultas!D76</f>
        <v>Oaco</v>
      </c>
      <c r="D76" s="96" t="str">
        <f>Consultas!E76</f>
        <v>027891</v>
      </c>
      <c r="E76" s="104">
        <f>IF(Consultas!AB76&gt;0,YEAR('Parâmetros'!$B$1)-YEAR(Consultas!AB76),"NA")</f>
        <v>23</v>
      </c>
      <c r="F76" s="82">
        <f>IF(Consultas!F76&gt;'Parâmetros'!$B$2,-8,0)</f>
        <v>0</v>
      </c>
      <c r="G76" s="82">
        <f>IF(Consultas!H76='Parâmetros'!$E$1,100,0)</f>
        <v>0</v>
      </c>
      <c r="H76" s="82">
        <f>IF(Consultas!I76='Parâmetros'!$E$1,-4,12)</f>
        <v>-4</v>
      </c>
      <c r="I76" s="82">
        <f>IF(Consultas!J76='Parâmetros'!$E$1,1,-13)</f>
        <v>1</v>
      </c>
      <c r="J76" s="82">
        <f>IF(Consultas!K76='Parâmetros'!$E$1,2,-5)</f>
        <v>2</v>
      </c>
      <c r="K76" s="82" t="str">
        <f>IF(Consultas!L76='Parâmetros'!$D$1,"SOLIC CONTRATO DE ENTREGA","N/A")</f>
        <v>N/A</v>
      </c>
      <c r="L76" s="82">
        <f>IF(Consultas!R76='Parâmetros'!$E$1,1,-3)</f>
        <v>-3</v>
      </c>
      <c r="M76" s="82">
        <f>IF(Consultas!S76&gt;1,(IF(Consultas!S76='Parâmetros'!$E$1,-3,9)))</f>
        <v>9</v>
      </c>
      <c r="N76" s="82">
        <f>IF(Consultas!T76="S",23,0)</f>
        <v>0</v>
      </c>
      <c r="O76" s="82">
        <f>IF(Consultas!U76='Parâmetros'!$E$1,-3,3)</f>
        <v>3</v>
      </c>
      <c r="P76" s="82">
        <f>IF(Consultas!V76='Parâmetros'!$E$1,-100,2)</f>
        <v>2</v>
      </c>
      <c r="Q76" s="82">
        <f>IF(Consultas!M76='Parâmetros'!$D$1,2,-9)</f>
        <v>2</v>
      </c>
      <c r="R76" s="82">
        <f>IF(Consultas!N76="RJ",-12,0)</f>
        <v>0</v>
      </c>
      <c r="S76" s="82">
        <f>IF(Consultas!O76="-",-3,IF(Consultas!O76=0,-6,IF(Consultas!O76=5,0,IF(Consultas!O76=10,6))))</f>
        <v>0</v>
      </c>
      <c r="T76" s="82">
        <f>IF(Consultas!M76="S",0,(IF(Consultas!P76="S",6,0)))</f>
        <v>0</v>
      </c>
      <c r="U76" s="82">
        <f>IF(Consultas!Q76&gt;97,9,IF(Consultas!Q76&gt;75,0,-7))</f>
        <v>9</v>
      </c>
      <c r="V76" s="82">
        <f>IF(Consultas!W76='Parâmetros'!$E$1,1,-5)</f>
        <v>1</v>
      </c>
      <c r="W76" s="82">
        <f>IF(Consultas!X76="S",3,-3)</f>
        <v>3</v>
      </c>
      <c r="X76" s="82">
        <f>IF(Consultas!Y76="S",0,-7)</f>
        <v>0</v>
      </c>
      <c r="Y76" s="82">
        <f>IF(Consultas!Z76='Parâmetros'!$E$1,2,-8)</f>
        <v>2</v>
      </c>
      <c r="Z76" s="82">
        <f>IF(Consultas!AA76='Parâmetros'!$E$1,-15,1)</f>
        <v>1</v>
      </c>
      <c r="AA76" s="147" t="s">
        <v>140</v>
      </c>
      <c r="AB76" s="82">
        <f>IF(E76="NA","NA",IF(E76&gt;'Parâmetros'!$A$9,8,IF(E76&gt;'Parâmetros'!$A$8,4,IF(E76&gt;'Parâmetros'!$A$7,0,-6))))</f>
        <v>4</v>
      </c>
      <c r="AC76" s="82">
        <f>IF(Consultas!AC76='Parâmetros'!$E$1,0,5)</f>
        <v>0</v>
      </c>
      <c r="AD76" s="82">
        <f>IF(Consultas!AH76='Parâmetros'!$D$1,-10,5)</f>
        <v>5</v>
      </c>
      <c r="AE76" s="82">
        <f>IF(Consultas!AI76&gt;(Consultas!F76*2),-10,0)</f>
        <v>0</v>
      </c>
      <c r="AF76" s="82">
        <f>IF(Consultas!AD76&gt;1,(IF(Consultas!AI76&gt;(Consultas!AD76),-20,4)))</f>
        <v>4</v>
      </c>
      <c r="AG76" s="82">
        <f>IF(Consultas!AG76='Parâmetros'!$E$1,0,-6)</f>
        <v>0</v>
      </c>
      <c r="AH76" s="82">
        <f>IF(Consultas!AF76='Parâmetros'!$E$1,1,-5)</f>
        <v>1</v>
      </c>
      <c r="AI76" s="82">
        <f>IF(Consultas!AJ76&gt;700,8,IF(Consultas!AJ76&gt;500,4,IF(Consultas!AJ76&gt;200,-4,IF(Consultas!AJ76&gt;1,-15,-20))))</f>
        <v>8</v>
      </c>
      <c r="AJ76" s="82">
        <f>IF(Consultas!AD76='Parâmetros'!$E$10,0,IF(Consultas!AD76&gt;'Parâmetros'!$A$30,12,IF(Consultas!AD76&gt;'Parâmetros'!$A$31,6,IF(Consultas!AD76&gt;'Parâmetros'!$A$32,0,IF(Consultas!AD76&gt;'Parâmetros'!$A$33,0,IF(Consultas!AD76&gt;'Parâmetros'!$A$34,-3,IF(Consultas!AD76&gt;'Parâmetros'!$A$35,-7,-1)))))))</f>
        <v>12</v>
      </c>
      <c r="AK76" s="82">
        <f>IF(Consultas!AO76='Parâmetros'!$D$1,3,-3)</f>
        <v>-3</v>
      </c>
      <c r="AL76" s="82">
        <f>IF(Consultas!AP76='Parâmetros'!$D$1,5,-3)</f>
        <v>-3</v>
      </c>
      <c r="AM76" s="82">
        <f>IF(Consultas!AL76="N",-6,0)</f>
        <v>0</v>
      </c>
      <c r="AN76" s="82">
        <f>IF(Consultas!AM76="N",-10,0)</f>
        <v>0</v>
      </c>
      <c r="AO76" s="82">
        <f>IF(Consultas!AN76="S",4,-2)</f>
        <v>-2</v>
      </c>
      <c r="AP76" s="39"/>
      <c r="AQ76" s="165">
        <f>IF(Consultas!F76&gt;1,(SUM(F76:AO76)),"N/A")</f>
        <v>54</v>
      </c>
      <c r="AR76" s="78" t="str">
        <f>IF((Consultas!AD76&gt;'Parâmetros'!$A$31),"X",AJ76+Y76+V76+AC76)</f>
        <v>X</v>
      </c>
      <c r="AS76" s="78" t="str">
        <f>IF((Consultas!AD76&gt;'Parâmetros'!$A$31),"X",(H76+I76+J76+Q76+T76+Y76+Z76+AJ76+AN76))</f>
        <v>X</v>
      </c>
      <c r="AT76" s="78">
        <f>IF((Consultas!AD76&lt;'Parâmetros'!$A$31),"X",(AD76+AC76+AB76))</f>
        <v>9</v>
      </c>
      <c r="AU76" s="78">
        <f t="shared" si="1"/>
        <v>9</v>
      </c>
      <c r="AV76" s="82" t="str">
        <f>IF(AQ76="N/A","N/A",IF(AQ76&gt;5,'Parâmetros'!$A$15,(IF(AU76=AR76,'Parâmetros'!$A$17,IF(AU76=AS76,'Parâmetros'!$A$16,'Parâmetros'!$A$14)))))</f>
        <v>SEM-RISCO</v>
      </c>
      <c r="AW76" s="86" t="str">
        <f>IF(AQ76="N/A","N/A",IF(AV76='Parâmetros'!$A$15,'Parâmetros'!$C$15,(IF(AV76='Parâmetros'!$A$17,'Parâmetros'!$C$17,IF(AV76='Parâmetros'!$A$16,'Parâmetros'!$C$16,IF(AV76='Parâmetros'!$A$14,'Parâmetros'!$C$12))))))</f>
        <v>LIBERADO</v>
      </c>
      <c r="AX76" s="82" t="str">
        <f>IF(Consultas!F76&gt;1,(IF(Consultas!F76&gt;5000,"SOLICITAR PED COMPRA","N/A")))</f>
        <v>N/A</v>
      </c>
      <c r="AY76" s="167" t="str">
        <f>IF(AND(Consultas!M76&lt;&gt;"S", Consultas!H76="S"), "CHECAGEM REVERSA", "N/A")</f>
        <v>N/A</v>
      </c>
      <c r="AZ76" s="167" t="str">
        <f>IF(Consultas!U76="N","PRECISA CORRIGIR END DIVERGENTE","N/A")</f>
        <v>N/A</v>
      </c>
    </row>
    <row r="77" ht="12.0" customHeight="1">
      <c r="A77" s="39" t="s">
        <v>90</v>
      </c>
      <c r="B77" s="82">
        <f>Consultas!B77</f>
        <v>242</v>
      </c>
      <c r="C77" s="82" t="str">
        <f>Consultas!D77</f>
        <v>Metalpleno</v>
      </c>
      <c r="D77" s="96" t="str">
        <f>Consultas!E77</f>
        <v>144071</v>
      </c>
      <c r="E77" s="104">
        <f>IF(Consultas!AB77&gt;0,YEAR('Parâmetros'!$B$1)-YEAR(Consultas!AB77),"NA")</f>
        <v>32</v>
      </c>
      <c r="F77" s="82">
        <f>IF(Consultas!F77&gt;'Parâmetros'!$B$2,-8,0)</f>
        <v>0</v>
      </c>
      <c r="G77" s="82">
        <f>IF(Consultas!H77='Parâmetros'!$E$1,100,0)</f>
        <v>0</v>
      </c>
      <c r="H77" s="82">
        <f>IF(Consultas!I77='Parâmetros'!$E$1,-4,12)</f>
        <v>-4</v>
      </c>
      <c r="I77" s="82">
        <f>IF(Consultas!J77='Parâmetros'!$E$1,1,-13)</f>
        <v>1</v>
      </c>
      <c r="J77" s="82">
        <f>IF(Consultas!K77='Parâmetros'!$E$1,2,-5)</f>
        <v>2</v>
      </c>
      <c r="K77" s="82" t="str">
        <f>IF(Consultas!L77='Parâmetros'!$D$1,"SOLIC CONTRATO DE ENTREGA","N/A")</f>
        <v>N/A</v>
      </c>
      <c r="L77" s="82">
        <f>IF(Consultas!R77='Parâmetros'!$E$1,1,-3)</f>
        <v>1</v>
      </c>
      <c r="M77" s="82">
        <f>IF(Consultas!S77&gt;1,(IF(Consultas!S77='Parâmetros'!$E$1,-3,9)))</f>
        <v>9</v>
      </c>
      <c r="N77" s="82">
        <f>IF(Consultas!T77="S",23,0)</f>
        <v>0</v>
      </c>
      <c r="O77" s="82">
        <f>IF(Consultas!U77='Parâmetros'!$E$1,-3,3)</f>
        <v>3</v>
      </c>
      <c r="P77" s="82">
        <f>IF(Consultas!V77='Parâmetros'!$E$1,-100,2)</f>
        <v>2</v>
      </c>
      <c r="Q77" s="82">
        <f>IF(Consultas!M77='Parâmetros'!$D$1,2,-9)</f>
        <v>-9</v>
      </c>
      <c r="R77" s="82">
        <f>IF(Consultas!N77="RJ",-12,0)</f>
        <v>0</v>
      </c>
      <c r="S77" s="82">
        <f>IF(Consultas!O77="-",-3,IF(Consultas!O77=0,-6,IF(Consultas!O77=5,0,IF(Consultas!O77=10,6))))</f>
        <v>-6</v>
      </c>
      <c r="T77" s="82">
        <f>IF(Consultas!M77="S",0,(IF(Consultas!P77="S",6,0)))</f>
        <v>6</v>
      </c>
      <c r="U77" s="82">
        <f>IF(Consultas!Q77&gt;97,9,IF(Consultas!Q77&gt;75,0,-7))</f>
        <v>9</v>
      </c>
      <c r="V77" s="82">
        <f>IF(Consultas!W77='Parâmetros'!$E$1,1,-5)</f>
        <v>1</v>
      </c>
      <c r="W77" s="82">
        <f>IF(Consultas!X77="S",3,-3)</f>
        <v>3</v>
      </c>
      <c r="X77" s="82">
        <f>IF(Consultas!Y77="S",0,-7)</f>
        <v>0</v>
      </c>
      <c r="Y77" s="82">
        <f>IF(Consultas!Z77='Parâmetros'!$E$1,2,-8)</f>
        <v>2</v>
      </c>
      <c r="Z77" s="82">
        <f>IF(Consultas!AA77='Parâmetros'!$E$1,-15,1)</f>
        <v>1</v>
      </c>
      <c r="AA77" s="147" t="s">
        <v>140</v>
      </c>
      <c r="AB77" s="82">
        <f>IF(E77="NA","NA",IF(E77&gt;'Parâmetros'!$A$9,8,IF(E77&gt;'Parâmetros'!$A$8,4,IF(E77&gt;'Parâmetros'!$A$7,0,-6))))</f>
        <v>8</v>
      </c>
      <c r="AC77" s="82">
        <f>IF(Consultas!AC77='Parâmetros'!$E$1,0,5)</f>
        <v>5</v>
      </c>
      <c r="AD77" s="82">
        <f>IF(Consultas!AH77='Parâmetros'!$D$1,-10,5)</f>
        <v>-10</v>
      </c>
      <c r="AE77" s="82">
        <f>IF(Consultas!AI77&gt;(Consultas!F77*2),-10,0)</f>
        <v>-10</v>
      </c>
      <c r="AF77" s="82">
        <f>IF(Consultas!AD77&gt;1,(IF(Consultas!AI77&gt;(Consultas!AD77),-20,4)))</f>
        <v>4</v>
      </c>
      <c r="AG77" s="82">
        <f>IF(Consultas!AG77='Parâmetros'!$E$1,0,-6)</f>
        <v>0</v>
      </c>
      <c r="AH77" s="82">
        <f>IF(Consultas!AF77='Parâmetros'!$E$1,1,-5)</f>
        <v>-5</v>
      </c>
      <c r="AI77" s="82">
        <f>IF(Consultas!AJ77&gt;700,8,IF(Consultas!AJ77&gt;500,4,IF(Consultas!AJ77&gt;200,-4,IF(Consultas!AJ77&gt;1,-15,-20))))</f>
        <v>4</v>
      </c>
      <c r="AJ77" s="82">
        <f>IF(Consultas!AD77='Parâmetros'!$E$10,0,IF(Consultas!AD77&gt;'Parâmetros'!$A$30,12,IF(Consultas!AD77&gt;'Parâmetros'!$A$31,6,IF(Consultas!AD77&gt;'Parâmetros'!$A$32,0,IF(Consultas!AD77&gt;'Parâmetros'!$A$33,0,IF(Consultas!AD77&gt;'Parâmetros'!$A$34,-3,IF(Consultas!AD77&gt;'Parâmetros'!$A$35,-7,-1)))))))</f>
        <v>12</v>
      </c>
      <c r="AK77" s="82">
        <f>IF(Consultas!AO77='Parâmetros'!$D$1,3,-3)</f>
        <v>-3</v>
      </c>
      <c r="AL77" s="82">
        <f>IF(Consultas!AP77='Parâmetros'!$D$1,5,-3)</f>
        <v>-3</v>
      </c>
      <c r="AM77" s="82">
        <f>IF(Consultas!AL77="N",-6,0)</f>
        <v>0</v>
      </c>
      <c r="AN77" s="82">
        <f>IF(Consultas!AM77="N",-10,0)</f>
        <v>0</v>
      </c>
      <c r="AO77" s="82">
        <f>IF(Consultas!AN77="S",4,-2)</f>
        <v>-2</v>
      </c>
      <c r="AP77" s="39"/>
      <c r="AQ77" s="165">
        <f>IF(Consultas!F77&gt;1,(SUM(F77:AO77)),"N/A")</f>
        <v>21</v>
      </c>
      <c r="AR77" s="78" t="str">
        <f>IF((Consultas!AD77&gt;'Parâmetros'!$A$31),"X",AJ77+Y77+V77+AC77)</f>
        <v>X</v>
      </c>
      <c r="AS77" s="78" t="str">
        <f>IF((Consultas!AD77&gt;'Parâmetros'!$A$31),"X",(H77+I77+J77+Q77+T77+Y77+Z77+AJ77+AN77))</f>
        <v>X</v>
      </c>
      <c r="AT77" s="78">
        <f>IF((Consultas!AD77&lt;'Parâmetros'!$A$31),"X",(AD77+AC77+AB77))</f>
        <v>3</v>
      </c>
      <c r="AU77" s="78">
        <f t="shared" si="1"/>
        <v>3</v>
      </c>
      <c r="AV77" s="82" t="str">
        <f>IF(AQ77="N/A","N/A",IF(AQ77&gt;5,'Parâmetros'!$A$15,(IF(AU77=AR77,'Parâmetros'!$A$17,IF(AU77=AS77,'Parâmetros'!$A$16,'Parâmetros'!$A$14)))))</f>
        <v>SEM-RISCO</v>
      </c>
      <c r="AW77" s="86" t="str">
        <f>IF(AQ77="N/A","N/A",IF(AV77='Parâmetros'!$A$15,'Parâmetros'!$C$15,(IF(AV77='Parâmetros'!$A$17,'Parâmetros'!$C$17,IF(AV77='Parâmetros'!$A$16,'Parâmetros'!$C$16,IF(AV77='Parâmetros'!$A$14,'Parâmetros'!$C$12))))))</f>
        <v>LIBERADO</v>
      </c>
      <c r="AX77" s="82" t="str">
        <f>IF(Consultas!F77&gt;1,(IF(Consultas!F77&gt;5000,"SOLICITAR PED COMPRA","N/A")))</f>
        <v>N/A</v>
      </c>
      <c r="AY77" s="167" t="str">
        <f>IF(AND(Consultas!M77&lt;&gt;"S", Consultas!H77="S"), "CHECAGEM REVERSA", "N/A")</f>
        <v>CHECAGEM REVERSA</v>
      </c>
      <c r="AZ77" s="167" t="str">
        <f>IF(Consultas!U77="N","PRECISA CORRIGIR END DIVERGENTE","N/A")</f>
        <v>N/A</v>
      </c>
    </row>
    <row r="78" ht="12.0" customHeight="1">
      <c r="A78" s="39" t="s">
        <v>90</v>
      </c>
      <c r="B78" s="82">
        <f>Consultas!B78</f>
        <v>579</v>
      </c>
      <c r="C78" s="82" t="str">
        <f>Consultas!D78</f>
        <v>Oaco</v>
      </c>
      <c r="D78" s="96" t="str">
        <f>Consultas!E78</f>
        <v>144598</v>
      </c>
      <c r="E78" s="104">
        <f>IF(Consultas!AB78&gt;0,YEAR('Parâmetros'!$B$1)-YEAR(Consultas!AB78),"NA")</f>
        <v>64</v>
      </c>
      <c r="F78" s="82">
        <f>IF(Consultas!F78&gt;'Parâmetros'!$B$2,-8,0)</f>
        <v>0</v>
      </c>
      <c r="G78" s="82">
        <f>IF(Consultas!H78='Parâmetros'!$E$1,100,0)</f>
        <v>0</v>
      </c>
      <c r="H78" s="82">
        <f>IF(Consultas!I78='Parâmetros'!$E$1,-4,12)</f>
        <v>-4</v>
      </c>
      <c r="I78" s="82">
        <f>IF(Consultas!J78='Parâmetros'!$E$1,1,-13)</f>
        <v>1</v>
      </c>
      <c r="J78" s="82">
        <f>IF(Consultas!K78='Parâmetros'!$E$1,2,-5)</f>
        <v>2</v>
      </c>
      <c r="K78" s="82" t="str">
        <f>IF(Consultas!L78='Parâmetros'!$D$1,"SOLIC CONTRATO DE ENTREGA","N/A")</f>
        <v>SOLIC CONTRATO DE ENTREGA</v>
      </c>
      <c r="L78" s="82">
        <f>IF(Consultas!R78='Parâmetros'!$E$1,1,-3)</f>
        <v>1</v>
      </c>
      <c r="M78" s="82">
        <f>IF(Consultas!S78&gt;1,(IF(Consultas!S78='Parâmetros'!$E$1,-3,9)))</f>
        <v>-3</v>
      </c>
      <c r="N78" s="82">
        <f>IF(Consultas!T78="S",23,0)</f>
        <v>0</v>
      </c>
      <c r="O78" s="82">
        <f>IF(Consultas!U78='Parâmetros'!$E$1,-3,3)</f>
        <v>3</v>
      </c>
      <c r="P78" s="82">
        <f>IF(Consultas!V78='Parâmetros'!$E$1,-100,2)</f>
        <v>2</v>
      </c>
      <c r="Q78" s="82">
        <f>IF(Consultas!M78='Parâmetros'!$D$1,2,-9)</f>
        <v>2</v>
      </c>
      <c r="R78" s="82">
        <f>IF(Consultas!N78="RJ",-12,0)</f>
        <v>0</v>
      </c>
      <c r="S78" s="82">
        <f>IF(Consultas!O78="-",-3,IF(Consultas!O78=0,-6,IF(Consultas!O78=5,0,IF(Consultas!O78=10,6))))</f>
        <v>0</v>
      </c>
      <c r="T78" s="82">
        <f>IF(Consultas!M78="S",0,(IF(Consultas!P78="S",6,0)))</f>
        <v>0</v>
      </c>
      <c r="U78" s="82">
        <f>IF(Consultas!Q78&gt;97,9,IF(Consultas!Q78&gt;75,0,-7))</f>
        <v>9</v>
      </c>
      <c r="V78" s="82">
        <f>IF(Consultas!W78='Parâmetros'!$E$1,1,-5)</f>
        <v>1</v>
      </c>
      <c r="W78" s="82">
        <f>IF(Consultas!X78="S",3,-3)</f>
        <v>3</v>
      </c>
      <c r="X78" s="82">
        <f>IF(Consultas!Y78="S",0,-7)</f>
        <v>0</v>
      </c>
      <c r="Y78" s="82">
        <f>IF(Consultas!Z78='Parâmetros'!$E$1,2,-8)</f>
        <v>2</v>
      </c>
      <c r="Z78" s="82">
        <f>IF(Consultas!AA78='Parâmetros'!$E$1,-15,1)</f>
        <v>1</v>
      </c>
      <c r="AA78" s="147" t="s">
        <v>140</v>
      </c>
      <c r="AB78" s="82">
        <f>IF(E78="NA","NA",IF(E78&gt;'Parâmetros'!$A$9,8,IF(E78&gt;'Parâmetros'!$A$8,4,IF(E78&gt;'Parâmetros'!$A$7,0,-6))))</f>
        <v>8</v>
      </c>
      <c r="AC78" s="82">
        <f>IF(Consultas!AC78='Parâmetros'!$E$1,0,5)</f>
        <v>0</v>
      </c>
      <c r="AD78" s="82">
        <f>IF(Consultas!AH78='Parâmetros'!$D$1,-10,5)</f>
        <v>5</v>
      </c>
      <c r="AE78" s="82">
        <f>IF(Consultas!AI78&gt;(Consultas!F78*2),-10,0)</f>
        <v>0</v>
      </c>
      <c r="AF78" s="82">
        <f>IF(Consultas!AD78&gt;1,(IF(Consultas!AI78&gt;(Consultas!AD78),-20,4)))</f>
        <v>4</v>
      </c>
      <c r="AG78" s="82">
        <f>IF(Consultas!AG78='Parâmetros'!$E$1,0,-6)</f>
        <v>0</v>
      </c>
      <c r="AH78" s="82">
        <f>IF(Consultas!AF78='Parâmetros'!$E$1,1,-5)</f>
        <v>-5</v>
      </c>
      <c r="AI78" s="82">
        <f>IF(Consultas!AJ78&gt;700,8,IF(Consultas!AJ78&gt;500,4,IF(Consultas!AJ78&gt;200,-4,IF(Consultas!AJ78&gt;1,-15,-20))))</f>
        <v>4</v>
      </c>
      <c r="AJ78" s="82">
        <f>IF(Consultas!AD78='Parâmetros'!$E$10,0,IF(Consultas!AD78&gt;'Parâmetros'!$A$30,12,IF(Consultas!AD78&gt;'Parâmetros'!$A$31,6,IF(Consultas!AD78&gt;'Parâmetros'!$A$32,0,IF(Consultas!AD78&gt;'Parâmetros'!$A$33,0,IF(Consultas!AD78&gt;'Parâmetros'!$A$34,-3,IF(Consultas!AD78&gt;'Parâmetros'!$A$35,-7,-1)))))))</f>
        <v>12</v>
      </c>
      <c r="AK78" s="82">
        <f>IF(Consultas!AO78='Parâmetros'!$D$1,3,-3)</f>
        <v>-3</v>
      </c>
      <c r="AL78" s="82">
        <f>IF(Consultas!AP78='Parâmetros'!$D$1,5,-3)</f>
        <v>-3</v>
      </c>
      <c r="AM78" s="82">
        <f>IF(Consultas!AL78="N",-6,0)</f>
        <v>0</v>
      </c>
      <c r="AN78" s="82">
        <f>IF(Consultas!AM78="N",-10,0)</f>
        <v>0</v>
      </c>
      <c r="AO78" s="82">
        <f>IF(Consultas!AN78="S",4,-2)</f>
        <v>-2</v>
      </c>
      <c r="AP78" s="39"/>
      <c r="AQ78" s="165">
        <f>IF(Consultas!F78&gt;1,(SUM(F78:AO78)),"N/A")</f>
        <v>40</v>
      </c>
      <c r="AR78" s="78" t="str">
        <f>IF((Consultas!AD78&gt;'Parâmetros'!$A$31),"X",AJ78+Y78+V78+AC78)</f>
        <v>X</v>
      </c>
      <c r="AS78" s="78" t="str">
        <f>IF((Consultas!AD78&gt;'Parâmetros'!$A$31),"X",(H78+I78+J78+Q78+T78+Y78+Z78+AJ78+AN78))</f>
        <v>X</v>
      </c>
      <c r="AT78" s="78">
        <f>IF((Consultas!AD78&lt;'Parâmetros'!$A$31),"X",(AD78+AC78+AB78))</f>
        <v>13</v>
      </c>
      <c r="AU78" s="78">
        <f t="shared" si="1"/>
        <v>13</v>
      </c>
      <c r="AV78" s="82" t="str">
        <f>IF(AQ78="N/A","N/A",IF(AQ78&gt;5,'Parâmetros'!$A$15,(IF(AU78=AR78,'Parâmetros'!$A$17,IF(AU78=AS78,'Parâmetros'!$A$16,'Parâmetros'!$A$14)))))</f>
        <v>SEM-RISCO</v>
      </c>
      <c r="AW78" s="86" t="str">
        <f>IF(AQ78="N/A","N/A",IF(AV78='Parâmetros'!$A$15,'Parâmetros'!$C$15,(IF(AV78='Parâmetros'!$A$17,'Parâmetros'!$C$17,IF(AV78='Parâmetros'!$A$16,'Parâmetros'!$C$16,IF(AV78='Parâmetros'!$A$14,'Parâmetros'!$C$12))))))</f>
        <v>LIBERADO</v>
      </c>
      <c r="AX78" s="82" t="str">
        <f>IF(Consultas!F78&gt;1,(IF(Consultas!F78&gt;5000,"SOLICITAR PED COMPRA","N/A")))</f>
        <v>N/A</v>
      </c>
      <c r="AY78" s="167" t="str">
        <f>IF(AND(Consultas!M78&lt;&gt;"S", Consultas!H78="S"), "CHECAGEM REVERSA", "N/A")</f>
        <v>N/A</v>
      </c>
      <c r="AZ78" s="167" t="str">
        <f>IF(Consultas!U78="N","PRECISA CORRIGIR END DIVERGENTE","N/A")</f>
        <v>N/A</v>
      </c>
    </row>
    <row r="79" ht="12.0" customHeight="1">
      <c r="A79" s="39" t="s">
        <v>90</v>
      </c>
      <c r="B79" s="82">
        <f>Consultas!B79</f>
        <v>580</v>
      </c>
      <c r="C79" s="82" t="str">
        <f>Consultas!D79</f>
        <v>Oaco</v>
      </c>
      <c r="D79" s="96" t="str">
        <f>Consultas!E79</f>
        <v>139192</v>
      </c>
      <c r="E79" s="104">
        <f>IF(Consultas!AB79&gt;0,YEAR('Parâmetros'!$B$1)-YEAR(Consultas!AB79),"NA")</f>
        <v>39</v>
      </c>
      <c r="F79" s="82">
        <f>IF(Consultas!F79&gt;'Parâmetros'!$B$2,-8,0)</f>
        <v>0</v>
      </c>
      <c r="G79" s="82">
        <f>IF(Consultas!H79='Parâmetros'!$E$1,100,0)</f>
        <v>0</v>
      </c>
      <c r="H79" s="82">
        <f>IF(Consultas!I79='Parâmetros'!$E$1,-4,12)</f>
        <v>-4</v>
      </c>
      <c r="I79" s="82">
        <f>IF(Consultas!J79='Parâmetros'!$E$1,1,-13)</f>
        <v>1</v>
      </c>
      <c r="J79" s="82">
        <f>IF(Consultas!K79='Parâmetros'!$E$1,2,-5)</f>
        <v>2</v>
      </c>
      <c r="K79" s="82" t="str">
        <f>IF(Consultas!L79='Parâmetros'!$D$1,"SOLIC CONTRATO DE ENTREGA","N/A")</f>
        <v>N/A</v>
      </c>
      <c r="L79" s="82">
        <f>IF(Consultas!R79='Parâmetros'!$E$1,1,-3)</f>
        <v>1</v>
      </c>
      <c r="M79" s="82">
        <f>IF(Consultas!S79&gt;1,(IF(Consultas!S79='Parâmetros'!$E$1,-3,9)))</f>
        <v>9</v>
      </c>
      <c r="N79" s="82">
        <f>IF(Consultas!T79="S",23,0)</f>
        <v>23</v>
      </c>
      <c r="O79" s="82">
        <f>IF(Consultas!U79='Parâmetros'!$E$1,-3,3)</f>
        <v>3</v>
      </c>
      <c r="P79" s="82">
        <f>IF(Consultas!V79='Parâmetros'!$E$1,-100,2)</f>
        <v>2</v>
      </c>
      <c r="Q79" s="82">
        <f>IF(Consultas!M79='Parâmetros'!$D$1,2,-9)</f>
        <v>2</v>
      </c>
      <c r="R79" s="82">
        <f>IF(Consultas!N79="RJ",-12,0)</f>
        <v>0</v>
      </c>
      <c r="S79" s="82">
        <f>IF(Consultas!O79="-",-3,IF(Consultas!O79=0,-6,IF(Consultas!O79=5,0,IF(Consultas!O79=10,6))))</f>
        <v>-3</v>
      </c>
      <c r="T79" s="82">
        <f>IF(Consultas!M79="S",0,(IF(Consultas!P79="S",6,0)))</f>
        <v>0</v>
      </c>
      <c r="U79" s="82">
        <f>IF(Consultas!Q79&gt;97,9,IF(Consultas!Q79&gt;75,0,-7))</f>
        <v>9</v>
      </c>
      <c r="V79" s="82">
        <f>IF(Consultas!W79='Parâmetros'!$E$1,1,-5)</f>
        <v>-5</v>
      </c>
      <c r="W79" s="82">
        <f>IF(Consultas!X79="S",3,-3)</f>
        <v>3</v>
      </c>
      <c r="X79" s="82">
        <f>IF(Consultas!Y79="S",0,-7)</f>
        <v>0</v>
      </c>
      <c r="Y79" s="82">
        <f>IF(Consultas!Z79='Parâmetros'!$E$1,2,-8)</f>
        <v>2</v>
      </c>
      <c r="Z79" s="82">
        <f>IF(Consultas!AA79='Parâmetros'!$E$1,-15,1)</f>
        <v>1</v>
      </c>
      <c r="AA79" s="147" t="s">
        <v>140</v>
      </c>
      <c r="AB79" s="82">
        <f>IF(E79="NA","NA",IF(E79&gt;'Parâmetros'!$A$9,8,IF(E79&gt;'Parâmetros'!$A$8,4,IF(E79&gt;'Parâmetros'!$A$7,0,-6))))</f>
        <v>8</v>
      </c>
      <c r="AC79" s="82">
        <f>IF(Consultas!AC79='Parâmetros'!$E$1,0,5)</f>
        <v>5</v>
      </c>
      <c r="AD79" s="82">
        <f>IF(Consultas!AH79='Parâmetros'!$D$1,-10,5)</f>
        <v>5</v>
      </c>
      <c r="AE79" s="82">
        <f>IF(Consultas!AI79&gt;(Consultas!F79*2),-10,0)</f>
        <v>0</v>
      </c>
      <c r="AF79" s="82">
        <f>IF(Consultas!AD79&gt;1,(IF(Consultas!AI79&gt;(Consultas!AD79),-20,4)))</f>
        <v>4</v>
      </c>
      <c r="AG79" s="82">
        <f>IF(Consultas!AG79='Parâmetros'!$E$1,0,-6)</f>
        <v>0</v>
      </c>
      <c r="AH79" s="82">
        <f>IF(Consultas!AF79='Parâmetros'!$E$1,1,-5)</f>
        <v>1</v>
      </c>
      <c r="AI79" s="82">
        <f>IF(Consultas!AJ79&gt;700,8,IF(Consultas!AJ79&gt;500,4,IF(Consultas!AJ79&gt;200,-4,IF(Consultas!AJ79&gt;1,-15,-20))))</f>
        <v>4</v>
      </c>
      <c r="AJ79" s="82">
        <f>IF(Consultas!AD79='Parâmetros'!$E$10,0,IF(Consultas!AD79&gt;'Parâmetros'!$A$30,12,IF(Consultas!AD79&gt;'Parâmetros'!$A$31,6,IF(Consultas!AD79&gt;'Parâmetros'!$A$32,0,IF(Consultas!AD79&gt;'Parâmetros'!$A$33,0,IF(Consultas!AD79&gt;'Parâmetros'!$A$34,-3,IF(Consultas!AD79&gt;'Parâmetros'!$A$35,-7,-1)))))))</f>
        <v>12</v>
      </c>
      <c r="AK79" s="82">
        <f>IF(Consultas!AO79='Parâmetros'!$D$1,3,-3)</f>
        <v>-3</v>
      </c>
      <c r="AL79" s="82">
        <f>IF(Consultas!AP79='Parâmetros'!$D$1,5,-3)</f>
        <v>-3</v>
      </c>
      <c r="AM79" s="82">
        <f>IF(Consultas!AL79="N",-6,0)</f>
        <v>0</v>
      </c>
      <c r="AN79" s="82">
        <f>IF(Consultas!AM79="N",-10,0)</f>
        <v>0</v>
      </c>
      <c r="AO79" s="82">
        <f>IF(Consultas!AN79="S",4,-2)</f>
        <v>-2</v>
      </c>
      <c r="AP79" s="39"/>
      <c r="AQ79" s="165">
        <f>IF(Consultas!F79&gt;1,(SUM(F79:AO79)),"N/A")</f>
        <v>77</v>
      </c>
      <c r="AR79" s="78" t="str">
        <f>IF((Consultas!AD79&gt;'Parâmetros'!$A$31),"X",AJ79+Y79+V79+AC79)</f>
        <v>X</v>
      </c>
      <c r="AS79" s="78" t="str">
        <f>IF((Consultas!AD79&gt;'Parâmetros'!$A$31),"X",(H79+I79+J79+Q79+T79+Y79+Z79+AJ79+AN79))</f>
        <v>X</v>
      </c>
      <c r="AT79" s="78">
        <f>IF((Consultas!AD79&lt;'Parâmetros'!$A$31),"X",(AD79+AC79+AB79))</f>
        <v>18</v>
      </c>
      <c r="AU79" s="78">
        <f t="shared" si="1"/>
        <v>18</v>
      </c>
      <c r="AV79" s="82" t="str">
        <f>IF(AQ79="N/A","N/A",IF(AQ79&gt;5,'Parâmetros'!$A$15,(IF(AU79=AR79,'Parâmetros'!$A$17,IF(AU79=AS79,'Parâmetros'!$A$16,'Parâmetros'!$A$14)))))</f>
        <v>SEM-RISCO</v>
      </c>
      <c r="AW79" s="86" t="str">
        <f>IF(AQ79="N/A","N/A",IF(AV79='Parâmetros'!$A$15,'Parâmetros'!$C$15,(IF(AV79='Parâmetros'!$A$17,'Parâmetros'!$C$17,IF(AV79='Parâmetros'!$A$16,'Parâmetros'!$C$16,IF(AV79='Parâmetros'!$A$14,'Parâmetros'!$C$12))))))</f>
        <v>LIBERADO</v>
      </c>
      <c r="AX79" s="82" t="str">
        <f>IF(Consultas!F79&gt;1,(IF(Consultas!F79&gt;5000,"SOLICITAR PED COMPRA","N/A")))</f>
        <v>N/A</v>
      </c>
      <c r="AY79" s="167" t="str">
        <f>IF(AND(Consultas!M79&lt;&gt;"S", Consultas!H79="S"), "CHECAGEM REVERSA", "N/A")</f>
        <v>N/A</v>
      </c>
      <c r="AZ79" s="167" t="str">
        <f>IF(Consultas!U79="N","PRECISA CORRIGIR END DIVERGENTE","N/A")</f>
        <v>N/A</v>
      </c>
    </row>
    <row r="80" ht="12.0" customHeight="1">
      <c r="A80" s="39" t="s">
        <v>90</v>
      </c>
      <c r="B80" s="82">
        <f>Consultas!B80</f>
        <v>588</v>
      </c>
      <c r="C80" s="82" t="str">
        <f>Consultas!D80</f>
        <v>Oaco</v>
      </c>
      <c r="D80" s="96" t="str">
        <f>Consultas!E80</f>
        <v>144604</v>
      </c>
      <c r="E80" s="104">
        <f>IF(Consultas!AB80&gt;0,YEAR('Parâmetros'!$B$1)-YEAR(Consultas!AB80),"NA")</f>
        <v>53</v>
      </c>
      <c r="F80" s="82">
        <f>IF(Consultas!F80&gt;'Parâmetros'!$B$2,-8,0)</f>
        <v>0</v>
      </c>
      <c r="G80" s="82">
        <f>IF(Consultas!H80='Parâmetros'!$E$1,100,0)</f>
        <v>0</v>
      </c>
      <c r="H80" s="82">
        <f>IF(Consultas!I80='Parâmetros'!$E$1,-4,12)</f>
        <v>-4</v>
      </c>
      <c r="I80" s="82">
        <f>IF(Consultas!J80='Parâmetros'!$E$1,1,-13)</f>
        <v>1</v>
      </c>
      <c r="J80" s="82">
        <f>IF(Consultas!K80='Parâmetros'!$E$1,2,-5)</f>
        <v>2</v>
      </c>
      <c r="K80" s="82" t="str">
        <f>IF(Consultas!L80='Parâmetros'!$D$1,"SOLIC CONTRATO DE ENTREGA","N/A")</f>
        <v>SOLIC CONTRATO DE ENTREGA</v>
      </c>
      <c r="L80" s="82">
        <f>IF(Consultas!R80='Parâmetros'!$E$1,1,-3)</f>
        <v>1</v>
      </c>
      <c r="M80" s="82">
        <f>IF(Consultas!S80&gt;1,(IF(Consultas!S80='Parâmetros'!$E$1,-3,9)))</f>
        <v>-3</v>
      </c>
      <c r="N80" s="82">
        <f>IF(Consultas!T80="S",23,0)</f>
        <v>0</v>
      </c>
      <c r="O80" s="82">
        <f>IF(Consultas!U80='Parâmetros'!$E$1,-3,3)</f>
        <v>3</v>
      </c>
      <c r="P80" s="82">
        <f>IF(Consultas!V80='Parâmetros'!$E$1,-100,2)</f>
        <v>2</v>
      </c>
      <c r="Q80" s="82">
        <f>IF(Consultas!M80='Parâmetros'!$D$1,2,-9)</f>
        <v>2</v>
      </c>
      <c r="R80" s="82">
        <f>IF(Consultas!N80="RJ",-12,0)</f>
        <v>0</v>
      </c>
      <c r="S80" s="82">
        <f>IF(Consultas!O80="-",-3,IF(Consultas!O80=0,-6,IF(Consultas!O80=5,0,IF(Consultas!O80=10,6))))</f>
        <v>0</v>
      </c>
      <c r="T80" s="82">
        <f>IF(Consultas!M80="S",0,(IF(Consultas!P80="S",6,0)))</f>
        <v>0</v>
      </c>
      <c r="U80" s="82">
        <f>IF(Consultas!Q80&gt;97,9,IF(Consultas!Q80&gt;75,0,-7))</f>
        <v>9</v>
      </c>
      <c r="V80" s="82">
        <f>IF(Consultas!W80='Parâmetros'!$E$1,1,-5)</f>
        <v>1</v>
      </c>
      <c r="W80" s="82">
        <f>IF(Consultas!X80="S",3,-3)</f>
        <v>3</v>
      </c>
      <c r="X80" s="82">
        <f>IF(Consultas!Y80="S",0,-7)</f>
        <v>0</v>
      </c>
      <c r="Y80" s="82">
        <f>IF(Consultas!Z80='Parâmetros'!$E$1,2,-8)</f>
        <v>2</v>
      </c>
      <c r="Z80" s="82">
        <f>IF(Consultas!AA80='Parâmetros'!$E$1,-15,1)</f>
        <v>1</v>
      </c>
      <c r="AA80" s="147" t="s">
        <v>140</v>
      </c>
      <c r="AB80" s="82">
        <f>IF(E80="NA","NA",IF(E80&gt;'Parâmetros'!$A$9,8,IF(E80&gt;'Parâmetros'!$A$8,4,IF(E80&gt;'Parâmetros'!$A$7,0,-6))))</f>
        <v>8</v>
      </c>
      <c r="AC80" s="82">
        <f>IF(Consultas!AC80='Parâmetros'!$E$1,0,5)</f>
        <v>0</v>
      </c>
      <c r="AD80" s="82">
        <f>IF(Consultas!AH80='Parâmetros'!$D$1,-10,5)</f>
        <v>-10</v>
      </c>
      <c r="AE80" s="82">
        <f>IF(Consultas!AI80&gt;(Consultas!F80*2),-10,0)</f>
        <v>-10</v>
      </c>
      <c r="AF80" s="82">
        <f>IF(Consultas!AD80&gt;1,(IF(Consultas!AI80&gt;(Consultas!AD80),-20,4)))</f>
        <v>4</v>
      </c>
      <c r="AG80" s="82">
        <f>IF(Consultas!AG80='Parâmetros'!$E$1,0,-6)</f>
        <v>0</v>
      </c>
      <c r="AH80" s="82">
        <f>IF(Consultas!AF80='Parâmetros'!$E$1,1,-5)</f>
        <v>-5</v>
      </c>
      <c r="AI80" s="82">
        <f>IF(Consultas!AJ80&gt;700,8,IF(Consultas!AJ80&gt;500,4,IF(Consultas!AJ80&gt;200,-4,IF(Consultas!AJ80&gt;1,-15,-20))))</f>
        <v>4</v>
      </c>
      <c r="AJ80" s="82">
        <f>IF(Consultas!AD80='Parâmetros'!$E$10,0,IF(Consultas!AD80&gt;'Parâmetros'!$A$30,12,IF(Consultas!AD80&gt;'Parâmetros'!$A$31,6,IF(Consultas!AD80&gt;'Parâmetros'!$A$32,0,IF(Consultas!AD80&gt;'Parâmetros'!$A$33,0,IF(Consultas!AD80&gt;'Parâmetros'!$A$34,-3,IF(Consultas!AD80&gt;'Parâmetros'!$A$35,-7,-1)))))))</f>
        <v>12</v>
      </c>
      <c r="AK80" s="82">
        <f>IF(Consultas!AO80='Parâmetros'!$D$1,3,-3)</f>
        <v>-3</v>
      </c>
      <c r="AL80" s="82">
        <f>IF(Consultas!AP80='Parâmetros'!$D$1,5,-3)</f>
        <v>-3</v>
      </c>
      <c r="AM80" s="82">
        <f>IF(Consultas!AL80="N",-6,0)</f>
        <v>0</v>
      </c>
      <c r="AN80" s="82">
        <f>IF(Consultas!AM80="N",-10,0)</f>
        <v>0</v>
      </c>
      <c r="AO80" s="82">
        <f>IF(Consultas!AN80="S",4,-2)</f>
        <v>-2</v>
      </c>
      <c r="AP80" s="39"/>
      <c r="AQ80" s="165">
        <f>IF(Consultas!F80&gt;1,(SUM(F80:AO80)),"N/A")</f>
        <v>15</v>
      </c>
      <c r="AR80" s="78" t="str">
        <f>IF((Consultas!AD80&gt;'Parâmetros'!$A$31),"X",AJ80+Y80+V80+AC80)</f>
        <v>X</v>
      </c>
      <c r="AS80" s="78" t="str">
        <f>IF((Consultas!AD80&gt;'Parâmetros'!$A$31),"X",(H80+I80+J80+Q80+T80+Y80+Z80+AJ80+AN80))</f>
        <v>X</v>
      </c>
      <c r="AT80" s="78">
        <f>IF((Consultas!AD80&lt;'Parâmetros'!$A$31),"X",(AD80+AC80+AB80))</f>
        <v>-2</v>
      </c>
      <c r="AU80" s="78">
        <f t="shared" si="1"/>
        <v>-2</v>
      </c>
      <c r="AV80" s="82" t="str">
        <f>IF(AQ80="N/A","N/A",IF(AQ80&gt;5,'Parâmetros'!$A$15,(IF(AU80=AR80,'Parâmetros'!$A$17,IF(AU80=AS80,'Parâmetros'!$A$16,'Parâmetros'!$A$14)))))</f>
        <v>SEM-RISCO</v>
      </c>
      <c r="AW80" s="86" t="str">
        <f>IF(AQ80="N/A","N/A",IF(AV80='Parâmetros'!$A$15,'Parâmetros'!$C$15,(IF(AV80='Parâmetros'!$A$17,'Parâmetros'!$C$17,IF(AV80='Parâmetros'!$A$16,'Parâmetros'!$C$16,IF(AV80='Parâmetros'!$A$14,'Parâmetros'!$C$12))))))</f>
        <v>LIBERADO</v>
      </c>
      <c r="AX80" s="82" t="str">
        <f>IF(Consultas!F80&gt;1,(IF(Consultas!F80&gt;5000,"SOLICITAR PED COMPRA","N/A")))</f>
        <v>N/A</v>
      </c>
      <c r="AY80" s="167" t="str">
        <f>IF(AND(Consultas!M80&lt;&gt;"S", Consultas!H80="S"), "CHECAGEM REVERSA", "N/A")</f>
        <v>N/A</v>
      </c>
      <c r="AZ80" s="167" t="str">
        <f>IF(Consultas!U80="N","PRECISA CORRIGIR END DIVERGENTE","N/A")</f>
        <v>N/A</v>
      </c>
    </row>
    <row r="81" ht="12.0" customHeight="1">
      <c r="A81" s="39" t="s">
        <v>90</v>
      </c>
      <c r="B81" s="82">
        <f>Consultas!B81</f>
        <v>245</v>
      </c>
      <c r="C81" s="82" t="str">
        <f>Consultas!D81</f>
        <v>Metalpleno</v>
      </c>
      <c r="D81" s="96" t="str">
        <f>Consultas!E81</f>
        <v>144605</v>
      </c>
      <c r="E81" s="104">
        <f>IF(Consultas!AB81&gt;0,YEAR('Parâmetros'!$B$1)-YEAR(Consultas!AB81),"NA")</f>
        <v>3</v>
      </c>
      <c r="F81" s="82">
        <f>IF(Consultas!F81&gt;'Parâmetros'!$B$2,-8,0)</f>
        <v>0</v>
      </c>
      <c r="G81" s="82">
        <f>IF(Consultas!H81='Parâmetros'!$E$1,100,0)</f>
        <v>0</v>
      </c>
      <c r="H81" s="82">
        <f>IF(Consultas!I81='Parâmetros'!$E$1,-4,12)</f>
        <v>-4</v>
      </c>
      <c r="I81" s="82">
        <f>IF(Consultas!J81='Parâmetros'!$E$1,1,-13)</f>
        <v>1</v>
      </c>
      <c r="J81" s="82">
        <f>IF(Consultas!K81='Parâmetros'!$E$1,2,-5)</f>
        <v>2</v>
      </c>
      <c r="K81" s="82" t="str">
        <f>IF(Consultas!L81='Parâmetros'!$D$1,"SOLIC CONTRATO DE ENTREGA","N/A")</f>
        <v>SOLIC CONTRATO DE ENTREGA</v>
      </c>
      <c r="L81" s="82">
        <f>IF(Consultas!R81='Parâmetros'!$E$1,1,-3)</f>
        <v>1</v>
      </c>
      <c r="M81" s="82">
        <f>IF(Consultas!S81&gt;1,(IF(Consultas!S81='Parâmetros'!$E$1,-3,9)))</f>
        <v>-3</v>
      </c>
      <c r="N81" s="82">
        <f>IF(Consultas!T81="S",23,0)</f>
        <v>0</v>
      </c>
      <c r="O81" s="82">
        <f>IF(Consultas!U81='Parâmetros'!$E$1,-3,3)</f>
        <v>3</v>
      </c>
      <c r="P81" s="82">
        <f>IF(Consultas!V81='Parâmetros'!$E$1,-100,2)</f>
        <v>2</v>
      </c>
      <c r="Q81" s="82">
        <f>IF(Consultas!M81='Parâmetros'!$D$1,2,-9)</f>
        <v>2</v>
      </c>
      <c r="R81" s="82">
        <f>IF(Consultas!N81="RJ",-12,0)</f>
        <v>0</v>
      </c>
      <c r="S81" s="82">
        <f>IF(Consultas!O81="-",-3,IF(Consultas!O81=0,-6,IF(Consultas!O81=5,0,IF(Consultas!O81=10,6))))</f>
        <v>-3</v>
      </c>
      <c r="T81" s="82">
        <f>IF(Consultas!M81="S",0,(IF(Consultas!P81="S",6,0)))</f>
        <v>0</v>
      </c>
      <c r="U81" s="82">
        <f>IF(Consultas!Q81&gt;97,9,IF(Consultas!Q81&gt;75,0,-7))</f>
        <v>9</v>
      </c>
      <c r="V81" s="82">
        <f>IF(Consultas!W81='Parâmetros'!$E$1,1,-5)</f>
        <v>1</v>
      </c>
      <c r="W81" s="82">
        <f>IF(Consultas!X81="S",3,-3)</f>
        <v>3</v>
      </c>
      <c r="X81" s="82">
        <f>IF(Consultas!Y81="S",0,-7)</f>
        <v>0</v>
      </c>
      <c r="Y81" s="82">
        <f>IF(Consultas!Z81='Parâmetros'!$E$1,2,-8)</f>
        <v>2</v>
      </c>
      <c r="Z81" s="82">
        <f>IF(Consultas!AA81='Parâmetros'!$E$1,-15,1)</f>
        <v>1</v>
      </c>
      <c r="AA81" s="147" t="s">
        <v>140</v>
      </c>
      <c r="AB81" s="82">
        <f>IF(E81="NA","NA",IF(E81&gt;'Parâmetros'!$A$9,8,IF(E81&gt;'Parâmetros'!$A$8,4,IF(E81&gt;'Parâmetros'!$A$7,0,-6))))</f>
        <v>-6</v>
      </c>
      <c r="AC81" s="82">
        <f>IF(Consultas!AC81='Parâmetros'!$E$1,0,5)</f>
        <v>5</v>
      </c>
      <c r="AD81" s="82">
        <f>IF(Consultas!AH81='Parâmetros'!$D$1,-10,5)</f>
        <v>5</v>
      </c>
      <c r="AE81" s="82">
        <f>IF(Consultas!AI81&gt;(Consultas!F81*2),-10,0)</f>
        <v>0</v>
      </c>
      <c r="AF81" s="82">
        <f>IF(Consultas!AD81&gt;1,(IF(Consultas!AI81&gt;(Consultas!AD81),-20,4)))</f>
        <v>4</v>
      </c>
      <c r="AG81" s="82">
        <f>IF(Consultas!AG81='Parâmetros'!$E$1,0,-6)</f>
        <v>0</v>
      </c>
      <c r="AH81" s="82">
        <f>IF(Consultas!AF81='Parâmetros'!$E$1,1,-5)</f>
        <v>1</v>
      </c>
      <c r="AI81" s="82">
        <f>IF(Consultas!AJ81&gt;700,8,IF(Consultas!AJ81&gt;500,4,IF(Consultas!AJ81&gt;200,-4,IF(Consultas!AJ81&gt;1,-15,-20))))</f>
        <v>4</v>
      </c>
      <c r="AJ81" s="82">
        <f>IF(Consultas!AD81='Parâmetros'!$E$10,0,IF(Consultas!AD81&gt;'Parâmetros'!$A$30,12,IF(Consultas!AD81&gt;'Parâmetros'!$A$31,6,IF(Consultas!AD81&gt;'Parâmetros'!$A$32,0,IF(Consultas!AD81&gt;'Parâmetros'!$A$33,0,IF(Consultas!AD81&gt;'Parâmetros'!$A$34,-3,IF(Consultas!AD81&gt;'Parâmetros'!$A$35,-7,-1)))))))</f>
        <v>12</v>
      </c>
      <c r="AK81" s="82">
        <f>IF(Consultas!AO81='Parâmetros'!$D$1,3,-3)</f>
        <v>-3</v>
      </c>
      <c r="AL81" s="82">
        <f>IF(Consultas!AP81='Parâmetros'!$D$1,5,-3)</f>
        <v>-3</v>
      </c>
      <c r="AM81" s="82">
        <f>IF(Consultas!AL81="N",-6,0)</f>
        <v>0</v>
      </c>
      <c r="AN81" s="82">
        <f>IF(Consultas!AM81="N",-10,0)</f>
        <v>0</v>
      </c>
      <c r="AO81" s="82">
        <f>IF(Consultas!AN81="S",4,-2)</f>
        <v>-2</v>
      </c>
      <c r="AP81" s="39"/>
      <c r="AQ81" s="165">
        <f>IF(Consultas!F81&gt;1,(SUM(F81:AO81)),"N/A")</f>
        <v>34</v>
      </c>
      <c r="AR81" s="78" t="str">
        <f>IF((Consultas!AD81&gt;'Parâmetros'!$A$31),"X",AJ81+Y81+V81+AC81)</f>
        <v>X</v>
      </c>
      <c r="AS81" s="78" t="str">
        <f>IF((Consultas!AD81&gt;'Parâmetros'!$A$31),"X",(H81+I81+J81+Q81+T81+Y81+Z81+AJ81+AN81))</f>
        <v>X</v>
      </c>
      <c r="AT81" s="78">
        <f>IF((Consultas!AD81&lt;'Parâmetros'!$A$31),"X",(AD81+AC81+AB81))</f>
        <v>4</v>
      </c>
      <c r="AU81" s="78">
        <f t="shared" si="1"/>
        <v>4</v>
      </c>
      <c r="AV81" s="82" t="str">
        <f>IF(AQ81="N/A","N/A",IF(AQ81&gt;5,'Parâmetros'!$A$15,(IF(AU81=AR81,'Parâmetros'!$A$17,IF(AU81=AS81,'Parâmetros'!$A$16,'Parâmetros'!$A$14)))))</f>
        <v>SEM-RISCO</v>
      </c>
      <c r="AW81" s="86" t="str">
        <f>IF(AQ81="N/A","N/A",IF(AV81='Parâmetros'!$A$15,'Parâmetros'!$C$15,(IF(AV81='Parâmetros'!$A$17,'Parâmetros'!$C$17,IF(AV81='Parâmetros'!$A$16,'Parâmetros'!$C$16,IF(AV81='Parâmetros'!$A$14,'Parâmetros'!$C$12))))))</f>
        <v>LIBERADO</v>
      </c>
      <c r="AX81" s="82" t="str">
        <f>IF(Consultas!F81&gt;1,(IF(Consultas!F81&gt;5000,"SOLICITAR PED COMPRA","N/A")))</f>
        <v>N/A</v>
      </c>
      <c r="AY81" s="167" t="str">
        <f>IF(AND(Consultas!M81&lt;&gt;"S", Consultas!H81="S"), "CHECAGEM REVERSA", "N/A")</f>
        <v>N/A</v>
      </c>
      <c r="AZ81" s="167" t="str">
        <f>IF(Consultas!U81="N","PRECISA CORRIGIR END DIVERGENTE","N/A")</f>
        <v>N/A</v>
      </c>
    </row>
    <row r="82" ht="12.0" customHeight="1">
      <c r="A82" s="39" t="s">
        <v>90</v>
      </c>
      <c r="B82" s="82">
        <f>Consultas!B82</f>
        <v>246</v>
      </c>
      <c r="C82" s="82" t="str">
        <f>Consultas!D82</f>
        <v>Metalpleno</v>
      </c>
      <c r="D82" s="96" t="str">
        <f>Consultas!E82</f>
        <v>144607</v>
      </c>
      <c r="E82" s="104">
        <f>IF(Consultas!AB82&gt;0,YEAR('Parâmetros'!$B$1)-YEAR(Consultas!AB82),"NA")</f>
        <v>35</v>
      </c>
      <c r="F82" s="82">
        <f>IF(Consultas!F82&gt;'Parâmetros'!$B$2,-8,0)</f>
        <v>0</v>
      </c>
      <c r="G82" s="82">
        <f>IF(Consultas!H82='Parâmetros'!$E$1,100,0)</f>
        <v>0</v>
      </c>
      <c r="H82" s="82">
        <f>IF(Consultas!I82='Parâmetros'!$E$1,-4,12)</f>
        <v>12</v>
      </c>
      <c r="I82" s="82">
        <f>IF(Consultas!J82='Parâmetros'!$E$1,1,-13)</f>
        <v>1</v>
      </c>
      <c r="J82" s="82">
        <f>IF(Consultas!K82='Parâmetros'!$E$1,2,-5)</f>
        <v>2</v>
      </c>
      <c r="K82" s="82" t="str">
        <f>IF(Consultas!L82='Parâmetros'!$D$1,"SOLIC CONTRATO DE ENTREGA","N/A")</f>
        <v>SOLIC CONTRATO DE ENTREGA</v>
      </c>
      <c r="L82" s="82">
        <f>IF(Consultas!R82='Parâmetros'!$E$1,1,-3)</f>
        <v>1</v>
      </c>
      <c r="M82" s="82">
        <f>IF(Consultas!S82&gt;1,(IF(Consultas!S82='Parâmetros'!$E$1,-3,9)))</f>
        <v>-3</v>
      </c>
      <c r="N82" s="82">
        <f>IF(Consultas!T82="S",23,0)</f>
        <v>0</v>
      </c>
      <c r="O82" s="82">
        <f>IF(Consultas!U82='Parâmetros'!$E$1,-3,3)</f>
        <v>3</v>
      </c>
      <c r="P82" s="82">
        <f>IF(Consultas!V82='Parâmetros'!$E$1,-100,2)</f>
        <v>2</v>
      </c>
      <c r="Q82" s="82">
        <f>IF(Consultas!M82='Parâmetros'!$D$1,2,-9)</f>
        <v>2</v>
      </c>
      <c r="R82" s="82">
        <f>IF(Consultas!N82="RJ",-12,0)</f>
        <v>0</v>
      </c>
      <c r="S82" s="82">
        <f>IF(Consultas!O82="-",-3,IF(Consultas!O82=0,-6,IF(Consultas!O82=5,0,IF(Consultas!O82=10,6))))</f>
        <v>0</v>
      </c>
      <c r="T82" s="82">
        <f>IF(Consultas!M82="S",0,(IF(Consultas!P82="S",6,0)))</f>
        <v>0</v>
      </c>
      <c r="U82" s="82">
        <f>IF(Consultas!Q82&gt;97,9,IF(Consultas!Q82&gt;75,0,-7))</f>
        <v>9</v>
      </c>
      <c r="V82" s="82">
        <f>IF(Consultas!W82='Parâmetros'!$E$1,1,-5)</f>
        <v>1</v>
      </c>
      <c r="W82" s="82">
        <f>IF(Consultas!X82="S",3,-3)</f>
        <v>3</v>
      </c>
      <c r="X82" s="82">
        <f>IF(Consultas!Y82="S",0,-7)</f>
        <v>0</v>
      </c>
      <c r="Y82" s="82">
        <f>IF(Consultas!Z82='Parâmetros'!$E$1,2,-8)</f>
        <v>2</v>
      </c>
      <c r="Z82" s="82">
        <f>IF(Consultas!AA82='Parâmetros'!$E$1,-15,1)</f>
        <v>1</v>
      </c>
      <c r="AA82" s="147" t="s">
        <v>140</v>
      </c>
      <c r="AB82" s="82">
        <f>IF(E82="NA","NA",IF(E82&gt;'Parâmetros'!$A$9,8,IF(E82&gt;'Parâmetros'!$A$8,4,IF(E82&gt;'Parâmetros'!$A$7,0,-6))))</f>
        <v>8</v>
      </c>
      <c r="AC82" s="82">
        <f>IF(Consultas!AC82='Parâmetros'!$E$1,0,5)</f>
        <v>0</v>
      </c>
      <c r="AD82" s="82">
        <f>IF(Consultas!AH82='Parâmetros'!$D$1,-10,5)</f>
        <v>5</v>
      </c>
      <c r="AE82" s="82">
        <f>IF(Consultas!AI82&gt;(Consultas!F82*2),-10,0)</f>
        <v>0</v>
      </c>
      <c r="AF82" s="82">
        <f>IF(Consultas!AD82&gt;1,(IF(Consultas!AI82&gt;(Consultas!AD82),-20,4)))</f>
        <v>4</v>
      </c>
      <c r="AG82" s="82">
        <f>IF(Consultas!AG82='Parâmetros'!$E$1,0,-6)</f>
        <v>0</v>
      </c>
      <c r="AH82" s="82">
        <f>IF(Consultas!AF82='Parâmetros'!$E$1,1,-5)</f>
        <v>1</v>
      </c>
      <c r="AI82" s="82">
        <f>IF(Consultas!AJ82&gt;700,8,IF(Consultas!AJ82&gt;500,4,IF(Consultas!AJ82&gt;200,-4,IF(Consultas!AJ82&gt;1,-15,-20))))</f>
        <v>4</v>
      </c>
      <c r="AJ82" s="82">
        <f>IF(Consultas!AD82='Parâmetros'!$E$10,0,IF(Consultas!AD82&gt;'Parâmetros'!$A$30,12,IF(Consultas!AD82&gt;'Parâmetros'!$A$31,6,IF(Consultas!AD82&gt;'Parâmetros'!$A$32,0,IF(Consultas!AD82&gt;'Parâmetros'!$A$33,0,IF(Consultas!AD82&gt;'Parâmetros'!$A$34,-3,IF(Consultas!AD82&gt;'Parâmetros'!$A$35,-7,-1)))))))</f>
        <v>12</v>
      </c>
      <c r="AK82" s="82">
        <f>IF(Consultas!AO82='Parâmetros'!$D$1,3,-3)</f>
        <v>-3</v>
      </c>
      <c r="AL82" s="82">
        <f>IF(Consultas!AP82='Parâmetros'!$D$1,5,-3)</f>
        <v>-3</v>
      </c>
      <c r="AM82" s="82">
        <f>IF(Consultas!AL82="N",-6,0)</f>
        <v>0</v>
      </c>
      <c r="AN82" s="82">
        <f>IF(Consultas!AM82="N",-10,0)</f>
        <v>0</v>
      </c>
      <c r="AO82" s="82">
        <f>IF(Consultas!AN82="S",4,-2)</f>
        <v>-2</v>
      </c>
      <c r="AP82" s="39"/>
      <c r="AQ82" s="165">
        <f>IF(Consultas!F82&gt;1,(SUM(F82:AO82)),"N/A")</f>
        <v>62</v>
      </c>
      <c r="AR82" s="78" t="str">
        <f>IF((Consultas!AD82&gt;'Parâmetros'!$A$31),"X",AJ82+Y82+V82+AC82)</f>
        <v>X</v>
      </c>
      <c r="AS82" s="78" t="str">
        <f>IF((Consultas!AD82&gt;'Parâmetros'!$A$31),"X",(H82+I82+J82+Q82+T82+Y82+Z82+AJ82+AN82))</f>
        <v>X</v>
      </c>
      <c r="AT82" s="78">
        <f>IF((Consultas!AD82&lt;'Parâmetros'!$A$31),"X",(AD82+AC82+AB82))</f>
        <v>13</v>
      </c>
      <c r="AU82" s="78">
        <f t="shared" si="1"/>
        <v>13</v>
      </c>
      <c r="AV82" s="82" t="str">
        <f>IF(AQ82="N/A","N/A",IF(AQ82&gt;5,'Parâmetros'!$A$15,(IF(AU82=AR82,'Parâmetros'!$A$17,IF(AU82=AS82,'Parâmetros'!$A$16,'Parâmetros'!$A$14)))))</f>
        <v>SEM-RISCO</v>
      </c>
      <c r="AW82" s="86" t="str">
        <f>IF(AQ82="N/A","N/A",IF(AV82='Parâmetros'!$A$15,'Parâmetros'!$C$15,(IF(AV82='Parâmetros'!$A$17,'Parâmetros'!$C$17,IF(AV82='Parâmetros'!$A$16,'Parâmetros'!$C$16,IF(AV82='Parâmetros'!$A$14,'Parâmetros'!$C$12))))))</f>
        <v>LIBERADO</v>
      </c>
      <c r="AX82" s="82" t="str">
        <f>IF(Consultas!F82&gt;1,(IF(Consultas!F82&gt;5000,"SOLICITAR PED COMPRA","N/A")))</f>
        <v>N/A</v>
      </c>
      <c r="AY82" s="167" t="str">
        <f>IF(AND(Consultas!M82&lt;&gt;"S", Consultas!H82="S"), "CHECAGEM REVERSA", "N/A")</f>
        <v>N/A</v>
      </c>
      <c r="AZ82" s="167" t="str">
        <f>IF(Consultas!U82="N","PRECISA CORRIGIR END DIVERGENTE","N/A")</f>
        <v>N/A</v>
      </c>
    </row>
    <row r="83" ht="12.0" customHeight="1">
      <c r="A83" s="39" t="s">
        <v>90</v>
      </c>
      <c r="B83" s="82">
        <f>Consultas!B83</f>
        <v>594</v>
      </c>
      <c r="C83" s="82" t="str">
        <f>Consultas!D83</f>
        <v>Metalpleno</v>
      </c>
      <c r="D83" s="96" t="str">
        <f>Consultas!E83</f>
        <v>026262</v>
      </c>
      <c r="E83" s="104">
        <f>IF(Consultas!AB83&gt;0,YEAR('Parâmetros'!$B$1)-YEAR(Consultas!AB83),"NA")</f>
        <v>60</v>
      </c>
      <c r="F83" s="82">
        <f>IF(Consultas!F83&gt;'Parâmetros'!$B$2,-8,0)</f>
        <v>0</v>
      </c>
      <c r="G83" s="82">
        <f>IF(Consultas!H83='Parâmetros'!$E$1,100,0)</f>
        <v>0</v>
      </c>
      <c r="H83" s="82">
        <f>IF(Consultas!I83='Parâmetros'!$E$1,-4,12)</f>
        <v>-4</v>
      </c>
      <c r="I83" s="82">
        <f>IF(Consultas!J83='Parâmetros'!$E$1,1,-13)</f>
        <v>1</v>
      </c>
      <c r="J83" s="82">
        <f>IF(Consultas!K83='Parâmetros'!$E$1,2,-5)</f>
        <v>2</v>
      </c>
      <c r="K83" s="82" t="str">
        <f>IF(Consultas!L83='Parâmetros'!$D$1,"SOLIC CONTRATO DE ENTREGA","N/A")</f>
        <v>SOLIC CONTRATO DE ENTREGA</v>
      </c>
      <c r="L83" s="82">
        <f>IF(Consultas!R83='Parâmetros'!$E$1,1,-3)</f>
        <v>-3</v>
      </c>
      <c r="M83" s="82">
        <f>IF(Consultas!S83&gt;1,(IF(Consultas!S83='Parâmetros'!$E$1,-3,9)))</f>
        <v>9</v>
      </c>
      <c r="N83" s="82">
        <f>IF(Consultas!T83="S",23,0)</f>
        <v>0</v>
      </c>
      <c r="O83" s="82">
        <f>IF(Consultas!U83='Parâmetros'!$E$1,-3,3)</f>
        <v>3</v>
      </c>
      <c r="P83" s="82">
        <f>IF(Consultas!V83='Parâmetros'!$E$1,-100,2)</f>
        <v>2</v>
      </c>
      <c r="Q83" s="82">
        <f>IF(Consultas!M83='Parâmetros'!$D$1,2,-9)</f>
        <v>2</v>
      </c>
      <c r="R83" s="82">
        <f>IF(Consultas!N83="RJ",-12,0)</f>
        <v>0</v>
      </c>
      <c r="S83" s="82">
        <f>IF(Consultas!O83="-",-3,IF(Consultas!O83=0,-6,IF(Consultas!O83=5,0,IF(Consultas!O83=10,6))))</f>
        <v>0</v>
      </c>
      <c r="T83" s="82">
        <f>IF(Consultas!M83="S",0,(IF(Consultas!P83="S",6,0)))</f>
        <v>0</v>
      </c>
      <c r="U83" s="82">
        <f>IF(Consultas!Q83&gt;97,9,IF(Consultas!Q83&gt;75,0,-7))</f>
        <v>9</v>
      </c>
      <c r="V83" s="82">
        <f>IF(Consultas!W83='Parâmetros'!$E$1,1,-5)</f>
        <v>1</v>
      </c>
      <c r="W83" s="82">
        <f>IF(Consultas!X83="S",3,-3)</f>
        <v>3</v>
      </c>
      <c r="X83" s="82">
        <f>IF(Consultas!Y83="S",0,-7)</f>
        <v>0</v>
      </c>
      <c r="Y83" s="82">
        <f>IF(Consultas!Z83='Parâmetros'!$E$1,2,-8)</f>
        <v>2</v>
      </c>
      <c r="Z83" s="82">
        <f>IF(Consultas!AA83='Parâmetros'!$E$1,-15,1)</f>
        <v>1</v>
      </c>
      <c r="AA83" s="147" t="s">
        <v>140</v>
      </c>
      <c r="AB83" s="82">
        <f>IF(E83="NA","NA",IF(E83&gt;'Parâmetros'!$A$9,8,IF(E83&gt;'Parâmetros'!$A$8,4,IF(E83&gt;'Parâmetros'!$A$7,0,-6))))</f>
        <v>8</v>
      </c>
      <c r="AC83" s="82">
        <f>IF(Consultas!AC83='Parâmetros'!$E$1,0,5)</f>
        <v>5</v>
      </c>
      <c r="AD83" s="82">
        <f>IF(Consultas!AH83='Parâmetros'!$D$1,-10,5)</f>
        <v>-10</v>
      </c>
      <c r="AE83" s="82">
        <f>IF(Consultas!AI83&gt;(Consultas!F83*2),-10,0)</f>
        <v>-10</v>
      </c>
      <c r="AF83" s="82">
        <f>IF(Consultas!AD83&gt;1,(IF(Consultas!AI83&gt;(Consultas!AD83),-20,4)))</f>
        <v>4</v>
      </c>
      <c r="AG83" s="82">
        <f>IF(Consultas!AG83='Parâmetros'!$E$1,0,-6)</f>
        <v>0</v>
      </c>
      <c r="AH83" s="82">
        <f>IF(Consultas!AF83='Parâmetros'!$E$1,1,-5)</f>
        <v>-5</v>
      </c>
      <c r="AI83" s="82">
        <f>IF(Consultas!AJ83&gt;700,8,IF(Consultas!AJ83&gt;500,4,IF(Consultas!AJ83&gt;200,-4,IF(Consultas!AJ83&gt;1,-15,-20))))</f>
        <v>8</v>
      </c>
      <c r="AJ83" s="82">
        <f>IF(Consultas!AD83='Parâmetros'!$E$10,0,IF(Consultas!AD83&gt;'Parâmetros'!$A$30,12,IF(Consultas!AD83&gt;'Parâmetros'!$A$31,6,IF(Consultas!AD83&gt;'Parâmetros'!$A$32,0,IF(Consultas!AD83&gt;'Parâmetros'!$A$33,0,IF(Consultas!AD83&gt;'Parâmetros'!$A$34,-3,IF(Consultas!AD83&gt;'Parâmetros'!$A$35,-7,-1)))))))</f>
        <v>12</v>
      </c>
      <c r="AK83" s="82">
        <f>IF(Consultas!AO83='Parâmetros'!$D$1,3,-3)</f>
        <v>-3</v>
      </c>
      <c r="AL83" s="82">
        <f>IF(Consultas!AP83='Parâmetros'!$D$1,5,-3)</f>
        <v>-3</v>
      </c>
      <c r="AM83" s="82">
        <f>IF(Consultas!AL83="N",-6,0)</f>
        <v>0</v>
      </c>
      <c r="AN83" s="82">
        <f>IF(Consultas!AM83="N",-10,0)</f>
        <v>0</v>
      </c>
      <c r="AO83" s="82">
        <f>IF(Consultas!AN83="S",4,-2)</f>
        <v>-2</v>
      </c>
      <c r="AP83" s="39"/>
      <c r="AQ83" s="165">
        <f>IF(Consultas!F83&gt;1,(SUM(F83:AO83)),"N/A")</f>
        <v>32</v>
      </c>
      <c r="AR83" s="78" t="str">
        <f>IF((Consultas!AD83&gt;'Parâmetros'!$A$31),"X",AJ83+Y83+V83+AC83)</f>
        <v>X</v>
      </c>
      <c r="AS83" s="78" t="str">
        <f>IF((Consultas!AD83&gt;'Parâmetros'!$A$31),"X",(H83+I83+J83+Q83+T83+Y83+Z83+AJ83+AN83))</f>
        <v>X</v>
      </c>
      <c r="AT83" s="78">
        <f>IF((Consultas!AD83&lt;'Parâmetros'!$A$31),"X",(AD83+AC83+AB83))</f>
        <v>3</v>
      </c>
      <c r="AU83" s="78">
        <f t="shared" si="1"/>
        <v>3</v>
      </c>
      <c r="AV83" s="82" t="str">
        <f>IF(AQ83="N/A","N/A",IF(AQ83&gt;5,'Parâmetros'!$A$15,(IF(AU83=AR83,'Parâmetros'!$A$17,IF(AU83=AS83,'Parâmetros'!$A$16,'Parâmetros'!$A$14)))))</f>
        <v>SEM-RISCO</v>
      </c>
      <c r="AW83" s="86" t="str">
        <f>IF(AQ83="N/A","N/A",IF(AV83='Parâmetros'!$A$15,'Parâmetros'!$C$15,(IF(AV83='Parâmetros'!$A$17,'Parâmetros'!$C$17,IF(AV83='Parâmetros'!$A$16,'Parâmetros'!$C$16,IF(AV83='Parâmetros'!$A$14,'Parâmetros'!$C$12))))))</f>
        <v>LIBERADO</v>
      </c>
      <c r="AX83" s="82" t="str">
        <f>IF(Consultas!F83&gt;1,(IF(Consultas!F83&gt;5000,"SOLICITAR PED COMPRA","N/A")))</f>
        <v>SOLICITAR PED COMPRA</v>
      </c>
      <c r="AY83" s="167" t="str">
        <f>IF(AND(Consultas!M83&lt;&gt;"S", Consultas!H83="S"), "CHECAGEM REVERSA", "N/A")</f>
        <v>N/A</v>
      </c>
      <c r="AZ83" s="167" t="str">
        <f>IF(Consultas!U83="N","PRECISA CORRIGIR END DIVERGENTE","N/A")</f>
        <v>N/A</v>
      </c>
    </row>
    <row r="84" ht="12.0" customHeight="1">
      <c r="A84" s="39" t="s">
        <v>90</v>
      </c>
      <c r="B84" s="82">
        <f>Consultas!B84</f>
        <v>248</v>
      </c>
      <c r="C84" s="82" t="str">
        <f>Consultas!D84</f>
        <v>Metalpleno</v>
      </c>
      <c r="D84" s="96" t="str">
        <f>Consultas!E84</f>
        <v>144612</v>
      </c>
      <c r="E84" s="104">
        <f>IF(Consultas!AB84&gt;0,YEAR('Parâmetros'!$B$1)-YEAR(Consultas!AB84),"NA")</f>
        <v>1</v>
      </c>
      <c r="F84" s="82">
        <f>IF(Consultas!F84&gt;'Parâmetros'!$B$2,-8,0)</f>
        <v>0</v>
      </c>
      <c r="G84" s="82">
        <f>IF(Consultas!H84='Parâmetros'!$E$1,100,0)</f>
        <v>0</v>
      </c>
      <c r="H84" s="82">
        <f>IF(Consultas!I84='Parâmetros'!$E$1,-4,12)</f>
        <v>-4</v>
      </c>
      <c r="I84" s="82">
        <f>IF(Consultas!J84='Parâmetros'!$E$1,1,-13)</f>
        <v>1</v>
      </c>
      <c r="J84" s="82">
        <f>IF(Consultas!K84='Parâmetros'!$E$1,2,-5)</f>
        <v>2</v>
      </c>
      <c r="K84" s="82" t="str">
        <f>IF(Consultas!L84='Parâmetros'!$D$1,"SOLIC CONTRATO DE ENTREGA","N/A")</f>
        <v>SOLIC CONTRATO DE ENTREGA</v>
      </c>
      <c r="L84" s="82">
        <f>IF(Consultas!R84='Parâmetros'!$E$1,1,-3)</f>
        <v>1</v>
      </c>
      <c r="M84" s="82">
        <f>IF(Consultas!S84&gt;1,(IF(Consultas!S84='Parâmetros'!$E$1,-3,9)))</f>
        <v>-3</v>
      </c>
      <c r="N84" s="82">
        <f>IF(Consultas!T84="S",23,0)</f>
        <v>0</v>
      </c>
      <c r="O84" s="82">
        <f>IF(Consultas!U84='Parâmetros'!$E$1,-3,3)</f>
        <v>3</v>
      </c>
      <c r="P84" s="82">
        <f>IF(Consultas!V84='Parâmetros'!$E$1,-100,2)</f>
        <v>2</v>
      </c>
      <c r="Q84" s="82">
        <f>IF(Consultas!M84='Parâmetros'!$D$1,2,-9)</f>
        <v>2</v>
      </c>
      <c r="R84" s="82">
        <f>IF(Consultas!N84="RJ",-12,0)</f>
        <v>0</v>
      </c>
      <c r="S84" s="82">
        <f>IF(Consultas!O84="-",-3,IF(Consultas!O84=0,-6,IF(Consultas!O84=5,0,IF(Consultas!O84=10,6))))</f>
        <v>-3</v>
      </c>
      <c r="T84" s="82">
        <f>IF(Consultas!M84="S",0,(IF(Consultas!P84="S",6,0)))</f>
        <v>0</v>
      </c>
      <c r="U84" s="82">
        <f>IF(Consultas!Q84&gt;97,9,IF(Consultas!Q84&gt;75,0,-7))</f>
        <v>9</v>
      </c>
      <c r="V84" s="82">
        <f>IF(Consultas!W84='Parâmetros'!$E$1,1,-5)</f>
        <v>1</v>
      </c>
      <c r="W84" s="82">
        <f>IF(Consultas!X84="S",3,-3)</f>
        <v>3</v>
      </c>
      <c r="X84" s="82">
        <f>IF(Consultas!Y84="S",0,-7)</f>
        <v>0</v>
      </c>
      <c r="Y84" s="82">
        <f>IF(Consultas!Z84='Parâmetros'!$E$1,2,-8)</f>
        <v>2</v>
      </c>
      <c r="Z84" s="82">
        <f>IF(Consultas!AA84='Parâmetros'!$E$1,-15,1)</f>
        <v>1</v>
      </c>
      <c r="AA84" s="147" t="s">
        <v>140</v>
      </c>
      <c r="AB84" s="82">
        <f>IF(E84="NA","NA",IF(E84&gt;'Parâmetros'!$A$9,8,IF(E84&gt;'Parâmetros'!$A$8,4,IF(E84&gt;'Parâmetros'!$A$7,0,-6))))</f>
        <v>-6</v>
      </c>
      <c r="AC84" s="82">
        <f>IF(Consultas!AC84='Parâmetros'!$E$1,0,5)</f>
        <v>5</v>
      </c>
      <c r="AD84" s="82">
        <f>IF(Consultas!AH84='Parâmetros'!$D$1,-10,5)</f>
        <v>-10</v>
      </c>
      <c r="AE84" s="82">
        <f>IF(Consultas!AI84&gt;(Consultas!F84*2),-10,0)</f>
        <v>-10</v>
      </c>
      <c r="AF84" s="82" t="b">
        <f>IF(Consultas!AD84&gt;1,(IF(Consultas!AI84&gt;(Consultas!AD84),-20,4)))</f>
        <v>0</v>
      </c>
      <c r="AG84" s="82">
        <f>IF(Consultas!AG84='Parâmetros'!$E$1,0,-6)</f>
        <v>0</v>
      </c>
      <c r="AH84" s="82">
        <f>IF(Consultas!AF84='Parâmetros'!$E$1,1,-5)</f>
        <v>-5</v>
      </c>
      <c r="AI84" s="82">
        <f>IF(Consultas!AJ84&gt;700,8,IF(Consultas!AJ84&gt;500,4,IF(Consultas!AJ84&gt;200,-4,IF(Consultas!AJ84&gt;1,-15,-20))))</f>
        <v>4</v>
      </c>
      <c r="AJ84" s="82">
        <f>IF(Consultas!AD84='Parâmetros'!$E$10,0,IF(Consultas!AD84&gt;'Parâmetros'!$A$30,12,IF(Consultas!AD84&gt;'Parâmetros'!$A$31,6,IF(Consultas!AD84&gt;'Parâmetros'!$A$32,0,IF(Consultas!AD84&gt;'Parâmetros'!$A$33,0,IF(Consultas!AD84&gt;'Parâmetros'!$A$34,-3,IF(Consultas!AD84&gt;'Parâmetros'!$A$35,-7,-1)))))))</f>
        <v>-1</v>
      </c>
      <c r="AK84" s="82">
        <f>IF(Consultas!AO84='Parâmetros'!$D$1,3,-3)</f>
        <v>-3</v>
      </c>
      <c r="AL84" s="82">
        <f>IF(Consultas!AP84='Parâmetros'!$D$1,5,-3)</f>
        <v>-3</v>
      </c>
      <c r="AM84" s="82">
        <f>IF(Consultas!AL84="N",-6,0)</f>
        <v>0</v>
      </c>
      <c r="AN84" s="82">
        <f>IF(Consultas!AM84="N",-10,0)</f>
        <v>0</v>
      </c>
      <c r="AO84" s="82">
        <f>IF(Consultas!AN84="S",4,-2)</f>
        <v>-2</v>
      </c>
      <c r="AP84" s="39"/>
      <c r="AQ84" s="165">
        <f>IF(Consultas!F84&gt;1,(SUM(F84:AO84)),"N/A")</f>
        <v>-14</v>
      </c>
      <c r="AR84" s="78">
        <f>IF((Consultas!AD84&gt;'Parâmetros'!$A$31),"X",AJ84+Y84+V84+AC84)</f>
        <v>7</v>
      </c>
      <c r="AS84" s="78">
        <f>IF((Consultas!AD84&gt;'Parâmetros'!$A$31),"X",(H84+I84+J84+Q84+T84+Y84+Z84+AJ84+AN84))</f>
        <v>3</v>
      </c>
      <c r="AT84" s="78" t="str">
        <f>IF((Consultas!AD84&lt;'Parâmetros'!$A$31),"X",(AD84+AC84+AB84))</f>
        <v>X</v>
      </c>
      <c r="AU84" s="78">
        <f t="shared" si="1"/>
        <v>3</v>
      </c>
      <c r="AV84" s="82" t="str">
        <f>IF(AQ84="N/A","N/A",IF(AQ84&gt;5,'Parâmetros'!$A$15,(IF(AU84=AR84,'Parâmetros'!$A$17,IF(AU84=AS84,'Parâmetros'!$A$16,'Parâmetros'!$A$14)))))</f>
        <v>GOLPE</v>
      </c>
      <c r="AW84" s="86" t="str">
        <f>IF(AQ84="N/A","N/A",IF(AV84='Parâmetros'!$A$15,'Parâmetros'!$C$15,(IF(AV84='Parâmetros'!$A$17,'Parâmetros'!$C$17,IF(AV84='Parâmetros'!$A$16,'Parâmetros'!$C$16,IF(AV84='Parâmetros'!$A$14,'Parâmetros'!$C$12))))))</f>
        <v>ENTRADA OU A VISTA</v>
      </c>
      <c r="AX84" s="82" t="str">
        <f>IF(Consultas!F84&gt;1,(IF(Consultas!F84&gt;5000,"SOLICITAR PED COMPRA","N/A")))</f>
        <v>SOLICITAR PED COMPRA</v>
      </c>
      <c r="AY84" s="167" t="str">
        <f>IF(AND(Consultas!M84&lt;&gt;"S", Consultas!H84="S"), "CHECAGEM REVERSA", "N/A")</f>
        <v>N/A</v>
      </c>
      <c r="AZ84" s="167" t="str">
        <f>IF(Consultas!U84="N","PRECISA CORRIGIR END DIVERGENTE","N/A")</f>
        <v>N/A</v>
      </c>
    </row>
    <row r="85" ht="12.0" customHeight="1">
      <c r="A85" s="39" t="s">
        <v>90</v>
      </c>
      <c r="B85" s="82">
        <f>Consultas!B85</f>
        <v>595</v>
      </c>
      <c r="C85" s="82" t="str">
        <f>Consultas!D85</f>
        <v>Oaco</v>
      </c>
      <c r="D85" s="96" t="str">
        <f>Consultas!E85</f>
        <v>036260</v>
      </c>
      <c r="E85" s="104">
        <f>IF(Consultas!AB85&gt;0,YEAR('Parâmetros'!$B$1)-YEAR(Consultas!AB85),"NA")</f>
        <v>27</v>
      </c>
      <c r="F85" s="82">
        <f>IF(Consultas!F85&gt;'Parâmetros'!$B$2,-8,0)</f>
        <v>0</v>
      </c>
      <c r="G85" s="82">
        <f>IF(Consultas!H85='Parâmetros'!$E$1,100,0)</f>
        <v>0</v>
      </c>
      <c r="H85" s="82">
        <f>IF(Consultas!I85='Parâmetros'!$E$1,-4,12)</f>
        <v>-4</v>
      </c>
      <c r="I85" s="82">
        <f>IF(Consultas!J85='Parâmetros'!$E$1,1,-13)</f>
        <v>1</v>
      </c>
      <c r="J85" s="82">
        <f>IF(Consultas!K85='Parâmetros'!$E$1,2,-5)</f>
        <v>2</v>
      </c>
      <c r="K85" s="82" t="str">
        <f>IF(Consultas!L85='Parâmetros'!$D$1,"SOLIC CONTRATO DE ENTREGA","N/A")</f>
        <v>N/A</v>
      </c>
      <c r="L85" s="82">
        <f>IF(Consultas!R85='Parâmetros'!$E$1,1,-3)</f>
        <v>1</v>
      </c>
      <c r="M85" s="82">
        <f>IF(Consultas!S85&gt;1,(IF(Consultas!S85='Parâmetros'!$E$1,-3,9)))</f>
        <v>9</v>
      </c>
      <c r="N85" s="82">
        <f>IF(Consultas!T85="S",23,0)</f>
        <v>0</v>
      </c>
      <c r="O85" s="82">
        <f>IF(Consultas!U85='Parâmetros'!$E$1,-3,3)</f>
        <v>3</v>
      </c>
      <c r="P85" s="82">
        <f>IF(Consultas!V85='Parâmetros'!$E$1,-100,2)</f>
        <v>2</v>
      </c>
      <c r="Q85" s="82">
        <f>IF(Consultas!M85='Parâmetros'!$D$1,2,-9)</f>
        <v>-9</v>
      </c>
      <c r="R85" s="82">
        <f>IF(Consultas!N85="RJ",-12,0)</f>
        <v>0</v>
      </c>
      <c r="S85" s="82">
        <f>IF(Consultas!O85="-",-3,IF(Consultas!O85=0,-6,IF(Consultas!O85=5,0,IF(Consultas!O85=10,6))))</f>
        <v>-6</v>
      </c>
      <c r="T85" s="82">
        <f>IF(Consultas!M85="S",0,(IF(Consultas!P85="S",6,0)))</f>
        <v>0</v>
      </c>
      <c r="U85" s="82">
        <f>IF(Consultas!Q85&gt;97,9,IF(Consultas!Q85&gt;75,0,-7))</f>
        <v>9</v>
      </c>
      <c r="V85" s="82">
        <f>IF(Consultas!W85='Parâmetros'!$E$1,1,-5)</f>
        <v>1</v>
      </c>
      <c r="W85" s="82">
        <f>IF(Consultas!X85="S",3,-3)</f>
        <v>3</v>
      </c>
      <c r="X85" s="82">
        <f>IF(Consultas!Y85="S",0,-7)</f>
        <v>0</v>
      </c>
      <c r="Y85" s="82">
        <f>IF(Consultas!Z85='Parâmetros'!$E$1,2,-8)</f>
        <v>2</v>
      </c>
      <c r="Z85" s="82">
        <f>IF(Consultas!AA85='Parâmetros'!$E$1,-15,1)</f>
        <v>1</v>
      </c>
      <c r="AA85" s="147" t="s">
        <v>140</v>
      </c>
      <c r="AB85" s="82">
        <f>IF(E85="NA","NA",IF(E85&gt;'Parâmetros'!$A$9,8,IF(E85&gt;'Parâmetros'!$A$8,4,IF(E85&gt;'Parâmetros'!$A$7,0,-6))))</f>
        <v>4</v>
      </c>
      <c r="AC85" s="82">
        <f>IF(Consultas!AC85='Parâmetros'!$E$1,0,5)</f>
        <v>0</v>
      </c>
      <c r="AD85" s="82">
        <f>IF(Consultas!AH85='Parâmetros'!$D$1,-10,5)</f>
        <v>5</v>
      </c>
      <c r="AE85" s="82">
        <f>IF(Consultas!AI85&gt;(Consultas!F85*2),-10,0)</f>
        <v>-10</v>
      </c>
      <c r="AF85" s="82">
        <f>IF(Consultas!AD85&gt;1,(IF(Consultas!AI85&gt;(Consultas!AD85),-20,4)))</f>
        <v>4</v>
      </c>
      <c r="AG85" s="82">
        <f>IF(Consultas!AG85='Parâmetros'!$E$1,0,-6)</f>
        <v>0</v>
      </c>
      <c r="AH85" s="82">
        <f>IF(Consultas!AF85='Parâmetros'!$E$1,1,-5)</f>
        <v>-5</v>
      </c>
      <c r="AI85" s="82">
        <f>IF(Consultas!AJ85&gt;700,8,IF(Consultas!AJ85&gt;500,4,IF(Consultas!AJ85&gt;200,-4,IF(Consultas!AJ85&gt;1,-15,-20))))</f>
        <v>4</v>
      </c>
      <c r="AJ85" s="82">
        <f>IF(Consultas!AD85='Parâmetros'!$E$10,0,IF(Consultas!AD85&gt;'Parâmetros'!$A$30,12,IF(Consultas!AD85&gt;'Parâmetros'!$A$31,6,IF(Consultas!AD85&gt;'Parâmetros'!$A$32,0,IF(Consultas!AD85&gt;'Parâmetros'!$A$33,0,IF(Consultas!AD85&gt;'Parâmetros'!$A$34,-3,IF(Consultas!AD85&gt;'Parâmetros'!$A$35,-7,-1)))))))</f>
        <v>12</v>
      </c>
      <c r="AK85" s="82">
        <f>IF(Consultas!AO85='Parâmetros'!$D$1,3,-3)</f>
        <v>-3</v>
      </c>
      <c r="AL85" s="82">
        <f>IF(Consultas!AP85='Parâmetros'!$D$1,5,-3)</f>
        <v>-3</v>
      </c>
      <c r="AM85" s="82">
        <f>IF(Consultas!AL85="N",-6,0)</f>
        <v>0</v>
      </c>
      <c r="AN85" s="82">
        <f>IF(Consultas!AM85="N",-10,0)</f>
        <v>0</v>
      </c>
      <c r="AO85" s="82">
        <f>IF(Consultas!AN85="S",4,-2)</f>
        <v>-2</v>
      </c>
      <c r="AP85" s="39"/>
      <c r="AQ85" s="165">
        <f>IF(Consultas!F85&gt;1,(SUM(F85:AO85)),"N/A")</f>
        <v>21</v>
      </c>
      <c r="AR85" s="78" t="str">
        <f>IF((Consultas!AD85&gt;'Parâmetros'!$A$31),"X",AJ85+Y85+V85+AC85)</f>
        <v>X</v>
      </c>
      <c r="AS85" s="78" t="str">
        <f>IF((Consultas!AD85&gt;'Parâmetros'!$A$31),"X",(H85+I85+J85+Q85+T85+Y85+Z85+AJ85+AN85))</f>
        <v>X</v>
      </c>
      <c r="AT85" s="78">
        <f>IF((Consultas!AD85&lt;'Parâmetros'!$A$31),"X",(AD85+AC85+AB85))</f>
        <v>9</v>
      </c>
      <c r="AU85" s="78">
        <f t="shared" si="1"/>
        <v>9</v>
      </c>
      <c r="AV85" s="82" t="str">
        <f>IF(AQ85="N/A","N/A",IF(AQ85&gt;5,'Parâmetros'!$A$15,(IF(AU85=AR85,'Parâmetros'!$A$17,IF(AU85=AS85,'Parâmetros'!$A$16,'Parâmetros'!$A$14)))))</f>
        <v>SEM-RISCO</v>
      </c>
      <c r="AW85" s="86" t="str">
        <f>IF(AQ85="N/A","N/A",IF(AV85='Parâmetros'!$A$15,'Parâmetros'!$C$15,(IF(AV85='Parâmetros'!$A$17,'Parâmetros'!$C$17,IF(AV85='Parâmetros'!$A$16,'Parâmetros'!$C$16,IF(AV85='Parâmetros'!$A$14,'Parâmetros'!$C$12))))))</f>
        <v>LIBERADO</v>
      </c>
      <c r="AX85" s="82" t="str">
        <f>IF(Consultas!F85&gt;1,(IF(Consultas!F85&gt;5000,"SOLICITAR PED COMPRA","N/A")))</f>
        <v>N/A</v>
      </c>
      <c r="AY85" s="167" t="str">
        <f>IF(AND(Consultas!M85&lt;&gt;"S", Consultas!H85="S"), "CHECAGEM REVERSA", "N/A")</f>
        <v>CHECAGEM REVERSA</v>
      </c>
      <c r="AZ85" s="167" t="str">
        <f>IF(Consultas!U85="N","PRECISA CORRIGIR END DIVERGENTE","N/A")</f>
        <v>N/A</v>
      </c>
    </row>
    <row r="86" ht="12.0" customHeight="1">
      <c r="A86" s="39" t="s">
        <v>90</v>
      </c>
      <c r="B86" s="82">
        <f>Consultas!B86</f>
        <v>249</v>
      </c>
      <c r="C86" s="82" t="str">
        <f>Consultas!D86</f>
        <v>Metalpleno</v>
      </c>
      <c r="D86" s="96" t="str">
        <f>Consultas!E86</f>
        <v>015451</v>
      </c>
      <c r="E86" s="104">
        <f>IF(Consultas!AB86&gt;0,YEAR('Parâmetros'!$B$1)-YEAR(Consultas!AB86),"NA")</f>
        <v>59</v>
      </c>
      <c r="F86" s="82">
        <f>IF(Consultas!F86&gt;'Parâmetros'!$B$2,-8,0)</f>
        <v>0</v>
      </c>
      <c r="G86" s="82">
        <f>IF(Consultas!H86='Parâmetros'!$E$1,100,0)</f>
        <v>0</v>
      </c>
      <c r="H86" s="82">
        <f>IF(Consultas!I86='Parâmetros'!$E$1,-4,12)</f>
        <v>-4</v>
      </c>
      <c r="I86" s="82">
        <f>IF(Consultas!J86='Parâmetros'!$E$1,1,-13)</f>
        <v>1</v>
      </c>
      <c r="J86" s="82">
        <f>IF(Consultas!K86='Parâmetros'!$E$1,2,-5)</f>
        <v>2</v>
      </c>
      <c r="K86" s="82" t="str">
        <f>IF(Consultas!L86='Parâmetros'!$D$1,"SOLIC CONTRATO DE ENTREGA","N/A")</f>
        <v>SOLIC CONTRATO DE ENTREGA</v>
      </c>
      <c r="L86" s="82">
        <f>IF(Consultas!R86='Parâmetros'!$E$1,1,-3)</f>
        <v>1</v>
      </c>
      <c r="M86" s="82">
        <f>IF(Consultas!S86&gt;1,(IF(Consultas!S86='Parâmetros'!$E$1,-3,9)))</f>
        <v>9</v>
      </c>
      <c r="N86" s="82">
        <f>IF(Consultas!T86="S",23,0)</f>
        <v>23</v>
      </c>
      <c r="O86" s="82">
        <f>IF(Consultas!U86='Parâmetros'!$E$1,-3,3)</f>
        <v>3</v>
      </c>
      <c r="P86" s="82">
        <f>IF(Consultas!V86='Parâmetros'!$E$1,-100,2)</f>
        <v>2</v>
      </c>
      <c r="Q86" s="82">
        <f>IF(Consultas!M86='Parâmetros'!$D$1,2,-9)</f>
        <v>2</v>
      </c>
      <c r="R86" s="82">
        <f>IF(Consultas!N86="RJ",-12,0)</f>
        <v>0</v>
      </c>
      <c r="S86" s="82">
        <f>IF(Consultas!O86="-",-3,IF(Consultas!O86=0,-6,IF(Consultas!O86=5,0,IF(Consultas!O86=10,6))))</f>
        <v>0</v>
      </c>
      <c r="T86" s="82">
        <f>IF(Consultas!M86="S",0,(IF(Consultas!P86="S",6,0)))</f>
        <v>0</v>
      </c>
      <c r="U86" s="82">
        <f>IF(Consultas!Q86&gt;97,9,IF(Consultas!Q86&gt;75,0,-7))</f>
        <v>9</v>
      </c>
      <c r="V86" s="82">
        <f>IF(Consultas!W86='Parâmetros'!$E$1,1,-5)</f>
        <v>1</v>
      </c>
      <c r="W86" s="82">
        <f>IF(Consultas!X86="S",3,-3)</f>
        <v>3</v>
      </c>
      <c r="X86" s="82">
        <f>IF(Consultas!Y86="S",0,-7)</f>
        <v>0</v>
      </c>
      <c r="Y86" s="82">
        <f>IF(Consultas!Z86='Parâmetros'!$E$1,2,-8)</f>
        <v>2</v>
      </c>
      <c r="Z86" s="82">
        <f>IF(Consultas!AA86='Parâmetros'!$E$1,-15,1)</f>
        <v>1</v>
      </c>
      <c r="AA86" s="147" t="s">
        <v>140</v>
      </c>
      <c r="AB86" s="82">
        <f>IF(E86="NA","NA",IF(E86&gt;'Parâmetros'!$A$9,8,IF(E86&gt;'Parâmetros'!$A$8,4,IF(E86&gt;'Parâmetros'!$A$7,0,-6))))</f>
        <v>8</v>
      </c>
      <c r="AC86" s="82">
        <f>IF(Consultas!AC86='Parâmetros'!$E$1,0,5)</f>
        <v>5</v>
      </c>
      <c r="AD86" s="82">
        <f>IF(Consultas!AH86='Parâmetros'!$D$1,-10,5)</f>
        <v>-10</v>
      </c>
      <c r="AE86" s="82">
        <f>IF(Consultas!AI86&gt;(Consultas!F86*2),-10,0)</f>
        <v>0</v>
      </c>
      <c r="AF86" s="82" t="b">
        <f>IF(Consultas!AD86&gt;1,(IF(Consultas!AI86&gt;(Consultas!AD86),-20,4)))</f>
        <v>0</v>
      </c>
      <c r="AG86" s="82">
        <f>IF(Consultas!AG86='Parâmetros'!$E$1,0,-6)</f>
        <v>0</v>
      </c>
      <c r="AH86" s="82">
        <f>IF(Consultas!AF86='Parâmetros'!$E$1,1,-5)</f>
        <v>1</v>
      </c>
      <c r="AI86" s="82">
        <f>IF(Consultas!AJ86&gt;700,8,IF(Consultas!AJ86&gt;500,4,IF(Consultas!AJ86&gt;200,-4,IF(Consultas!AJ86&gt;1,-15,-20))))</f>
        <v>8</v>
      </c>
      <c r="AJ86" s="82">
        <f>IF(Consultas!AD86='Parâmetros'!$E$10,0,IF(Consultas!AD86&gt;'Parâmetros'!$A$30,12,IF(Consultas!AD86&gt;'Parâmetros'!$A$31,6,IF(Consultas!AD86&gt;'Parâmetros'!$A$32,0,IF(Consultas!AD86&gt;'Parâmetros'!$A$33,0,IF(Consultas!AD86&gt;'Parâmetros'!$A$34,-3,IF(Consultas!AD86&gt;'Parâmetros'!$A$35,-7,-1)))))))</f>
        <v>-1</v>
      </c>
      <c r="AK86" s="82">
        <f>IF(Consultas!AO86='Parâmetros'!$D$1,3,-3)</f>
        <v>-3</v>
      </c>
      <c r="AL86" s="82">
        <f>IF(Consultas!AP86='Parâmetros'!$D$1,5,-3)</f>
        <v>-3</v>
      </c>
      <c r="AM86" s="82">
        <f>IF(Consultas!AL86="N",-6,0)</f>
        <v>0</v>
      </c>
      <c r="AN86" s="82">
        <f>IF(Consultas!AM86="N",-10,0)</f>
        <v>0</v>
      </c>
      <c r="AO86" s="82">
        <f>IF(Consultas!AN86="S",4,-2)</f>
        <v>-2</v>
      </c>
      <c r="AP86" s="39"/>
      <c r="AQ86" s="165">
        <f>IF(Consultas!F86&gt;1,(SUM(F86:AO86)),"N/A")</f>
        <v>58</v>
      </c>
      <c r="AR86" s="78">
        <f>IF((Consultas!AD86&gt;'Parâmetros'!$A$31),"X",AJ86+Y86+V86+AC86)</f>
        <v>7</v>
      </c>
      <c r="AS86" s="78">
        <f>IF((Consultas!AD86&gt;'Parâmetros'!$A$31),"X",(H86+I86+J86+Q86+T86+Y86+Z86+AJ86+AN86))</f>
        <v>3</v>
      </c>
      <c r="AT86" s="78" t="str">
        <f>IF((Consultas!AD86&lt;'Parâmetros'!$A$31),"X",(AD86+AC86+AB86))</f>
        <v>X</v>
      </c>
      <c r="AU86" s="78">
        <f t="shared" si="1"/>
        <v>3</v>
      </c>
      <c r="AV86" s="82" t="str">
        <f>IF(AQ86="N/A","N/A",IF(AQ86&gt;5,'Parâmetros'!$A$15,(IF(AU86=AR86,'Parâmetros'!$A$17,IF(AU86=AS86,'Parâmetros'!$A$16,'Parâmetros'!$A$14)))))</f>
        <v>SEM-RISCO</v>
      </c>
      <c r="AW86" s="86" t="str">
        <f>IF(AQ86="N/A","N/A",IF(AV86='Parâmetros'!$A$15,'Parâmetros'!$C$15,(IF(AV86='Parâmetros'!$A$17,'Parâmetros'!$C$17,IF(AV86='Parâmetros'!$A$16,'Parâmetros'!$C$16,IF(AV86='Parâmetros'!$A$14,'Parâmetros'!$C$12))))))</f>
        <v>LIBERADO</v>
      </c>
      <c r="AX86" s="82" t="str">
        <f>IF(Consultas!F86&gt;1,(IF(Consultas!F86&gt;5000,"SOLICITAR PED COMPRA","N/A")))</f>
        <v>SOLICITAR PED COMPRA</v>
      </c>
      <c r="AY86" s="167" t="str">
        <f>IF(AND(Consultas!M86&lt;&gt;"S", Consultas!H86="S"), "CHECAGEM REVERSA", "N/A")</f>
        <v>N/A</v>
      </c>
      <c r="AZ86" s="167" t="str">
        <f>IF(Consultas!U86="N","PRECISA CORRIGIR END DIVERGENTE","N/A")</f>
        <v>N/A</v>
      </c>
    </row>
    <row r="87" ht="12.0" customHeight="1">
      <c r="A87" s="39" t="s">
        <v>90</v>
      </c>
      <c r="B87" s="82">
        <f>Consultas!B87</f>
        <v>596</v>
      </c>
      <c r="C87" s="82" t="str">
        <f>Consultas!D87</f>
        <v>Oaco</v>
      </c>
      <c r="D87" s="96" t="str">
        <f>Consultas!E87</f>
        <v>144613</v>
      </c>
      <c r="E87" s="104">
        <f>IF(Consultas!AB87&gt;0,YEAR('Parâmetros'!$B$1)-YEAR(Consultas!AB87),"NA")</f>
        <v>8</v>
      </c>
      <c r="F87" s="82">
        <f>IF(Consultas!F87&gt;'Parâmetros'!$B$2,-8,0)</f>
        <v>0</v>
      </c>
      <c r="G87" s="82">
        <f>IF(Consultas!H87='Parâmetros'!$E$1,100,0)</f>
        <v>0</v>
      </c>
      <c r="H87" s="82">
        <f>IF(Consultas!I87='Parâmetros'!$E$1,-4,12)</f>
        <v>-4</v>
      </c>
      <c r="I87" s="82">
        <f>IF(Consultas!J87='Parâmetros'!$E$1,1,-13)</f>
        <v>1</v>
      </c>
      <c r="J87" s="82">
        <f>IF(Consultas!K87='Parâmetros'!$E$1,2,-5)</f>
        <v>2</v>
      </c>
      <c r="K87" s="82" t="str">
        <f>IF(Consultas!L87='Parâmetros'!$D$1,"SOLIC CONTRATO DE ENTREGA","N/A")</f>
        <v>SOLIC CONTRATO DE ENTREGA</v>
      </c>
      <c r="L87" s="82">
        <f>IF(Consultas!R87='Parâmetros'!$E$1,1,-3)</f>
        <v>1</v>
      </c>
      <c r="M87" s="82">
        <f>IF(Consultas!S87&gt;1,(IF(Consultas!S87='Parâmetros'!$E$1,-3,9)))</f>
        <v>-3</v>
      </c>
      <c r="N87" s="82">
        <f>IF(Consultas!T87="S",23,0)</f>
        <v>0</v>
      </c>
      <c r="O87" s="82">
        <f>IF(Consultas!U87='Parâmetros'!$E$1,-3,3)</f>
        <v>3</v>
      </c>
      <c r="P87" s="82">
        <f>IF(Consultas!V87='Parâmetros'!$E$1,-100,2)</f>
        <v>2</v>
      </c>
      <c r="Q87" s="82">
        <f>IF(Consultas!M87='Parâmetros'!$D$1,2,-9)</f>
        <v>2</v>
      </c>
      <c r="R87" s="82">
        <f>IF(Consultas!N87="RJ",-12,0)</f>
        <v>0</v>
      </c>
      <c r="S87" s="82">
        <f>IF(Consultas!O87="-",-3,IF(Consultas!O87=0,-6,IF(Consultas!O87=5,0,IF(Consultas!O87=10,6))))</f>
        <v>0</v>
      </c>
      <c r="T87" s="82">
        <f>IF(Consultas!M87="S",0,(IF(Consultas!P87="S",6,0)))</f>
        <v>0</v>
      </c>
      <c r="U87" s="82">
        <f>IF(Consultas!Q87&gt;97,9,IF(Consultas!Q87&gt;75,0,-7))</f>
        <v>9</v>
      </c>
      <c r="V87" s="82">
        <f>IF(Consultas!W87='Parâmetros'!$E$1,1,-5)</f>
        <v>-5</v>
      </c>
      <c r="W87" s="82">
        <f>IF(Consultas!X87="S",3,-3)</f>
        <v>3</v>
      </c>
      <c r="X87" s="82">
        <f>IF(Consultas!Y87="S",0,-7)</f>
        <v>0</v>
      </c>
      <c r="Y87" s="82">
        <f>IF(Consultas!Z87='Parâmetros'!$E$1,2,-8)</f>
        <v>2</v>
      </c>
      <c r="Z87" s="82">
        <f>IF(Consultas!AA87='Parâmetros'!$E$1,-15,1)</f>
        <v>1</v>
      </c>
      <c r="AA87" s="147" t="s">
        <v>140</v>
      </c>
      <c r="AB87" s="82">
        <f>IF(E87="NA","NA",IF(E87&gt;'Parâmetros'!$A$9,8,IF(E87&gt;'Parâmetros'!$A$8,4,IF(E87&gt;'Parâmetros'!$A$7,0,-6))))</f>
        <v>0</v>
      </c>
      <c r="AC87" s="82">
        <f>IF(Consultas!AC87='Parâmetros'!$E$1,0,5)</f>
        <v>0</v>
      </c>
      <c r="AD87" s="82">
        <f>IF(Consultas!AH87='Parâmetros'!$D$1,-10,5)</f>
        <v>5</v>
      </c>
      <c r="AE87" s="82">
        <f>IF(Consultas!AI87&gt;(Consultas!F87*2),-10,0)</f>
        <v>0</v>
      </c>
      <c r="AF87" s="82">
        <f>IF(Consultas!AD87&gt;1,(IF(Consultas!AI87&gt;(Consultas!AD87),-20,4)))</f>
        <v>4</v>
      </c>
      <c r="AG87" s="82">
        <f>IF(Consultas!AG87='Parâmetros'!$E$1,0,-6)</f>
        <v>0</v>
      </c>
      <c r="AH87" s="82">
        <f>IF(Consultas!AF87='Parâmetros'!$E$1,1,-5)</f>
        <v>1</v>
      </c>
      <c r="AI87" s="82">
        <f>IF(Consultas!AJ87&gt;700,8,IF(Consultas!AJ87&gt;500,4,IF(Consultas!AJ87&gt;200,-4,IF(Consultas!AJ87&gt;1,-15,-20))))</f>
        <v>4</v>
      </c>
      <c r="AJ87" s="82">
        <f>IF(Consultas!AD87='Parâmetros'!$E$10,0,IF(Consultas!AD87&gt;'Parâmetros'!$A$30,12,IF(Consultas!AD87&gt;'Parâmetros'!$A$31,6,IF(Consultas!AD87&gt;'Parâmetros'!$A$32,0,IF(Consultas!AD87&gt;'Parâmetros'!$A$33,0,IF(Consultas!AD87&gt;'Parâmetros'!$A$34,-3,IF(Consultas!AD87&gt;'Parâmetros'!$A$35,-7,-1)))))))</f>
        <v>12</v>
      </c>
      <c r="AK87" s="82">
        <f>IF(Consultas!AO87='Parâmetros'!$D$1,3,-3)</f>
        <v>-3</v>
      </c>
      <c r="AL87" s="82">
        <f>IF(Consultas!AP87='Parâmetros'!$D$1,5,-3)</f>
        <v>-3</v>
      </c>
      <c r="AM87" s="82">
        <f>IF(Consultas!AL87="N",-6,0)</f>
        <v>0</v>
      </c>
      <c r="AN87" s="82">
        <f>IF(Consultas!AM87="N",-10,0)</f>
        <v>0</v>
      </c>
      <c r="AO87" s="82">
        <f>IF(Consultas!AN87="S",4,-2)</f>
        <v>-2</v>
      </c>
      <c r="AP87" s="39"/>
      <c r="AQ87" s="165">
        <f>IF(Consultas!F87&gt;1,(SUM(F87:AO87)),"N/A")</f>
        <v>32</v>
      </c>
      <c r="AR87" s="78" t="str">
        <f>IF((Consultas!AD87&gt;'Parâmetros'!$A$31),"X",AJ87+Y87+V87+AC87)</f>
        <v>X</v>
      </c>
      <c r="AS87" s="78" t="str">
        <f>IF((Consultas!AD87&gt;'Parâmetros'!$A$31),"X",(H87+I87+J87+Q87+T87+Y87+Z87+AJ87+AN87))</f>
        <v>X</v>
      </c>
      <c r="AT87" s="78">
        <f>IF((Consultas!AD87&lt;'Parâmetros'!$A$31),"X",(AD87+AC87+AB87))</f>
        <v>5</v>
      </c>
      <c r="AU87" s="78">
        <f t="shared" si="1"/>
        <v>5</v>
      </c>
      <c r="AV87" s="82" t="str">
        <f>IF(AQ87="N/A","N/A",IF(AQ87&gt;5,'Parâmetros'!$A$15,(IF(AU87=AR87,'Parâmetros'!$A$17,IF(AU87=AS87,'Parâmetros'!$A$16,'Parâmetros'!$A$14)))))</f>
        <v>SEM-RISCO</v>
      </c>
      <c r="AW87" s="86" t="str">
        <f>IF(AQ87="N/A","N/A",IF(AV87='Parâmetros'!$A$15,'Parâmetros'!$C$15,(IF(AV87='Parâmetros'!$A$17,'Parâmetros'!$C$17,IF(AV87='Parâmetros'!$A$16,'Parâmetros'!$C$16,IF(AV87='Parâmetros'!$A$14,'Parâmetros'!$C$12))))))</f>
        <v>LIBERADO</v>
      </c>
      <c r="AX87" s="82" t="str">
        <f>IF(Consultas!F87&gt;1,(IF(Consultas!F87&gt;5000,"SOLICITAR PED COMPRA","N/A")))</f>
        <v>N/A</v>
      </c>
      <c r="AY87" s="167" t="str">
        <f>IF(AND(Consultas!M87&lt;&gt;"S", Consultas!H87="S"), "CHECAGEM REVERSA", "N/A")</f>
        <v>N/A</v>
      </c>
      <c r="AZ87" s="167" t="str">
        <f>IF(Consultas!U87="N","PRECISA CORRIGIR END DIVERGENTE","N/A")</f>
        <v>N/A</v>
      </c>
    </row>
    <row r="88" ht="12.0" customHeight="1">
      <c r="A88" s="39" t="s">
        <v>90</v>
      </c>
      <c r="B88" s="82">
        <f>Consultas!B88</f>
        <v>250</v>
      </c>
      <c r="C88" s="82" t="str">
        <f>Consultas!D88</f>
        <v>Metalpleno</v>
      </c>
      <c r="D88" s="96" t="str">
        <f>Consultas!E88</f>
        <v>143547</v>
      </c>
      <c r="E88" s="104">
        <f>IF(Consultas!AB88&gt;0,YEAR('Parâmetros'!$B$1)-YEAR(Consultas!AB88),"NA")</f>
        <v>5</v>
      </c>
      <c r="F88" s="82">
        <f>IF(Consultas!F88&gt;'Parâmetros'!$B$2,-8,0)</f>
        <v>0</v>
      </c>
      <c r="G88" s="82">
        <f>IF(Consultas!H88='Parâmetros'!$E$1,100,0)</f>
        <v>0</v>
      </c>
      <c r="H88" s="82">
        <f>IF(Consultas!I88='Parâmetros'!$E$1,-4,12)</f>
        <v>-4</v>
      </c>
      <c r="I88" s="82">
        <f>IF(Consultas!J88='Parâmetros'!$E$1,1,-13)</f>
        <v>1</v>
      </c>
      <c r="J88" s="82">
        <f>IF(Consultas!K88='Parâmetros'!$E$1,2,-5)</f>
        <v>2</v>
      </c>
      <c r="K88" s="82" t="str">
        <f>IF(Consultas!L88='Parâmetros'!$D$1,"SOLIC CONTRATO DE ENTREGA","N/A")</f>
        <v>SOLIC CONTRATO DE ENTREGA</v>
      </c>
      <c r="L88" s="82">
        <f>IF(Consultas!R88='Parâmetros'!$E$1,1,-3)</f>
        <v>1</v>
      </c>
      <c r="M88" s="82">
        <f>IF(Consultas!S88&gt;1,(IF(Consultas!S88='Parâmetros'!$E$1,-3,9)))</f>
        <v>9</v>
      </c>
      <c r="N88" s="82">
        <f>IF(Consultas!T88="S",23,0)</f>
        <v>23</v>
      </c>
      <c r="O88" s="82">
        <f>IF(Consultas!U88='Parâmetros'!$E$1,-3,3)</f>
        <v>3</v>
      </c>
      <c r="P88" s="82">
        <f>IF(Consultas!V88='Parâmetros'!$E$1,-100,2)</f>
        <v>2</v>
      </c>
      <c r="Q88" s="82">
        <f>IF(Consultas!M88='Parâmetros'!$D$1,2,-9)</f>
        <v>2</v>
      </c>
      <c r="R88" s="82">
        <f>IF(Consultas!N88="RJ",-12,0)</f>
        <v>0</v>
      </c>
      <c r="S88" s="82">
        <f>IF(Consultas!O88="-",-3,IF(Consultas!O88=0,-6,IF(Consultas!O88=5,0,IF(Consultas!O88=10,6))))</f>
        <v>0</v>
      </c>
      <c r="T88" s="82">
        <f>IF(Consultas!M88="S",0,(IF(Consultas!P88="S",6,0)))</f>
        <v>0</v>
      </c>
      <c r="U88" s="82">
        <f>IF(Consultas!Q88&gt;97,9,IF(Consultas!Q88&gt;75,0,-7))</f>
        <v>9</v>
      </c>
      <c r="V88" s="82">
        <f>IF(Consultas!W88='Parâmetros'!$E$1,1,-5)</f>
        <v>1</v>
      </c>
      <c r="W88" s="82">
        <f>IF(Consultas!X88="S",3,-3)</f>
        <v>3</v>
      </c>
      <c r="X88" s="82">
        <f>IF(Consultas!Y88="S",0,-7)</f>
        <v>0</v>
      </c>
      <c r="Y88" s="82">
        <f>IF(Consultas!Z88='Parâmetros'!$E$1,2,-8)</f>
        <v>2</v>
      </c>
      <c r="Z88" s="82">
        <f>IF(Consultas!AA88='Parâmetros'!$E$1,-15,1)</f>
        <v>1</v>
      </c>
      <c r="AA88" s="147" t="s">
        <v>140</v>
      </c>
      <c r="AB88" s="82">
        <f>IF(E88="NA","NA",IF(E88&gt;'Parâmetros'!$A$9,8,IF(E88&gt;'Parâmetros'!$A$8,4,IF(E88&gt;'Parâmetros'!$A$7,0,-6))))</f>
        <v>-6</v>
      </c>
      <c r="AC88" s="82">
        <f>IF(Consultas!AC88='Parâmetros'!$E$1,0,5)</f>
        <v>0</v>
      </c>
      <c r="AD88" s="82">
        <f>IF(Consultas!AH88='Parâmetros'!$D$1,-10,5)</f>
        <v>-10</v>
      </c>
      <c r="AE88" s="82">
        <f>IF(Consultas!AI88&gt;(Consultas!F88*2),-10,0)</f>
        <v>-10</v>
      </c>
      <c r="AF88" s="82">
        <f>IF(Consultas!AD88&gt;1,(IF(Consultas!AI88&gt;(Consultas!AD88),-20,4)))</f>
        <v>4</v>
      </c>
      <c r="AG88" s="82">
        <f>IF(Consultas!AG88='Parâmetros'!$E$1,0,-6)</f>
        <v>0</v>
      </c>
      <c r="AH88" s="82">
        <f>IF(Consultas!AF88='Parâmetros'!$E$1,1,-5)</f>
        <v>1</v>
      </c>
      <c r="AI88" s="82">
        <f>IF(Consultas!AJ88&gt;700,8,IF(Consultas!AJ88&gt;500,4,IF(Consultas!AJ88&gt;200,-4,IF(Consultas!AJ88&gt;1,-15,-20))))</f>
        <v>-4</v>
      </c>
      <c r="AJ88" s="82">
        <f>IF(Consultas!AD88='Parâmetros'!$E$10,0,IF(Consultas!AD88&gt;'Parâmetros'!$A$30,12,IF(Consultas!AD88&gt;'Parâmetros'!$A$31,6,IF(Consultas!AD88&gt;'Parâmetros'!$A$32,0,IF(Consultas!AD88&gt;'Parâmetros'!$A$33,0,IF(Consultas!AD88&gt;'Parâmetros'!$A$34,-3,IF(Consultas!AD88&gt;'Parâmetros'!$A$35,-7,-1)))))))</f>
        <v>12</v>
      </c>
      <c r="AK88" s="82">
        <f>IF(Consultas!AO88='Parâmetros'!$D$1,3,-3)</f>
        <v>-3</v>
      </c>
      <c r="AL88" s="82">
        <f>IF(Consultas!AP88='Parâmetros'!$D$1,5,-3)</f>
        <v>-3</v>
      </c>
      <c r="AM88" s="82">
        <f>IF(Consultas!AL88="N",-6,0)</f>
        <v>0</v>
      </c>
      <c r="AN88" s="82">
        <f>IF(Consultas!AM88="N",-10,0)</f>
        <v>0</v>
      </c>
      <c r="AO88" s="82">
        <f>IF(Consultas!AN88="S",4,-2)</f>
        <v>-2</v>
      </c>
      <c r="AP88" s="39"/>
      <c r="AQ88" s="165">
        <f>IF(Consultas!F88&gt;1,(SUM(F88:AO88)),"N/A")</f>
        <v>34</v>
      </c>
      <c r="AR88" s="78" t="str">
        <f>IF((Consultas!AD88&gt;'Parâmetros'!$A$31),"X",AJ88+Y88+V88+AC88)</f>
        <v>X</v>
      </c>
      <c r="AS88" s="78" t="str">
        <f>IF((Consultas!AD88&gt;'Parâmetros'!$A$31),"X",(H88+I88+J88+Q88+T88+Y88+Z88+AJ88+AN88))</f>
        <v>X</v>
      </c>
      <c r="AT88" s="78">
        <f>IF((Consultas!AD88&lt;'Parâmetros'!$A$31),"X",(AD88+AC88+AB88))</f>
        <v>-16</v>
      </c>
      <c r="AU88" s="78">
        <f t="shared" si="1"/>
        <v>-16</v>
      </c>
      <c r="AV88" s="82" t="str">
        <f>IF(AQ88="N/A","N/A",IF(AQ88&gt;5,'Parâmetros'!$A$15,(IF(AU88=AR88,'Parâmetros'!$A$17,IF(AU88=AS88,'Parâmetros'!$A$16,'Parâmetros'!$A$14)))))</f>
        <v>SEM-RISCO</v>
      </c>
      <c r="AW88" s="86" t="str">
        <f>IF(AQ88="N/A","N/A",IF(AV88='Parâmetros'!$A$15,'Parâmetros'!$C$15,(IF(AV88='Parâmetros'!$A$17,'Parâmetros'!$C$17,IF(AV88='Parâmetros'!$A$16,'Parâmetros'!$C$16,IF(AV88='Parâmetros'!$A$14,'Parâmetros'!$C$12))))))</f>
        <v>LIBERADO</v>
      </c>
      <c r="AX88" s="82" t="str">
        <f>IF(Consultas!F88&gt;1,(IF(Consultas!F88&gt;5000,"SOLICITAR PED COMPRA","N/A")))</f>
        <v>SOLICITAR PED COMPRA</v>
      </c>
      <c r="AY88" s="167" t="str">
        <f>IF(AND(Consultas!M88&lt;&gt;"S", Consultas!H88="S"), "CHECAGEM REVERSA", "N/A")</f>
        <v>N/A</v>
      </c>
      <c r="AZ88" s="167" t="str">
        <f>IF(Consultas!U88="N","PRECISA CORRIGIR END DIVERGENTE","N/A")</f>
        <v>N/A</v>
      </c>
    </row>
    <row r="89" ht="12.0" customHeight="1">
      <c r="A89" s="39" t="s">
        <v>90</v>
      </c>
      <c r="B89" s="82">
        <f>Consultas!B89</f>
        <v>251</v>
      </c>
      <c r="C89" s="82" t="str">
        <f>Consultas!D89</f>
        <v>Metalpleno</v>
      </c>
      <c r="D89" s="96" t="str">
        <f>Consultas!E89</f>
        <v>144562</v>
      </c>
      <c r="E89" s="104">
        <f>IF(Consultas!AB89&gt;0,YEAR('Parâmetros'!$B$1)-YEAR(Consultas!AB89),"NA")</f>
        <v>54</v>
      </c>
      <c r="F89" s="82">
        <f>IF(Consultas!F89&gt;'Parâmetros'!$B$2,-8,0)</f>
        <v>0</v>
      </c>
      <c r="G89" s="82">
        <f>IF(Consultas!H89='Parâmetros'!$E$1,100,0)</f>
        <v>0</v>
      </c>
      <c r="H89" s="82">
        <f>IF(Consultas!I89='Parâmetros'!$E$1,-4,12)</f>
        <v>-4</v>
      </c>
      <c r="I89" s="82">
        <f>IF(Consultas!J89='Parâmetros'!$E$1,1,-13)</f>
        <v>1</v>
      </c>
      <c r="J89" s="82">
        <f>IF(Consultas!K89='Parâmetros'!$E$1,2,-5)</f>
        <v>2</v>
      </c>
      <c r="K89" s="82" t="str">
        <f>IF(Consultas!L89='Parâmetros'!$D$1,"SOLIC CONTRATO DE ENTREGA","N/A")</f>
        <v>SOLIC CONTRATO DE ENTREGA</v>
      </c>
      <c r="L89" s="82">
        <f>IF(Consultas!R89='Parâmetros'!$E$1,1,-3)</f>
        <v>1</v>
      </c>
      <c r="M89" s="82">
        <f>IF(Consultas!S89&gt;1,(IF(Consultas!S89='Parâmetros'!$E$1,-3,9)))</f>
        <v>9</v>
      </c>
      <c r="N89" s="82">
        <f>IF(Consultas!T89="S",23,0)</f>
        <v>0</v>
      </c>
      <c r="O89" s="82">
        <f>IF(Consultas!U89='Parâmetros'!$E$1,-3,3)</f>
        <v>3</v>
      </c>
      <c r="P89" s="82">
        <f>IF(Consultas!V89='Parâmetros'!$E$1,-100,2)</f>
        <v>2</v>
      </c>
      <c r="Q89" s="82">
        <f>IF(Consultas!M89='Parâmetros'!$D$1,2,-9)</f>
        <v>2</v>
      </c>
      <c r="R89" s="82">
        <f>IF(Consultas!N89="RJ",-12,0)</f>
        <v>0</v>
      </c>
      <c r="S89" s="82">
        <f>IF(Consultas!O89="-",-3,IF(Consultas!O89=0,-6,IF(Consultas!O89=5,0,IF(Consultas!O89=10,6))))</f>
        <v>-3</v>
      </c>
      <c r="T89" s="82">
        <f>IF(Consultas!M89="S",0,(IF(Consultas!P89="S",6,0)))</f>
        <v>0</v>
      </c>
      <c r="U89" s="82">
        <f>IF(Consultas!Q89&gt;97,9,IF(Consultas!Q89&gt;75,0,-7))</f>
        <v>9</v>
      </c>
      <c r="V89" s="82">
        <f>IF(Consultas!W89='Parâmetros'!$E$1,1,-5)</f>
        <v>1</v>
      </c>
      <c r="W89" s="82">
        <f>IF(Consultas!X89="S",3,-3)</f>
        <v>3</v>
      </c>
      <c r="X89" s="82">
        <f>IF(Consultas!Y89="S",0,-7)</f>
        <v>0</v>
      </c>
      <c r="Y89" s="82">
        <f>IF(Consultas!Z89='Parâmetros'!$E$1,2,-8)</f>
        <v>2</v>
      </c>
      <c r="Z89" s="82">
        <f>IF(Consultas!AA89='Parâmetros'!$E$1,-15,1)</f>
        <v>1</v>
      </c>
      <c r="AA89" s="147" t="s">
        <v>140</v>
      </c>
      <c r="AB89" s="82">
        <f>IF(E89="NA","NA",IF(E89&gt;'Parâmetros'!$A$9,8,IF(E89&gt;'Parâmetros'!$A$8,4,IF(E89&gt;'Parâmetros'!$A$7,0,-6))))</f>
        <v>8</v>
      </c>
      <c r="AC89" s="82">
        <f>IF(Consultas!AC89='Parâmetros'!$E$1,0,5)</f>
        <v>0</v>
      </c>
      <c r="AD89" s="82">
        <f>IF(Consultas!AH89='Parâmetros'!$D$1,-10,5)</f>
        <v>5</v>
      </c>
      <c r="AE89" s="82">
        <f>IF(Consultas!AI89&gt;(Consultas!F89*2),-10,0)</f>
        <v>0</v>
      </c>
      <c r="AF89" s="82">
        <f>IF(Consultas!AD89&gt;1,(IF(Consultas!AI89&gt;(Consultas!AD89),-20,4)))</f>
        <v>4</v>
      </c>
      <c r="AG89" s="82">
        <f>IF(Consultas!AG89='Parâmetros'!$E$1,0,-6)</f>
        <v>0</v>
      </c>
      <c r="AH89" s="82">
        <f>IF(Consultas!AF89='Parâmetros'!$E$1,1,-5)</f>
        <v>1</v>
      </c>
      <c r="AI89" s="82">
        <f>IF(Consultas!AJ89&gt;700,8,IF(Consultas!AJ89&gt;500,4,IF(Consultas!AJ89&gt;200,-4,IF(Consultas!AJ89&gt;1,-15,-20))))</f>
        <v>8</v>
      </c>
      <c r="AJ89" s="82">
        <f>IF(Consultas!AD89='Parâmetros'!$E$10,0,IF(Consultas!AD89&gt;'Parâmetros'!$A$30,12,IF(Consultas!AD89&gt;'Parâmetros'!$A$31,6,IF(Consultas!AD89&gt;'Parâmetros'!$A$32,0,IF(Consultas!AD89&gt;'Parâmetros'!$A$33,0,IF(Consultas!AD89&gt;'Parâmetros'!$A$34,-3,IF(Consultas!AD89&gt;'Parâmetros'!$A$35,-7,-1)))))))</f>
        <v>12</v>
      </c>
      <c r="AK89" s="82">
        <f>IF(Consultas!AO89='Parâmetros'!$D$1,3,-3)</f>
        <v>-3</v>
      </c>
      <c r="AL89" s="82">
        <f>IF(Consultas!AP89='Parâmetros'!$D$1,5,-3)</f>
        <v>-3</v>
      </c>
      <c r="AM89" s="82">
        <f>IF(Consultas!AL89="N",-6,0)</f>
        <v>0</v>
      </c>
      <c r="AN89" s="82">
        <f>IF(Consultas!AM89="N",-10,0)</f>
        <v>0</v>
      </c>
      <c r="AO89" s="82">
        <f>IF(Consultas!AN89="S",4,-2)</f>
        <v>-2</v>
      </c>
      <c r="AP89" s="39"/>
      <c r="AQ89" s="165">
        <f>IF(Consultas!F89&gt;1,(SUM(F89:AO89)),"N/A")</f>
        <v>59</v>
      </c>
      <c r="AR89" s="78" t="str">
        <f>IF((Consultas!AD89&gt;'Parâmetros'!$A$31),"X",AJ89+Y89+V89+AC89)</f>
        <v>X</v>
      </c>
      <c r="AS89" s="78" t="str">
        <f>IF((Consultas!AD89&gt;'Parâmetros'!$A$31),"X",(H89+I89+J89+Q89+T89+Y89+Z89+AJ89+AN89))</f>
        <v>X</v>
      </c>
      <c r="AT89" s="78">
        <f>IF((Consultas!AD89&lt;'Parâmetros'!$A$31),"X",(AD89+AC89+AB89))</f>
        <v>13</v>
      </c>
      <c r="AU89" s="78">
        <f t="shared" si="1"/>
        <v>13</v>
      </c>
      <c r="AV89" s="82" t="str">
        <f>IF(AQ89="N/A","N/A",IF(AQ89&gt;5,'Parâmetros'!$A$15,(IF(AU89=AR89,'Parâmetros'!$A$17,IF(AU89=AS89,'Parâmetros'!$A$16,'Parâmetros'!$A$14)))))</f>
        <v>SEM-RISCO</v>
      </c>
      <c r="AW89" s="86" t="str">
        <f>IF(AQ89="N/A","N/A",IF(AV89='Parâmetros'!$A$15,'Parâmetros'!$C$15,(IF(AV89='Parâmetros'!$A$17,'Parâmetros'!$C$17,IF(AV89='Parâmetros'!$A$16,'Parâmetros'!$C$16,IF(AV89='Parâmetros'!$A$14,'Parâmetros'!$C$12))))))</f>
        <v>LIBERADO</v>
      </c>
      <c r="AX89" s="82" t="str">
        <f>IF(Consultas!F89&gt;1,(IF(Consultas!F89&gt;5000,"SOLICITAR PED COMPRA","N/A")))</f>
        <v>SOLICITAR PED COMPRA</v>
      </c>
      <c r="AY89" s="167" t="str">
        <f>IF(AND(Consultas!M89&lt;&gt;"S", Consultas!H89="S"), "CHECAGEM REVERSA", "N/A")</f>
        <v>N/A</v>
      </c>
      <c r="AZ89" s="167" t="str">
        <f>IF(Consultas!U89="N","PRECISA CORRIGIR END DIVERGENTE","N/A")</f>
        <v>N/A</v>
      </c>
    </row>
    <row r="90" ht="12.0" customHeight="1">
      <c r="A90" s="39" t="s">
        <v>90</v>
      </c>
      <c r="B90" s="82">
        <f>Consultas!B90</f>
        <v>600</v>
      </c>
      <c r="C90" s="82" t="str">
        <f>Consultas!D90</f>
        <v>Oaco</v>
      </c>
      <c r="D90" s="96" t="str">
        <f>Consultas!E90</f>
        <v>050424</v>
      </c>
      <c r="E90" s="104">
        <f>IF(Consultas!AB90&gt;0,YEAR('Parâmetros'!$B$1)-YEAR(Consultas!AB90),"NA")</f>
        <v>6</v>
      </c>
      <c r="F90" s="82">
        <f>IF(Consultas!F90&gt;'Parâmetros'!$B$2,-8,0)</f>
        <v>0</v>
      </c>
      <c r="G90" s="82">
        <f>IF(Consultas!H90='Parâmetros'!$E$1,100,0)</f>
        <v>0</v>
      </c>
      <c r="H90" s="82">
        <f>IF(Consultas!I90='Parâmetros'!$E$1,-4,12)</f>
        <v>-4</v>
      </c>
      <c r="I90" s="82">
        <f>IF(Consultas!J90='Parâmetros'!$E$1,1,-13)</f>
        <v>1</v>
      </c>
      <c r="J90" s="82">
        <f>IF(Consultas!K90='Parâmetros'!$E$1,2,-5)</f>
        <v>2</v>
      </c>
      <c r="K90" s="82" t="str">
        <f>IF(Consultas!L90='Parâmetros'!$D$1,"SOLIC CONTRATO DE ENTREGA","N/A")</f>
        <v>N/A</v>
      </c>
      <c r="L90" s="82">
        <f>IF(Consultas!R90='Parâmetros'!$E$1,1,-3)</f>
        <v>1</v>
      </c>
      <c r="M90" s="82">
        <f>IF(Consultas!S90&gt;1,(IF(Consultas!S90='Parâmetros'!$E$1,-3,9)))</f>
        <v>9</v>
      </c>
      <c r="N90" s="82">
        <f>IF(Consultas!T90="S",23,0)</f>
        <v>23</v>
      </c>
      <c r="O90" s="82">
        <f>IF(Consultas!U90='Parâmetros'!$E$1,-3,3)</f>
        <v>3</v>
      </c>
      <c r="P90" s="82">
        <f>IF(Consultas!V90='Parâmetros'!$E$1,-100,2)</f>
        <v>2</v>
      </c>
      <c r="Q90" s="82">
        <f>IF(Consultas!M90='Parâmetros'!$D$1,2,-9)</f>
        <v>2</v>
      </c>
      <c r="R90" s="82">
        <f>IF(Consultas!N90="RJ",-12,0)</f>
        <v>0</v>
      </c>
      <c r="S90" s="82">
        <f>IF(Consultas!O90="-",-3,IF(Consultas!O90=0,-6,IF(Consultas!O90=5,0,IF(Consultas!O90=10,6))))</f>
        <v>-3</v>
      </c>
      <c r="T90" s="82">
        <f>IF(Consultas!M90="S",0,(IF(Consultas!P90="S",6,0)))</f>
        <v>0</v>
      </c>
      <c r="U90" s="82">
        <f>IF(Consultas!Q90&gt;97,9,IF(Consultas!Q90&gt;75,0,-7))</f>
        <v>9</v>
      </c>
      <c r="V90" s="82">
        <f>IF(Consultas!W90='Parâmetros'!$E$1,1,-5)</f>
        <v>1</v>
      </c>
      <c r="W90" s="82">
        <f>IF(Consultas!X90="S",3,-3)</f>
        <v>3</v>
      </c>
      <c r="X90" s="82">
        <f>IF(Consultas!Y90="S",0,-7)</f>
        <v>0</v>
      </c>
      <c r="Y90" s="82">
        <f>IF(Consultas!Z90='Parâmetros'!$E$1,2,-8)</f>
        <v>2</v>
      </c>
      <c r="Z90" s="82">
        <f>IF(Consultas!AA90='Parâmetros'!$E$1,-15,1)</f>
        <v>1</v>
      </c>
      <c r="AA90" s="147" t="s">
        <v>140</v>
      </c>
      <c r="AB90" s="82">
        <f>IF(E90="NA","NA",IF(E90&gt;'Parâmetros'!$A$9,8,IF(E90&gt;'Parâmetros'!$A$8,4,IF(E90&gt;'Parâmetros'!$A$7,0,-6))))</f>
        <v>0</v>
      </c>
      <c r="AC90" s="82">
        <f>IF(Consultas!AC90='Parâmetros'!$E$1,0,5)</f>
        <v>0</v>
      </c>
      <c r="AD90" s="82">
        <f>IF(Consultas!AH90='Parâmetros'!$D$1,-10,5)</f>
        <v>-10</v>
      </c>
      <c r="AE90" s="82">
        <f>IF(Consultas!AI90&gt;(Consultas!F90*2),-10,0)</f>
        <v>0</v>
      </c>
      <c r="AF90" s="82">
        <f>IF(Consultas!AD90&gt;1,(IF(Consultas!AI90&gt;(Consultas!AD90),-20,4)))</f>
        <v>4</v>
      </c>
      <c r="AG90" s="82">
        <f>IF(Consultas!AG90='Parâmetros'!$E$1,0,-6)</f>
        <v>0</v>
      </c>
      <c r="AH90" s="82">
        <f>IF(Consultas!AF90='Parâmetros'!$E$1,1,-5)</f>
        <v>1</v>
      </c>
      <c r="AI90" s="82">
        <f>IF(Consultas!AJ90&gt;700,8,IF(Consultas!AJ90&gt;500,4,IF(Consultas!AJ90&gt;200,-4,IF(Consultas!AJ90&gt;1,-15,-20))))</f>
        <v>4</v>
      </c>
      <c r="AJ90" s="82">
        <f>IF(Consultas!AD90='Parâmetros'!$E$10,0,IF(Consultas!AD90&gt;'Parâmetros'!$A$30,12,IF(Consultas!AD90&gt;'Parâmetros'!$A$31,6,IF(Consultas!AD90&gt;'Parâmetros'!$A$32,0,IF(Consultas!AD90&gt;'Parâmetros'!$A$33,0,IF(Consultas!AD90&gt;'Parâmetros'!$A$34,-3,IF(Consultas!AD90&gt;'Parâmetros'!$A$35,-7,-1)))))))</f>
        <v>12</v>
      </c>
      <c r="AK90" s="82">
        <f>IF(Consultas!AO90='Parâmetros'!$D$1,3,-3)</f>
        <v>-3</v>
      </c>
      <c r="AL90" s="82">
        <f>IF(Consultas!AP90='Parâmetros'!$D$1,5,-3)</f>
        <v>-3</v>
      </c>
      <c r="AM90" s="82">
        <f>IF(Consultas!AL90="N",-6,0)</f>
        <v>0</v>
      </c>
      <c r="AN90" s="82">
        <f>IF(Consultas!AM90="N",-10,0)</f>
        <v>0</v>
      </c>
      <c r="AO90" s="82">
        <f>IF(Consultas!AN90="S",4,-2)</f>
        <v>-2</v>
      </c>
      <c r="AP90" s="39"/>
      <c r="AQ90" s="165">
        <f>IF(Consultas!F90&gt;1,(SUM(F90:AO90)),"N/A")</f>
        <v>55</v>
      </c>
      <c r="AR90" s="78" t="str">
        <f>IF((Consultas!AD90&gt;'Parâmetros'!$A$31),"X",AJ90+Y90+V90+AC90)</f>
        <v>X</v>
      </c>
      <c r="AS90" s="78" t="str">
        <f>IF((Consultas!AD90&gt;'Parâmetros'!$A$31),"X",(H90+I90+J90+Q90+T90+Y90+Z90+AJ90+AN90))</f>
        <v>X</v>
      </c>
      <c r="AT90" s="78">
        <f>IF((Consultas!AD90&lt;'Parâmetros'!$A$31),"X",(AD90+AC90+AB90))</f>
        <v>-10</v>
      </c>
      <c r="AU90" s="78">
        <f t="shared" si="1"/>
        <v>-10</v>
      </c>
      <c r="AV90" s="82" t="str">
        <f>IF(AQ90="N/A","N/A",IF(AQ90&gt;5,'Parâmetros'!$A$15,(IF(AU90=AR90,'Parâmetros'!$A$17,IF(AU90=AS90,'Parâmetros'!$A$16,'Parâmetros'!$A$14)))))</f>
        <v>SEM-RISCO</v>
      </c>
      <c r="AW90" s="86" t="str">
        <f>IF(AQ90="N/A","N/A",IF(AV90='Parâmetros'!$A$15,'Parâmetros'!$C$15,(IF(AV90='Parâmetros'!$A$17,'Parâmetros'!$C$17,IF(AV90='Parâmetros'!$A$16,'Parâmetros'!$C$16,IF(AV90='Parâmetros'!$A$14,'Parâmetros'!$C$12))))))</f>
        <v>LIBERADO</v>
      </c>
      <c r="AX90" s="82" t="str">
        <f>IF(Consultas!F90&gt;1,(IF(Consultas!F90&gt;5000,"SOLICITAR PED COMPRA","N/A")))</f>
        <v>N/A</v>
      </c>
      <c r="AY90" s="167" t="str">
        <f>IF(AND(Consultas!M90&lt;&gt;"S", Consultas!H90="S"), "CHECAGEM REVERSA", "N/A")</f>
        <v>N/A</v>
      </c>
      <c r="AZ90" s="167" t="str">
        <f>IF(Consultas!U90="N","PRECISA CORRIGIR END DIVERGENTE","N/A")</f>
        <v>N/A</v>
      </c>
    </row>
    <row r="91" ht="12.0" customHeight="1">
      <c r="A91" s="39" t="s">
        <v>90</v>
      </c>
      <c r="B91" s="82">
        <f>Consultas!B91</f>
        <v>253</v>
      </c>
      <c r="C91" s="82" t="str">
        <f>Consultas!D91</f>
        <v>Metalpleno</v>
      </c>
      <c r="D91" s="96" t="str">
        <f>Consultas!E91</f>
        <v>144528</v>
      </c>
      <c r="E91" s="104">
        <f>IF(Consultas!AB91&gt;0,YEAR('Parâmetros'!$B$1)-YEAR(Consultas!AB91),"NA")</f>
        <v>45</v>
      </c>
      <c r="F91" s="82">
        <f>IF(Consultas!F91&gt;'Parâmetros'!$B$2,-8,0)</f>
        <v>0</v>
      </c>
      <c r="G91" s="82">
        <f>IF(Consultas!H91='Parâmetros'!$E$1,100,0)</f>
        <v>0</v>
      </c>
      <c r="H91" s="82">
        <f>IF(Consultas!I91='Parâmetros'!$E$1,-4,12)</f>
        <v>-4</v>
      </c>
      <c r="I91" s="82">
        <f>IF(Consultas!J91='Parâmetros'!$E$1,1,-13)</f>
        <v>1</v>
      </c>
      <c r="J91" s="82">
        <f>IF(Consultas!K91='Parâmetros'!$E$1,2,-5)</f>
        <v>2</v>
      </c>
      <c r="K91" s="82" t="str">
        <f>IF(Consultas!L91='Parâmetros'!$D$1,"SOLIC CONTRATO DE ENTREGA","N/A")</f>
        <v>N/A</v>
      </c>
      <c r="L91" s="82">
        <f>IF(Consultas!R91='Parâmetros'!$E$1,1,-3)</f>
        <v>1</v>
      </c>
      <c r="M91" s="82">
        <f>IF(Consultas!S91&gt;1,(IF(Consultas!S91='Parâmetros'!$E$1,-3,9)))</f>
        <v>9</v>
      </c>
      <c r="N91" s="82">
        <f>IF(Consultas!T91="S",23,0)</f>
        <v>0</v>
      </c>
      <c r="O91" s="82">
        <f>IF(Consultas!U91='Parâmetros'!$E$1,-3,3)</f>
        <v>3</v>
      </c>
      <c r="P91" s="82">
        <f>IF(Consultas!V91='Parâmetros'!$E$1,-100,2)</f>
        <v>2</v>
      </c>
      <c r="Q91" s="82">
        <f>IF(Consultas!M91='Parâmetros'!$D$1,2,-9)</f>
        <v>2</v>
      </c>
      <c r="R91" s="82">
        <f>IF(Consultas!N91="RJ",-12,0)</f>
        <v>0</v>
      </c>
      <c r="S91" s="82">
        <f>IF(Consultas!O91="-",-3,IF(Consultas!O91=0,-6,IF(Consultas!O91=5,0,IF(Consultas!O91=10,6))))</f>
        <v>0</v>
      </c>
      <c r="T91" s="82">
        <f>IF(Consultas!M91="S",0,(IF(Consultas!P91="S",6,0)))</f>
        <v>0</v>
      </c>
      <c r="U91" s="82">
        <f>IF(Consultas!Q91&gt;97,9,IF(Consultas!Q91&gt;75,0,-7))</f>
        <v>9</v>
      </c>
      <c r="V91" s="82">
        <f>IF(Consultas!W91='Parâmetros'!$E$1,1,-5)</f>
        <v>1</v>
      </c>
      <c r="W91" s="82">
        <f>IF(Consultas!X91="S",3,-3)</f>
        <v>3</v>
      </c>
      <c r="X91" s="82">
        <f>IF(Consultas!Y91="S",0,-7)</f>
        <v>0</v>
      </c>
      <c r="Y91" s="82">
        <f>IF(Consultas!Z91='Parâmetros'!$E$1,2,-8)</f>
        <v>2</v>
      </c>
      <c r="Z91" s="82">
        <f>IF(Consultas!AA91='Parâmetros'!$E$1,-15,1)</f>
        <v>1</v>
      </c>
      <c r="AA91" s="147" t="s">
        <v>140</v>
      </c>
      <c r="AB91" s="82">
        <f>IF(E91="NA","NA",IF(E91&gt;'Parâmetros'!$A$9,8,IF(E91&gt;'Parâmetros'!$A$8,4,IF(E91&gt;'Parâmetros'!$A$7,0,-6))))</f>
        <v>8</v>
      </c>
      <c r="AC91" s="82">
        <f>IF(Consultas!AC91='Parâmetros'!$E$1,0,5)</f>
        <v>0</v>
      </c>
      <c r="AD91" s="82">
        <f>IF(Consultas!AH91='Parâmetros'!$D$1,-10,5)</f>
        <v>5</v>
      </c>
      <c r="AE91" s="82">
        <f>IF(Consultas!AI91&gt;(Consultas!F91*2),-10,0)</f>
        <v>0</v>
      </c>
      <c r="AF91" s="82">
        <f>IF(Consultas!AD91&gt;1,(IF(Consultas!AI91&gt;(Consultas!AD91),-20,4)))</f>
        <v>4</v>
      </c>
      <c r="AG91" s="82">
        <f>IF(Consultas!AG91='Parâmetros'!$E$1,0,-6)</f>
        <v>0</v>
      </c>
      <c r="AH91" s="82">
        <f>IF(Consultas!AF91='Parâmetros'!$E$1,1,-5)</f>
        <v>-5</v>
      </c>
      <c r="AI91" s="82">
        <f>IF(Consultas!AJ91&gt;700,8,IF(Consultas!AJ91&gt;500,4,IF(Consultas!AJ91&gt;200,-4,IF(Consultas!AJ91&gt;1,-15,-20))))</f>
        <v>8</v>
      </c>
      <c r="AJ91" s="82">
        <f>IF(Consultas!AD91='Parâmetros'!$E$10,0,IF(Consultas!AD91&gt;'Parâmetros'!$A$30,12,IF(Consultas!AD91&gt;'Parâmetros'!$A$31,6,IF(Consultas!AD91&gt;'Parâmetros'!$A$32,0,IF(Consultas!AD91&gt;'Parâmetros'!$A$33,0,IF(Consultas!AD91&gt;'Parâmetros'!$A$34,-3,IF(Consultas!AD91&gt;'Parâmetros'!$A$35,-7,-1)))))))</f>
        <v>12</v>
      </c>
      <c r="AK91" s="82">
        <f>IF(Consultas!AO91='Parâmetros'!$D$1,3,-3)</f>
        <v>-3</v>
      </c>
      <c r="AL91" s="82">
        <f>IF(Consultas!AP91='Parâmetros'!$D$1,5,-3)</f>
        <v>-3</v>
      </c>
      <c r="AM91" s="82">
        <f>IF(Consultas!AL91="N",-6,0)</f>
        <v>0</v>
      </c>
      <c r="AN91" s="82">
        <f>IF(Consultas!AM91="N",-10,0)</f>
        <v>0</v>
      </c>
      <c r="AO91" s="82">
        <f>IF(Consultas!AN91="S",4,-2)</f>
        <v>-2</v>
      </c>
      <c r="AP91" s="39"/>
      <c r="AQ91" s="165">
        <f>IF(Consultas!F91&gt;1,(SUM(F91:AO91)),"N/A")</f>
        <v>56</v>
      </c>
      <c r="AR91" s="78" t="str">
        <f>IF((Consultas!AD91&gt;'Parâmetros'!$A$31),"X",AJ91+Y91+V91+AC91)</f>
        <v>X</v>
      </c>
      <c r="AS91" s="78" t="str">
        <f>IF((Consultas!AD91&gt;'Parâmetros'!$A$31),"X",(H91+I91+J91+Q91+T91+Y91+Z91+AJ91+AN91))</f>
        <v>X</v>
      </c>
      <c r="AT91" s="78">
        <f>IF((Consultas!AD91&lt;'Parâmetros'!$A$31),"X",(AD91+AC91+AB91))</f>
        <v>13</v>
      </c>
      <c r="AU91" s="78">
        <f t="shared" si="1"/>
        <v>13</v>
      </c>
      <c r="AV91" s="82" t="str">
        <f>IF(AQ91="N/A","N/A",IF(AQ91&gt;5,'Parâmetros'!$A$15,(IF(AU91=AR91,'Parâmetros'!$A$17,IF(AU91=AS91,'Parâmetros'!$A$16,'Parâmetros'!$A$14)))))</f>
        <v>SEM-RISCO</v>
      </c>
      <c r="AW91" s="86" t="str">
        <f>IF(AQ91="N/A","N/A",IF(AV91='Parâmetros'!$A$15,'Parâmetros'!$C$15,(IF(AV91='Parâmetros'!$A$17,'Parâmetros'!$C$17,IF(AV91='Parâmetros'!$A$16,'Parâmetros'!$C$16,IF(AV91='Parâmetros'!$A$14,'Parâmetros'!$C$12))))))</f>
        <v>LIBERADO</v>
      </c>
      <c r="AX91" s="82" t="str">
        <f>IF(Consultas!F91&gt;1,(IF(Consultas!F91&gt;5000,"SOLICITAR PED COMPRA","N/A")))</f>
        <v>N/A</v>
      </c>
      <c r="AY91" s="167" t="str">
        <f>IF(AND(Consultas!M91&lt;&gt;"S", Consultas!H91="S"), "CHECAGEM REVERSA", "N/A")</f>
        <v>N/A</v>
      </c>
      <c r="AZ91" s="167" t="str">
        <f>IF(Consultas!U91="N","PRECISA CORRIGIR END DIVERGENTE","N/A")</f>
        <v>N/A</v>
      </c>
    </row>
    <row r="92" ht="12.0" customHeight="1">
      <c r="A92" s="39" t="s">
        <v>90</v>
      </c>
      <c r="B92" s="82">
        <f>Consultas!B92</f>
        <v>255</v>
      </c>
      <c r="C92" s="82" t="str">
        <f>Consultas!D92</f>
        <v>Metalpleno</v>
      </c>
      <c r="D92" s="96" t="str">
        <f>Consultas!E92</f>
        <v>144619</v>
      </c>
      <c r="E92" s="104">
        <f>IF(Consultas!AB92&gt;0,YEAR('Parâmetros'!$B$1)-YEAR(Consultas!AB92),"NA")</f>
        <v>28</v>
      </c>
      <c r="F92" s="82">
        <f>IF(Consultas!F92&gt;'Parâmetros'!$B$2,-8,0)</f>
        <v>0</v>
      </c>
      <c r="G92" s="82">
        <f>IF(Consultas!H92='Parâmetros'!$E$1,100,0)</f>
        <v>0</v>
      </c>
      <c r="H92" s="82">
        <f>IF(Consultas!I92='Parâmetros'!$E$1,-4,12)</f>
        <v>-4</v>
      </c>
      <c r="I92" s="82">
        <f>IF(Consultas!J92='Parâmetros'!$E$1,1,-13)</f>
        <v>1</v>
      </c>
      <c r="J92" s="82">
        <f>IF(Consultas!K92='Parâmetros'!$E$1,2,-5)</f>
        <v>2</v>
      </c>
      <c r="K92" s="82" t="str">
        <f>IF(Consultas!L92='Parâmetros'!$D$1,"SOLIC CONTRATO DE ENTREGA","N/A")</f>
        <v>SOLIC CONTRATO DE ENTREGA</v>
      </c>
      <c r="L92" s="82">
        <f>IF(Consultas!R92='Parâmetros'!$E$1,1,-3)</f>
        <v>1</v>
      </c>
      <c r="M92" s="82">
        <f>IF(Consultas!S92&gt;1,(IF(Consultas!S92='Parâmetros'!$E$1,-3,9)))</f>
        <v>-3</v>
      </c>
      <c r="N92" s="82">
        <f>IF(Consultas!T92="S",23,0)</f>
        <v>0</v>
      </c>
      <c r="O92" s="82">
        <f>IF(Consultas!U92='Parâmetros'!$E$1,-3,3)</f>
        <v>3</v>
      </c>
      <c r="P92" s="82">
        <f>IF(Consultas!V92='Parâmetros'!$E$1,-100,2)</f>
        <v>2</v>
      </c>
      <c r="Q92" s="82">
        <f>IF(Consultas!M92='Parâmetros'!$D$1,2,-9)</f>
        <v>-9</v>
      </c>
      <c r="R92" s="82">
        <f>IF(Consultas!N92="RJ",-12,0)</f>
        <v>0</v>
      </c>
      <c r="S92" s="82">
        <f>IF(Consultas!O92="-",-3,IF(Consultas!O92=0,-6,IF(Consultas!O92=5,0,IF(Consultas!O92=10,6))))</f>
        <v>-6</v>
      </c>
      <c r="T92" s="82">
        <f>IF(Consultas!M92="S",0,(IF(Consultas!P92="S",6,0)))</f>
        <v>6</v>
      </c>
      <c r="U92" s="82">
        <f>IF(Consultas!Q92&gt;97,9,IF(Consultas!Q92&gt;75,0,-7))</f>
        <v>9</v>
      </c>
      <c r="V92" s="82">
        <f>IF(Consultas!W92='Parâmetros'!$E$1,1,-5)</f>
        <v>1</v>
      </c>
      <c r="W92" s="82">
        <f>IF(Consultas!X92="S",3,-3)</f>
        <v>3</v>
      </c>
      <c r="X92" s="82">
        <f>IF(Consultas!Y92="S",0,-7)</f>
        <v>0</v>
      </c>
      <c r="Y92" s="82">
        <f>IF(Consultas!Z92='Parâmetros'!$E$1,2,-8)</f>
        <v>2</v>
      </c>
      <c r="Z92" s="82">
        <f>IF(Consultas!AA92='Parâmetros'!$E$1,-15,1)</f>
        <v>1</v>
      </c>
      <c r="AA92" s="147" t="s">
        <v>140</v>
      </c>
      <c r="AB92" s="82">
        <f>IF(E92="NA","NA",IF(E92&gt;'Parâmetros'!$A$9,8,IF(E92&gt;'Parâmetros'!$A$8,4,IF(E92&gt;'Parâmetros'!$A$7,0,-6))))</f>
        <v>4</v>
      </c>
      <c r="AC92" s="82">
        <f>IF(Consultas!AC92='Parâmetros'!$E$1,0,5)</f>
        <v>0</v>
      </c>
      <c r="AD92" s="82">
        <f>IF(Consultas!AH92='Parâmetros'!$D$1,-10,5)</f>
        <v>5</v>
      </c>
      <c r="AE92" s="82">
        <f>IF(Consultas!AI92&gt;(Consultas!F92*2),-10,0)</f>
        <v>0</v>
      </c>
      <c r="AF92" s="82">
        <f>IF(Consultas!AD92&gt;1,(IF(Consultas!AI92&gt;(Consultas!AD92),-20,4)))</f>
        <v>4</v>
      </c>
      <c r="AG92" s="82">
        <f>IF(Consultas!AG92='Parâmetros'!$E$1,0,-6)</f>
        <v>0</v>
      </c>
      <c r="AH92" s="82">
        <f>IF(Consultas!AF92='Parâmetros'!$E$1,1,-5)</f>
        <v>-5</v>
      </c>
      <c r="AI92" s="82">
        <f>IF(Consultas!AJ92&gt;700,8,IF(Consultas!AJ92&gt;500,4,IF(Consultas!AJ92&gt;200,-4,IF(Consultas!AJ92&gt;1,-15,-20))))</f>
        <v>-4</v>
      </c>
      <c r="AJ92" s="82">
        <f>IF(Consultas!AD92='Parâmetros'!$E$10,0,IF(Consultas!AD92&gt;'Parâmetros'!$A$30,12,IF(Consultas!AD92&gt;'Parâmetros'!$A$31,6,IF(Consultas!AD92&gt;'Parâmetros'!$A$32,0,IF(Consultas!AD92&gt;'Parâmetros'!$A$33,0,IF(Consultas!AD92&gt;'Parâmetros'!$A$34,-3,IF(Consultas!AD92&gt;'Parâmetros'!$A$35,-7,-1)))))))</f>
        <v>12</v>
      </c>
      <c r="AK92" s="82">
        <f>IF(Consultas!AO92='Parâmetros'!$D$1,3,-3)</f>
        <v>-3</v>
      </c>
      <c r="AL92" s="82">
        <f>IF(Consultas!AP92='Parâmetros'!$D$1,5,-3)</f>
        <v>-3</v>
      </c>
      <c r="AM92" s="82">
        <f>IF(Consultas!AL92="N",-6,0)</f>
        <v>0</v>
      </c>
      <c r="AN92" s="82">
        <f>IF(Consultas!AM92="N",-10,0)</f>
        <v>0</v>
      </c>
      <c r="AO92" s="82">
        <f>IF(Consultas!AN92="S",4,-2)</f>
        <v>-2</v>
      </c>
      <c r="AP92" s="39"/>
      <c r="AQ92" s="165">
        <f>IF(Consultas!F92&gt;1,(SUM(F92:AO92)),"N/A")</f>
        <v>17</v>
      </c>
      <c r="AR92" s="78" t="str">
        <f>IF((Consultas!AD92&gt;'Parâmetros'!$A$31),"X",AJ92+Y92+V92+AC92)</f>
        <v>X</v>
      </c>
      <c r="AS92" s="78" t="str">
        <f>IF((Consultas!AD92&gt;'Parâmetros'!$A$31),"X",(H92+I92+J92+Q92+T92+Y92+Z92+AJ92+AN92))</f>
        <v>X</v>
      </c>
      <c r="AT92" s="78">
        <f>IF((Consultas!AD92&lt;'Parâmetros'!$A$31),"X",(AD92+AC92+AB92))</f>
        <v>9</v>
      </c>
      <c r="AU92" s="78">
        <f t="shared" si="1"/>
        <v>9</v>
      </c>
      <c r="AV92" s="82" t="str">
        <f>IF(AQ92="N/A","N/A",IF(AQ92&gt;5,'Parâmetros'!$A$15,(IF(AU92=AR92,'Parâmetros'!$A$17,IF(AU92=AS92,'Parâmetros'!$A$16,'Parâmetros'!$A$14)))))</f>
        <v>SEM-RISCO</v>
      </c>
      <c r="AW92" s="86" t="str">
        <f>IF(AQ92="N/A","N/A",IF(AV92='Parâmetros'!$A$15,'Parâmetros'!$C$15,(IF(AV92='Parâmetros'!$A$17,'Parâmetros'!$C$17,IF(AV92='Parâmetros'!$A$16,'Parâmetros'!$C$16,IF(AV92='Parâmetros'!$A$14,'Parâmetros'!$C$12))))))</f>
        <v>LIBERADO</v>
      </c>
      <c r="AX92" s="82" t="str">
        <f>IF(Consultas!F92&gt;1,(IF(Consultas!F92&gt;5000,"SOLICITAR PED COMPRA","N/A")))</f>
        <v>N/A</v>
      </c>
      <c r="AY92" s="167" t="str">
        <f>IF(AND(Consultas!M92&lt;&gt;"S", Consultas!H92="S"), "CHECAGEM REVERSA", "N/A")</f>
        <v>CHECAGEM REVERSA</v>
      </c>
      <c r="AZ92" s="167" t="str">
        <f>IF(Consultas!U92="N","PRECISA CORRIGIR END DIVERGENTE","N/A")</f>
        <v>N/A</v>
      </c>
    </row>
    <row r="93" ht="12.0" customHeight="1">
      <c r="A93" s="39" t="s">
        <v>90</v>
      </c>
      <c r="B93" s="82">
        <f>Consultas!B93</f>
        <v>254</v>
      </c>
      <c r="C93" s="82" t="str">
        <f>Consultas!D93</f>
        <v>Metalpleno</v>
      </c>
      <c r="D93" s="96" t="str">
        <f>Consultas!E93</f>
        <v>029928</v>
      </c>
      <c r="E93" s="104">
        <f>IF(Consultas!AB93&gt;0,YEAR('Parâmetros'!$B$1)-YEAR(Consultas!AB93),"NA")</f>
        <v>47</v>
      </c>
      <c r="F93" s="82">
        <f>IF(Consultas!F93&gt;'Parâmetros'!$B$2,-8,0)</f>
        <v>0</v>
      </c>
      <c r="G93" s="82">
        <f>IF(Consultas!H93='Parâmetros'!$E$1,100,0)</f>
        <v>0</v>
      </c>
      <c r="H93" s="82">
        <f>IF(Consultas!I93='Parâmetros'!$E$1,-4,12)</f>
        <v>-4</v>
      </c>
      <c r="I93" s="82">
        <f>IF(Consultas!J93='Parâmetros'!$E$1,1,-13)</f>
        <v>1</v>
      </c>
      <c r="J93" s="82">
        <f>IF(Consultas!K93='Parâmetros'!$E$1,2,-5)</f>
        <v>2</v>
      </c>
      <c r="K93" s="82" t="str">
        <f>IF(Consultas!L93='Parâmetros'!$D$1,"SOLIC CONTRATO DE ENTREGA","N/A")</f>
        <v>SOLIC CONTRATO DE ENTREGA</v>
      </c>
      <c r="L93" s="82">
        <f>IF(Consultas!R93='Parâmetros'!$E$1,1,-3)</f>
        <v>1</v>
      </c>
      <c r="M93" s="82">
        <f>IF(Consultas!S93&gt;1,(IF(Consultas!S93='Parâmetros'!$E$1,-3,9)))</f>
        <v>-3</v>
      </c>
      <c r="N93" s="82">
        <f>IF(Consultas!T93="S",23,0)</f>
        <v>0</v>
      </c>
      <c r="O93" s="82">
        <f>IF(Consultas!U93='Parâmetros'!$E$1,-3,3)</f>
        <v>3</v>
      </c>
      <c r="P93" s="82">
        <f>IF(Consultas!V93='Parâmetros'!$E$1,-100,2)</f>
        <v>2</v>
      </c>
      <c r="Q93" s="82">
        <f>IF(Consultas!M93='Parâmetros'!$D$1,2,-9)</f>
        <v>2</v>
      </c>
      <c r="R93" s="82">
        <f>IF(Consultas!N93="RJ",-12,0)</f>
        <v>0</v>
      </c>
      <c r="S93" s="82">
        <f>IF(Consultas!O93="-",-3,IF(Consultas!O93=0,-6,IF(Consultas!O93=5,0,IF(Consultas!O93=10,6))))</f>
        <v>-3</v>
      </c>
      <c r="T93" s="82">
        <f>IF(Consultas!M93="S",0,(IF(Consultas!P93="S",6,0)))</f>
        <v>0</v>
      </c>
      <c r="U93" s="82">
        <f>IF(Consultas!Q93&gt;97,9,IF(Consultas!Q93&gt;75,0,-7))</f>
        <v>9</v>
      </c>
      <c r="V93" s="82">
        <f>IF(Consultas!W93='Parâmetros'!$E$1,1,-5)</f>
        <v>1</v>
      </c>
      <c r="W93" s="82">
        <f>IF(Consultas!X93="S",3,-3)</f>
        <v>3</v>
      </c>
      <c r="X93" s="82">
        <f>IF(Consultas!Y93="S",0,-7)</f>
        <v>0</v>
      </c>
      <c r="Y93" s="82">
        <f>IF(Consultas!Z93='Parâmetros'!$E$1,2,-8)</f>
        <v>2</v>
      </c>
      <c r="Z93" s="82">
        <f>IF(Consultas!AA93='Parâmetros'!$E$1,-15,1)</f>
        <v>1</v>
      </c>
      <c r="AA93" s="147" t="s">
        <v>140</v>
      </c>
      <c r="AB93" s="82">
        <f>IF(E93="NA","NA",IF(E93&gt;'Parâmetros'!$A$9,8,IF(E93&gt;'Parâmetros'!$A$8,4,IF(E93&gt;'Parâmetros'!$A$7,0,-6))))</f>
        <v>8</v>
      </c>
      <c r="AC93" s="82">
        <f>IF(Consultas!AC93='Parâmetros'!$E$1,0,5)</f>
        <v>0</v>
      </c>
      <c r="AD93" s="82">
        <f>IF(Consultas!AH93='Parâmetros'!$D$1,-10,5)</f>
        <v>5</v>
      </c>
      <c r="AE93" s="82">
        <f>IF(Consultas!AI93&gt;(Consultas!F93*2),-10,0)</f>
        <v>0</v>
      </c>
      <c r="AF93" s="82" t="b">
        <f>IF(Consultas!AD93&gt;1,(IF(Consultas!AI93&gt;(Consultas!AD93),-20,4)))</f>
        <v>0</v>
      </c>
      <c r="AG93" s="82">
        <f>IF(Consultas!AG93='Parâmetros'!$E$1,0,-6)</f>
        <v>0</v>
      </c>
      <c r="AH93" s="82">
        <f>IF(Consultas!AF93='Parâmetros'!$E$1,1,-5)</f>
        <v>1</v>
      </c>
      <c r="AI93" s="82">
        <f>IF(Consultas!AJ93&gt;700,8,IF(Consultas!AJ93&gt;500,4,IF(Consultas!AJ93&gt;200,-4,IF(Consultas!AJ93&gt;1,-15,-20))))</f>
        <v>4</v>
      </c>
      <c r="AJ93" s="82">
        <f>IF(Consultas!AD93='Parâmetros'!$E$10,0,IF(Consultas!AD93&gt;'Parâmetros'!$A$30,12,IF(Consultas!AD93&gt;'Parâmetros'!$A$31,6,IF(Consultas!AD93&gt;'Parâmetros'!$A$32,0,IF(Consultas!AD93&gt;'Parâmetros'!$A$33,0,IF(Consultas!AD93&gt;'Parâmetros'!$A$34,-3,IF(Consultas!AD93&gt;'Parâmetros'!$A$35,-7,-1)))))))</f>
        <v>-1</v>
      </c>
      <c r="AK93" s="82">
        <f>IF(Consultas!AO93='Parâmetros'!$D$1,3,-3)</f>
        <v>-3</v>
      </c>
      <c r="AL93" s="82">
        <f>IF(Consultas!AP93='Parâmetros'!$D$1,5,-3)</f>
        <v>-3</v>
      </c>
      <c r="AM93" s="82">
        <f>IF(Consultas!AL93="N",-6,0)</f>
        <v>0</v>
      </c>
      <c r="AN93" s="82">
        <f>IF(Consultas!AM93="N",-10,0)</f>
        <v>0</v>
      </c>
      <c r="AO93" s="82">
        <f>IF(Consultas!AN93="S",4,-2)</f>
        <v>-2</v>
      </c>
      <c r="AP93" s="39"/>
      <c r="AQ93" s="165">
        <f>IF(Consultas!F93&gt;1,(SUM(F93:AO93)),"N/A")</f>
        <v>26</v>
      </c>
      <c r="AR93" s="78">
        <f>IF((Consultas!AD93&gt;'Parâmetros'!$A$31),"X",AJ93+Y93+V93+AC93)</f>
        <v>2</v>
      </c>
      <c r="AS93" s="78">
        <f>IF((Consultas!AD93&gt;'Parâmetros'!$A$31),"X",(H93+I93+J93+Q93+T93+Y93+Z93+AJ93+AN93))</f>
        <v>3</v>
      </c>
      <c r="AT93" s="78" t="str">
        <f>IF((Consultas!AD93&lt;'Parâmetros'!$A$31),"X",(AD93+AC93+AB93))</f>
        <v>X</v>
      </c>
      <c r="AU93" s="78">
        <f t="shared" si="1"/>
        <v>2</v>
      </c>
      <c r="AV93" s="82" t="str">
        <f>IF(AQ93="N/A","N/A",IF(AQ93&gt;5,'Parâmetros'!$A$15,(IF(AU93=AR93,'Parâmetros'!$A$17,IF(AU93=AS93,'Parâmetros'!$A$16,'Parâmetros'!$A$14)))))</f>
        <v>SEM-RISCO</v>
      </c>
      <c r="AW93" s="86" t="str">
        <f>IF(AQ93="N/A","N/A",IF(AV93='Parâmetros'!$A$15,'Parâmetros'!$C$15,(IF(AV93='Parâmetros'!$A$17,'Parâmetros'!$C$17,IF(AV93='Parâmetros'!$A$16,'Parâmetros'!$C$16,IF(AV93='Parâmetros'!$A$14,'Parâmetros'!$C$12))))))</f>
        <v>LIBERADO</v>
      </c>
      <c r="AX93" s="82" t="str">
        <f>IF(Consultas!F93&gt;1,(IF(Consultas!F93&gt;5000,"SOLICITAR PED COMPRA","N/A")))</f>
        <v>SOLICITAR PED COMPRA</v>
      </c>
      <c r="AY93" s="167" t="str">
        <f>IF(AND(Consultas!M93&lt;&gt;"S", Consultas!H93="S"), "CHECAGEM REVERSA", "N/A")</f>
        <v>N/A</v>
      </c>
      <c r="AZ93" s="167" t="str">
        <f>IF(Consultas!U93="N","PRECISA CORRIGIR END DIVERGENTE","N/A")</f>
        <v>N/A</v>
      </c>
    </row>
    <row r="94" ht="12.0" customHeight="1">
      <c r="A94" s="39" t="s">
        <v>90</v>
      </c>
      <c r="B94" s="82">
        <f>Consultas!B94</f>
        <v>608</v>
      </c>
      <c r="C94" s="82" t="str">
        <f>Consultas!D94</f>
        <v>Oaco</v>
      </c>
      <c r="D94" s="96" t="str">
        <f>Consultas!E94</f>
        <v>144622</v>
      </c>
      <c r="E94" s="104">
        <f>IF(Consultas!AB94&gt;0,YEAR('Parâmetros'!$B$1)-YEAR(Consultas!AB94),"NA")</f>
        <v>30</v>
      </c>
      <c r="F94" s="82">
        <f>IF(Consultas!F94&gt;'Parâmetros'!$B$2,-8,0)</f>
        <v>0</v>
      </c>
      <c r="G94" s="82">
        <f>IF(Consultas!H94='Parâmetros'!$E$1,100,0)</f>
        <v>0</v>
      </c>
      <c r="H94" s="82">
        <f>IF(Consultas!I94='Parâmetros'!$E$1,-4,12)</f>
        <v>12</v>
      </c>
      <c r="I94" s="82">
        <f>IF(Consultas!J94='Parâmetros'!$E$1,1,-13)</f>
        <v>1</v>
      </c>
      <c r="J94" s="82">
        <f>IF(Consultas!K94='Parâmetros'!$E$1,2,-5)</f>
        <v>2</v>
      </c>
      <c r="K94" s="82" t="str">
        <f>IF(Consultas!L94='Parâmetros'!$D$1,"SOLIC CONTRATO DE ENTREGA","N/A")</f>
        <v>SOLIC CONTRATO DE ENTREGA</v>
      </c>
      <c r="L94" s="82">
        <f>IF(Consultas!R94='Parâmetros'!$E$1,1,-3)</f>
        <v>1</v>
      </c>
      <c r="M94" s="82">
        <f>IF(Consultas!S94&gt;1,(IF(Consultas!S94='Parâmetros'!$E$1,-3,9)))</f>
        <v>-3</v>
      </c>
      <c r="N94" s="82">
        <f>IF(Consultas!T94="S",23,0)</f>
        <v>0</v>
      </c>
      <c r="O94" s="82">
        <f>IF(Consultas!U94='Parâmetros'!$E$1,-3,3)</f>
        <v>3</v>
      </c>
      <c r="P94" s="82">
        <f>IF(Consultas!V94='Parâmetros'!$E$1,-100,2)</f>
        <v>2</v>
      </c>
      <c r="Q94" s="82">
        <f>IF(Consultas!M94='Parâmetros'!$D$1,2,-9)</f>
        <v>2</v>
      </c>
      <c r="R94" s="82">
        <f>IF(Consultas!N94="RJ",-12,0)</f>
        <v>0</v>
      </c>
      <c r="S94" s="82">
        <f>IF(Consultas!O94="-",-3,IF(Consultas!O94=0,-6,IF(Consultas!O94=5,0,IF(Consultas!O94=10,6))))</f>
        <v>-3</v>
      </c>
      <c r="T94" s="82">
        <f>IF(Consultas!M94="S",0,(IF(Consultas!P94="S",6,0)))</f>
        <v>0</v>
      </c>
      <c r="U94" s="82">
        <f>IF(Consultas!Q94&gt;97,9,IF(Consultas!Q94&gt;75,0,-7))</f>
        <v>9</v>
      </c>
      <c r="V94" s="82">
        <f>IF(Consultas!W94='Parâmetros'!$E$1,1,-5)</f>
        <v>-5</v>
      </c>
      <c r="W94" s="82">
        <f>IF(Consultas!X94="S",3,-3)</f>
        <v>3</v>
      </c>
      <c r="X94" s="82">
        <f>IF(Consultas!Y94="S",0,-7)</f>
        <v>0</v>
      </c>
      <c r="Y94" s="82">
        <f>IF(Consultas!Z94='Parâmetros'!$E$1,2,-8)</f>
        <v>2</v>
      </c>
      <c r="Z94" s="82">
        <f>IF(Consultas!AA94='Parâmetros'!$E$1,-15,1)</f>
        <v>1</v>
      </c>
      <c r="AA94" s="147" t="s">
        <v>140</v>
      </c>
      <c r="AB94" s="82">
        <f>IF(E94="NA","NA",IF(E94&gt;'Parâmetros'!$A$9,8,IF(E94&gt;'Parâmetros'!$A$8,4,IF(E94&gt;'Parâmetros'!$A$7,0,-6))))</f>
        <v>4</v>
      </c>
      <c r="AC94" s="82">
        <f>IF(Consultas!AC94='Parâmetros'!$E$1,0,5)</f>
        <v>5</v>
      </c>
      <c r="AD94" s="82">
        <f>IF(Consultas!AH94='Parâmetros'!$D$1,-10,5)</f>
        <v>-10</v>
      </c>
      <c r="AE94" s="82">
        <f>IF(Consultas!AI94&gt;(Consultas!F94*2),-10,0)</f>
        <v>-10</v>
      </c>
      <c r="AF94" s="82">
        <f>IF(Consultas!AD94&gt;1,(IF(Consultas!AI94&gt;(Consultas!AD94),-20,4)))</f>
        <v>4</v>
      </c>
      <c r="AG94" s="82">
        <f>IF(Consultas!AG94='Parâmetros'!$E$1,0,-6)</f>
        <v>0</v>
      </c>
      <c r="AH94" s="82">
        <f>IF(Consultas!AF94='Parâmetros'!$E$1,1,-5)</f>
        <v>-5</v>
      </c>
      <c r="AI94" s="82">
        <f>IF(Consultas!AJ94&gt;700,8,IF(Consultas!AJ94&gt;500,4,IF(Consultas!AJ94&gt;200,-4,IF(Consultas!AJ94&gt;1,-15,-20))))</f>
        <v>-4</v>
      </c>
      <c r="AJ94" s="82">
        <f>IF(Consultas!AD94='Parâmetros'!$E$10,0,IF(Consultas!AD94&gt;'Parâmetros'!$A$30,12,IF(Consultas!AD94&gt;'Parâmetros'!$A$31,6,IF(Consultas!AD94&gt;'Parâmetros'!$A$32,0,IF(Consultas!AD94&gt;'Parâmetros'!$A$33,0,IF(Consultas!AD94&gt;'Parâmetros'!$A$34,-3,IF(Consultas!AD94&gt;'Parâmetros'!$A$35,-7,-1)))))))</f>
        <v>12</v>
      </c>
      <c r="AK94" s="82">
        <f>IF(Consultas!AO94='Parâmetros'!$D$1,3,-3)</f>
        <v>-3</v>
      </c>
      <c r="AL94" s="82">
        <f>IF(Consultas!AP94='Parâmetros'!$D$1,5,-3)</f>
        <v>-3</v>
      </c>
      <c r="AM94" s="82">
        <f>IF(Consultas!AL94="N",-6,0)</f>
        <v>0</v>
      </c>
      <c r="AN94" s="82">
        <f>IF(Consultas!AM94="N",-10,0)</f>
        <v>0</v>
      </c>
      <c r="AO94" s="82">
        <f>IF(Consultas!AN94="S",4,-2)</f>
        <v>-2</v>
      </c>
      <c r="AP94" s="39"/>
      <c r="AQ94" s="165">
        <f>IF(Consultas!F94&gt;1,(SUM(F94:AO94)),"N/A")</f>
        <v>15</v>
      </c>
      <c r="AR94" s="78" t="str">
        <f>IF((Consultas!AD94&gt;'Parâmetros'!$A$31),"X",AJ94+Y94+V94+AC94)</f>
        <v>X</v>
      </c>
      <c r="AS94" s="78" t="str">
        <f>IF((Consultas!AD94&gt;'Parâmetros'!$A$31),"X",(H94+I94+J94+Q94+T94+Y94+Z94+AJ94+AN94))</f>
        <v>X</v>
      </c>
      <c r="AT94" s="78">
        <f>IF((Consultas!AD94&lt;'Parâmetros'!$A$31),"X",(AD94+AC94+AB94))</f>
        <v>-1</v>
      </c>
      <c r="AU94" s="78">
        <f t="shared" si="1"/>
        <v>-1</v>
      </c>
      <c r="AV94" s="82" t="str">
        <f>IF(AQ94="N/A","N/A",IF(AQ94&gt;5,'Parâmetros'!$A$15,(IF(AU94=AR94,'Parâmetros'!$A$17,IF(AU94=AS94,'Parâmetros'!$A$16,'Parâmetros'!$A$14)))))</f>
        <v>SEM-RISCO</v>
      </c>
      <c r="AW94" s="86" t="str">
        <f>IF(AQ94="N/A","N/A",IF(AV94='Parâmetros'!$A$15,'Parâmetros'!$C$15,(IF(AV94='Parâmetros'!$A$17,'Parâmetros'!$C$17,IF(AV94='Parâmetros'!$A$16,'Parâmetros'!$C$16,IF(AV94='Parâmetros'!$A$14,'Parâmetros'!$C$12))))))</f>
        <v>LIBERADO</v>
      </c>
      <c r="AX94" s="82" t="str">
        <f>IF(Consultas!F94&gt;1,(IF(Consultas!F94&gt;5000,"SOLICITAR PED COMPRA","N/A")))</f>
        <v>SOLICITAR PED COMPRA</v>
      </c>
      <c r="AY94" s="167" t="str">
        <f>IF(AND(Consultas!M94&lt;&gt;"S", Consultas!H94="S"), "CHECAGEM REVERSA", "N/A")</f>
        <v>N/A</v>
      </c>
      <c r="AZ94" s="167" t="str">
        <f>IF(Consultas!U94="N","PRECISA CORRIGIR END DIVERGENTE","N/A")</f>
        <v>N/A</v>
      </c>
    </row>
    <row r="95" ht="12.0" customHeight="1">
      <c r="A95" s="39" t="s">
        <v>90</v>
      </c>
      <c r="B95" s="82">
        <f>Consultas!B95</f>
        <v>610</v>
      </c>
      <c r="C95" s="82" t="str">
        <f>Consultas!D95</f>
        <v>Oaco</v>
      </c>
      <c r="D95" s="96" t="str">
        <f>Consultas!E95</f>
        <v>035764</v>
      </c>
      <c r="E95" s="104">
        <f>IF(Consultas!AB95&gt;0,YEAR('Parâmetros'!$B$1)-YEAR(Consultas!AB95),"NA")</f>
        <v>6</v>
      </c>
      <c r="F95" s="82">
        <f>IF(Consultas!F95&gt;'Parâmetros'!$B$2,-8,0)</f>
        <v>0</v>
      </c>
      <c r="G95" s="82">
        <f>IF(Consultas!H95='Parâmetros'!$E$1,100,0)</f>
        <v>0</v>
      </c>
      <c r="H95" s="82">
        <f>IF(Consultas!I95='Parâmetros'!$E$1,-4,12)</f>
        <v>-4</v>
      </c>
      <c r="I95" s="82">
        <f>IF(Consultas!J95='Parâmetros'!$E$1,1,-13)</f>
        <v>1</v>
      </c>
      <c r="J95" s="82">
        <f>IF(Consultas!K95='Parâmetros'!$E$1,2,-5)</f>
        <v>2</v>
      </c>
      <c r="K95" s="82" t="str">
        <f>IF(Consultas!L95='Parâmetros'!$D$1,"SOLIC CONTRATO DE ENTREGA","N/A")</f>
        <v>N/A</v>
      </c>
      <c r="L95" s="82">
        <f>IF(Consultas!R95='Parâmetros'!$E$1,1,-3)</f>
        <v>1</v>
      </c>
      <c r="M95" s="82">
        <f>IF(Consultas!S95&gt;1,(IF(Consultas!S95='Parâmetros'!$E$1,-3,9)))</f>
        <v>9</v>
      </c>
      <c r="N95" s="82">
        <f>IF(Consultas!T95="S",23,0)</f>
        <v>23</v>
      </c>
      <c r="O95" s="82">
        <f>IF(Consultas!U95='Parâmetros'!$E$1,-3,3)</f>
        <v>3</v>
      </c>
      <c r="P95" s="82">
        <f>IF(Consultas!V95='Parâmetros'!$E$1,-100,2)</f>
        <v>2</v>
      </c>
      <c r="Q95" s="82">
        <f>IF(Consultas!M95='Parâmetros'!$D$1,2,-9)</f>
        <v>2</v>
      </c>
      <c r="R95" s="82">
        <f>IF(Consultas!N95="RJ",-12,0)</f>
        <v>0</v>
      </c>
      <c r="S95" s="82">
        <f>IF(Consultas!O95="-",-3,IF(Consultas!O95=0,-6,IF(Consultas!O95=5,0,IF(Consultas!O95=10,6))))</f>
        <v>-3</v>
      </c>
      <c r="T95" s="82">
        <f>IF(Consultas!M95="S",0,(IF(Consultas!P95="S",6,0)))</f>
        <v>0</v>
      </c>
      <c r="U95" s="82">
        <f>IF(Consultas!Q95&gt;97,9,IF(Consultas!Q95&gt;75,0,-7))</f>
        <v>9</v>
      </c>
      <c r="V95" s="82">
        <f>IF(Consultas!W95='Parâmetros'!$E$1,1,-5)</f>
        <v>1</v>
      </c>
      <c r="W95" s="82">
        <f>IF(Consultas!X95="S",3,-3)</f>
        <v>3</v>
      </c>
      <c r="X95" s="82">
        <f>IF(Consultas!Y95="S",0,-7)</f>
        <v>0</v>
      </c>
      <c r="Y95" s="82">
        <f>IF(Consultas!Z95='Parâmetros'!$E$1,2,-8)</f>
        <v>2</v>
      </c>
      <c r="Z95" s="82">
        <f>IF(Consultas!AA95='Parâmetros'!$E$1,-15,1)</f>
        <v>1</v>
      </c>
      <c r="AA95" s="147" t="s">
        <v>140</v>
      </c>
      <c r="AB95" s="82">
        <f>IF(E95="NA","NA",IF(E95&gt;'Parâmetros'!$A$9,8,IF(E95&gt;'Parâmetros'!$A$8,4,IF(E95&gt;'Parâmetros'!$A$7,0,-6))))</f>
        <v>0</v>
      </c>
      <c r="AC95" s="82">
        <f>IF(Consultas!AC95='Parâmetros'!$E$1,0,5)</f>
        <v>0</v>
      </c>
      <c r="AD95" s="82">
        <f>IF(Consultas!AH95='Parâmetros'!$D$1,-10,5)</f>
        <v>-10</v>
      </c>
      <c r="AE95" s="82">
        <f>IF(Consultas!AI95&gt;(Consultas!F95*2),-10,0)</f>
        <v>0</v>
      </c>
      <c r="AF95" s="82">
        <f>IF(Consultas!AD95&gt;1,(IF(Consultas!AI95&gt;(Consultas!AD95),-20,4)))</f>
        <v>4</v>
      </c>
      <c r="AG95" s="82">
        <f>IF(Consultas!AG95='Parâmetros'!$E$1,0,-6)</f>
        <v>0</v>
      </c>
      <c r="AH95" s="82">
        <f>IF(Consultas!AF95='Parâmetros'!$E$1,1,-5)</f>
        <v>1</v>
      </c>
      <c r="AI95" s="82">
        <f>IF(Consultas!AJ95&gt;700,8,IF(Consultas!AJ95&gt;500,4,IF(Consultas!AJ95&gt;200,-4,IF(Consultas!AJ95&gt;1,-15,-20))))</f>
        <v>8</v>
      </c>
      <c r="AJ95" s="82">
        <f>IF(Consultas!AD95='Parâmetros'!$E$10,0,IF(Consultas!AD95&gt;'Parâmetros'!$A$30,12,IF(Consultas!AD95&gt;'Parâmetros'!$A$31,6,IF(Consultas!AD95&gt;'Parâmetros'!$A$32,0,IF(Consultas!AD95&gt;'Parâmetros'!$A$33,0,IF(Consultas!AD95&gt;'Parâmetros'!$A$34,-3,IF(Consultas!AD95&gt;'Parâmetros'!$A$35,-7,-1)))))))</f>
        <v>12</v>
      </c>
      <c r="AK95" s="82">
        <f>IF(Consultas!AO95='Parâmetros'!$D$1,3,-3)</f>
        <v>-3</v>
      </c>
      <c r="AL95" s="82">
        <f>IF(Consultas!AP95='Parâmetros'!$D$1,5,-3)</f>
        <v>-3</v>
      </c>
      <c r="AM95" s="82">
        <f>IF(Consultas!AL95="N",-6,0)</f>
        <v>0</v>
      </c>
      <c r="AN95" s="82">
        <f>IF(Consultas!AM95="N",-10,0)</f>
        <v>0</v>
      </c>
      <c r="AO95" s="82">
        <f>IF(Consultas!AN95="S",4,-2)</f>
        <v>-2</v>
      </c>
      <c r="AP95" s="39"/>
      <c r="AQ95" s="165">
        <f>IF(Consultas!F95&gt;1,(SUM(F95:AO95)),"N/A")</f>
        <v>59</v>
      </c>
      <c r="AR95" s="78" t="str">
        <f>IF((Consultas!AD95&gt;'Parâmetros'!$A$31),"X",AJ95+Y95+V95+AC95)</f>
        <v>X</v>
      </c>
      <c r="AS95" s="78" t="str">
        <f>IF((Consultas!AD95&gt;'Parâmetros'!$A$31),"X",(H95+I95+J95+Q95+T95+Y95+Z95+AJ95+AN95))</f>
        <v>X</v>
      </c>
      <c r="AT95" s="78">
        <f>IF((Consultas!AD95&lt;'Parâmetros'!$A$31),"X",(AD95+AC95+AB95))</f>
        <v>-10</v>
      </c>
      <c r="AU95" s="78">
        <f t="shared" si="1"/>
        <v>-10</v>
      </c>
      <c r="AV95" s="82" t="str">
        <f>IF(AQ95="N/A","N/A",IF(AQ95&gt;5,'Parâmetros'!$A$15,(IF(AU95=AR95,'Parâmetros'!$A$17,IF(AU95=AS95,'Parâmetros'!$A$16,'Parâmetros'!$A$14)))))</f>
        <v>SEM-RISCO</v>
      </c>
      <c r="AW95" s="86" t="str">
        <f>IF(AQ95="N/A","N/A",IF(AV95='Parâmetros'!$A$15,'Parâmetros'!$C$15,(IF(AV95='Parâmetros'!$A$17,'Parâmetros'!$C$17,IF(AV95='Parâmetros'!$A$16,'Parâmetros'!$C$16,IF(AV95='Parâmetros'!$A$14,'Parâmetros'!$C$12))))))</f>
        <v>LIBERADO</v>
      </c>
      <c r="AX95" s="82" t="str">
        <f>IF(Consultas!F95&gt;1,(IF(Consultas!F95&gt;5000,"SOLICITAR PED COMPRA","N/A")))</f>
        <v>N/A</v>
      </c>
      <c r="AY95" s="167" t="str">
        <f>IF(AND(Consultas!M95&lt;&gt;"S", Consultas!H95="S"), "CHECAGEM REVERSA", "N/A")</f>
        <v>N/A</v>
      </c>
      <c r="AZ95" s="167" t="str">
        <f>IF(Consultas!U95="N","PRECISA CORRIGIR END DIVERGENTE","N/A")</f>
        <v>N/A</v>
      </c>
    </row>
    <row r="96" ht="12.0" customHeight="1">
      <c r="A96" s="39" t="s">
        <v>90</v>
      </c>
      <c r="B96" s="82">
        <f>Consultas!B96</f>
        <v>611</v>
      </c>
      <c r="C96" s="82" t="str">
        <f>Consultas!D96</f>
        <v>Oaco</v>
      </c>
      <c r="D96" s="96" t="str">
        <f>Consultas!E96</f>
        <v>035764</v>
      </c>
      <c r="E96" s="104">
        <f>IF(Consultas!AB96&gt;0,YEAR('Parâmetros'!$B$1)-YEAR(Consultas!AB96),"NA")</f>
        <v>6</v>
      </c>
      <c r="F96" s="82">
        <f>IF(Consultas!F96&gt;'Parâmetros'!$B$2,-8,0)</f>
        <v>0</v>
      </c>
      <c r="G96" s="82">
        <f>IF(Consultas!H96='Parâmetros'!$E$1,100,0)</f>
        <v>0</v>
      </c>
      <c r="H96" s="82">
        <f>IF(Consultas!I96='Parâmetros'!$E$1,-4,12)</f>
        <v>-4</v>
      </c>
      <c r="I96" s="82">
        <f>IF(Consultas!J96='Parâmetros'!$E$1,1,-13)</f>
        <v>-13</v>
      </c>
      <c r="J96" s="82">
        <f>IF(Consultas!K96='Parâmetros'!$E$1,2,-5)</f>
        <v>2</v>
      </c>
      <c r="K96" s="82" t="str">
        <f>IF(Consultas!L96='Parâmetros'!$D$1,"SOLIC CONTRATO DE ENTREGA","N/A")</f>
        <v>N/A</v>
      </c>
      <c r="L96" s="82">
        <f>IF(Consultas!R96='Parâmetros'!$E$1,1,-3)</f>
        <v>1</v>
      </c>
      <c r="M96" s="82">
        <f>IF(Consultas!S96&gt;1,(IF(Consultas!S96='Parâmetros'!$E$1,-3,9)))</f>
        <v>9</v>
      </c>
      <c r="N96" s="82">
        <f>IF(Consultas!T96="S",23,0)</f>
        <v>23</v>
      </c>
      <c r="O96" s="82">
        <f>IF(Consultas!U96='Parâmetros'!$E$1,-3,3)</f>
        <v>3</v>
      </c>
      <c r="P96" s="82">
        <f>IF(Consultas!V96='Parâmetros'!$E$1,-100,2)</f>
        <v>2</v>
      </c>
      <c r="Q96" s="82">
        <f>IF(Consultas!M96='Parâmetros'!$D$1,2,-9)</f>
        <v>-9</v>
      </c>
      <c r="R96" s="82">
        <f>IF(Consultas!N96="RJ",-12,0)</f>
        <v>0</v>
      </c>
      <c r="S96" s="82">
        <f>IF(Consultas!O96="-",-3,IF(Consultas!O96=0,-6,IF(Consultas!O96=5,0,IF(Consultas!O96=10,6))))</f>
        <v>-6</v>
      </c>
      <c r="T96" s="82">
        <f>IF(Consultas!M96="S",0,(IF(Consultas!P96="S",6,0)))</f>
        <v>0</v>
      </c>
      <c r="U96" s="82">
        <f>IF(Consultas!Q96&gt;97,9,IF(Consultas!Q96&gt;75,0,-7))</f>
        <v>9</v>
      </c>
      <c r="V96" s="82">
        <f>IF(Consultas!W96='Parâmetros'!$E$1,1,-5)</f>
        <v>1</v>
      </c>
      <c r="W96" s="82">
        <f>IF(Consultas!X96="S",3,-3)</f>
        <v>3</v>
      </c>
      <c r="X96" s="82">
        <f>IF(Consultas!Y96="S",0,-7)</f>
        <v>0</v>
      </c>
      <c r="Y96" s="82">
        <f>IF(Consultas!Z96='Parâmetros'!$E$1,2,-8)</f>
        <v>2</v>
      </c>
      <c r="Z96" s="82">
        <f>IF(Consultas!AA96='Parâmetros'!$E$1,-15,1)</f>
        <v>1</v>
      </c>
      <c r="AA96" s="147" t="s">
        <v>140</v>
      </c>
      <c r="AB96" s="82">
        <f>IF(E96="NA","NA",IF(E96&gt;'Parâmetros'!$A$9,8,IF(E96&gt;'Parâmetros'!$A$8,4,IF(E96&gt;'Parâmetros'!$A$7,0,-6))))</f>
        <v>0</v>
      </c>
      <c r="AC96" s="82">
        <f>IF(Consultas!AC96='Parâmetros'!$E$1,0,5)</f>
        <v>0</v>
      </c>
      <c r="AD96" s="82">
        <f>IF(Consultas!AH96='Parâmetros'!$D$1,-10,5)</f>
        <v>-10</v>
      </c>
      <c r="AE96" s="82">
        <f>IF(Consultas!AI96&gt;(Consultas!F96*2),-10,0)</f>
        <v>0</v>
      </c>
      <c r="AF96" s="82">
        <f>IF(Consultas!AD96&gt;1,(IF(Consultas!AI96&gt;(Consultas!AD96),-20,4)))</f>
        <v>4</v>
      </c>
      <c r="AG96" s="82">
        <f>IF(Consultas!AG96='Parâmetros'!$E$1,0,-6)</f>
        <v>0</v>
      </c>
      <c r="AH96" s="82">
        <f>IF(Consultas!AF96='Parâmetros'!$E$1,1,-5)</f>
        <v>1</v>
      </c>
      <c r="AI96" s="82">
        <f>IF(Consultas!AJ96&gt;700,8,IF(Consultas!AJ96&gt;500,4,IF(Consultas!AJ96&gt;200,-4,IF(Consultas!AJ96&gt;1,-15,-20))))</f>
        <v>8</v>
      </c>
      <c r="AJ96" s="82">
        <f>IF(Consultas!AD96='Parâmetros'!$E$10,0,IF(Consultas!AD96&gt;'Parâmetros'!$A$30,12,IF(Consultas!AD96&gt;'Parâmetros'!$A$31,6,IF(Consultas!AD96&gt;'Parâmetros'!$A$32,0,IF(Consultas!AD96&gt;'Parâmetros'!$A$33,0,IF(Consultas!AD96&gt;'Parâmetros'!$A$34,-3,IF(Consultas!AD96&gt;'Parâmetros'!$A$35,-7,-1)))))))</f>
        <v>12</v>
      </c>
      <c r="AK96" s="82">
        <f>IF(Consultas!AO96='Parâmetros'!$D$1,3,-3)</f>
        <v>-3</v>
      </c>
      <c r="AL96" s="82">
        <f>IF(Consultas!AP96='Parâmetros'!$D$1,5,-3)</f>
        <v>-3</v>
      </c>
      <c r="AM96" s="82">
        <f>IF(Consultas!AL96="N",-6,0)</f>
        <v>0</v>
      </c>
      <c r="AN96" s="82">
        <f>IF(Consultas!AM96="N",-10,0)</f>
        <v>0</v>
      </c>
      <c r="AO96" s="82">
        <f>IF(Consultas!AN96="S",4,-2)</f>
        <v>-2</v>
      </c>
      <c r="AP96" s="39"/>
      <c r="AQ96" s="165">
        <f>IF(Consultas!F96&gt;1,(SUM(F96:AO96)),"N/A")</f>
        <v>31</v>
      </c>
      <c r="AR96" s="78" t="str">
        <f>IF((Consultas!AD96&gt;'Parâmetros'!$A$31),"X",AJ96+Y96+V96+AC96)</f>
        <v>X</v>
      </c>
      <c r="AS96" s="78" t="str">
        <f>IF((Consultas!AD96&gt;'Parâmetros'!$A$31),"X",(H96+I96+J96+Q96+T96+Y96+Z96+AJ96+AN96))</f>
        <v>X</v>
      </c>
      <c r="AT96" s="78">
        <f>IF((Consultas!AD96&lt;'Parâmetros'!$A$31),"X",(AD96+AC96+AB96))</f>
        <v>-10</v>
      </c>
      <c r="AU96" s="78">
        <f t="shared" si="1"/>
        <v>-10</v>
      </c>
      <c r="AV96" s="82" t="str">
        <f>IF(AQ96="N/A","N/A",IF(AQ96&gt;5,'Parâmetros'!$A$15,(IF(AU96=AR96,'Parâmetros'!$A$17,IF(AU96=AS96,'Parâmetros'!$A$16,'Parâmetros'!$A$14)))))</f>
        <v>SEM-RISCO</v>
      </c>
      <c r="AW96" s="86" t="str">
        <f>IF(AQ96="N/A","N/A",IF(AV96='Parâmetros'!$A$15,'Parâmetros'!$C$15,(IF(AV96='Parâmetros'!$A$17,'Parâmetros'!$C$17,IF(AV96='Parâmetros'!$A$16,'Parâmetros'!$C$16,IF(AV96='Parâmetros'!$A$14,'Parâmetros'!$C$12))))))</f>
        <v>LIBERADO</v>
      </c>
      <c r="AX96" s="82" t="str">
        <f>IF(Consultas!F96&gt;1,(IF(Consultas!F96&gt;5000,"SOLICITAR PED COMPRA","N/A")))</f>
        <v>SOLICITAR PED COMPRA</v>
      </c>
      <c r="AY96" s="167" t="str">
        <f>IF(AND(Consultas!M96&lt;&gt;"S", Consultas!H96="S"), "CHECAGEM REVERSA", "N/A")</f>
        <v>CHECAGEM REVERSA</v>
      </c>
      <c r="AZ96" s="167" t="str">
        <f>IF(Consultas!U96="N","PRECISA CORRIGIR END DIVERGENTE","N/A")</f>
        <v>N/A</v>
      </c>
    </row>
    <row r="97" ht="12.0" customHeight="1">
      <c r="A97" s="39" t="s">
        <v>90</v>
      </c>
      <c r="B97" s="82">
        <f>Consultas!B97</f>
        <v>258</v>
      </c>
      <c r="C97" s="82" t="str">
        <f>Consultas!D97</f>
        <v>Metalpleno</v>
      </c>
      <c r="D97" s="96" t="str">
        <f>Consultas!E97</f>
        <v>144625</v>
      </c>
      <c r="E97" s="104">
        <f>IF(Consultas!AB97&gt;0,YEAR('Parâmetros'!$B$1)-YEAR(Consultas!AB97),"NA")</f>
        <v>38</v>
      </c>
      <c r="F97" s="82">
        <f>IF(Consultas!F97&gt;'Parâmetros'!$B$2,-8,0)</f>
        <v>0</v>
      </c>
      <c r="G97" s="82">
        <f>IF(Consultas!H97='Parâmetros'!$E$1,100,0)</f>
        <v>0</v>
      </c>
      <c r="H97" s="82">
        <f>IF(Consultas!I97='Parâmetros'!$E$1,-4,12)</f>
        <v>12</v>
      </c>
      <c r="I97" s="82">
        <f>IF(Consultas!J97='Parâmetros'!$E$1,1,-13)</f>
        <v>1</v>
      </c>
      <c r="J97" s="82">
        <f>IF(Consultas!K97='Parâmetros'!$E$1,2,-5)</f>
        <v>2</v>
      </c>
      <c r="K97" s="82" t="str">
        <f>IF(Consultas!L97='Parâmetros'!$D$1,"SOLIC CONTRATO DE ENTREGA","N/A")</f>
        <v>SOLIC CONTRATO DE ENTREGA</v>
      </c>
      <c r="L97" s="82">
        <f>IF(Consultas!R97='Parâmetros'!$E$1,1,-3)</f>
        <v>1</v>
      </c>
      <c r="M97" s="82">
        <f>IF(Consultas!S97&gt;1,(IF(Consultas!S97='Parâmetros'!$E$1,-3,9)))</f>
        <v>-3</v>
      </c>
      <c r="N97" s="82">
        <f>IF(Consultas!T97="S",23,0)</f>
        <v>0</v>
      </c>
      <c r="O97" s="82">
        <f>IF(Consultas!U97='Parâmetros'!$E$1,-3,3)</f>
        <v>3</v>
      </c>
      <c r="P97" s="82">
        <f>IF(Consultas!V97='Parâmetros'!$E$1,-100,2)</f>
        <v>2</v>
      </c>
      <c r="Q97" s="82">
        <f>IF(Consultas!M97='Parâmetros'!$D$1,2,-9)</f>
        <v>2</v>
      </c>
      <c r="R97" s="82">
        <f>IF(Consultas!N97="RJ",-12,0)</f>
        <v>-12</v>
      </c>
      <c r="S97" s="82">
        <f>IF(Consultas!O97="-",-3,IF(Consultas!O97=0,-6,IF(Consultas!O97=5,0,IF(Consultas!O97=10,6))))</f>
        <v>0</v>
      </c>
      <c r="T97" s="82">
        <f>IF(Consultas!M97="S",0,(IF(Consultas!P97="S",6,0)))</f>
        <v>0</v>
      </c>
      <c r="U97" s="82">
        <f>IF(Consultas!Q97&gt;97,9,IF(Consultas!Q97&gt;75,0,-7))</f>
        <v>9</v>
      </c>
      <c r="V97" s="82">
        <f>IF(Consultas!W97='Parâmetros'!$E$1,1,-5)</f>
        <v>1</v>
      </c>
      <c r="W97" s="82">
        <f>IF(Consultas!X97="S",3,-3)</f>
        <v>3</v>
      </c>
      <c r="X97" s="82">
        <f>IF(Consultas!Y97="S",0,-7)</f>
        <v>-7</v>
      </c>
      <c r="Y97" s="82">
        <f>IF(Consultas!Z97='Parâmetros'!$E$1,2,-8)</f>
        <v>-8</v>
      </c>
      <c r="Z97" s="82">
        <f>IF(Consultas!AA97='Parâmetros'!$E$1,-15,1)</f>
        <v>1</v>
      </c>
      <c r="AA97" s="147" t="s">
        <v>140</v>
      </c>
      <c r="AB97" s="82">
        <f>IF(E97="NA","NA",IF(E97&gt;'Parâmetros'!$A$9,8,IF(E97&gt;'Parâmetros'!$A$8,4,IF(E97&gt;'Parâmetros'!$A$7,0,-6))))</f>
        <v>8</v>
      </c>
      <c r="AC97" s="82">
        <f>IF(Consultas!AC97='Parâmetros'!$E$1,0,5)</f>
        <v>0</v>
      </c>
      <c r="AD97" s="82">
        <f>IF(Consultas!AH97='Parâmetros'!$D$1,-10,5)</f>
        <v>-10</v>
      </c>
      <c r="AE97" s="82">
        <f>IF(Consultas!AI97&gt;(Consultas!F97*2),-10,0)</f>
        <v>-10</v>
      </c>
      <c r="AF97" s="82">
        <f>IF(Consultas!AD97&gt;1,(IF(Consultas!AI97&gt;(Consultas!AD97),-20,4)))</f>
        <v>4</v>
      </c>
      <c r="AG97" s="82">
        <f>IF(Consultas!AG97='Parâmetros'!$E$1,0,-6)</f>
        <v>0</v>
      </c>
      <c r="AH97" s="82">
        <f>IF(Consultas!AF97='Parâmetros'!$E$1,1,-5)</f>
        <v>1</v>
      </c>
      <c r="AI97" s="82">
        <f>IF(Consultas!AJ97&gt;700,8,IF(Consultas!AJ97&gt;500,4,IF(Consultas!AJ97&gt;200,-4,IF(Consultas!AJ97&gt;1,-15,-20))))</f>
        <v>8</v>
      </c>
      <c r="AJ97" s="82">
        <f>IF(Consultas!AD97='Parâmetros'!$E$10,0,IF(Consultas!AD97&gt;'Parâmetros'!$A$30,12,IF(Consultas!AD97&gt;'Parâmetros'!$A$31,6,IF(Consultas!AD97&gt;'Parâmetros'!$A$32,0,IF(Consultas!AD97&gt;'Parâmetros'!$A$33,0,IF(Consultas!AD97&gt;'Parâmetros'!$A$34,-3,IF(Consultas!AD97&gt;'Parâmetros'!$A$35,-7,-1)))))))</f>
        <v>12</v>
      </c>
      <c r="AK97" s="82">
        <f>IF(Consultas!AO97='Parâmetros'!$D$1,3,-3)</f>
        <v>-3</v>
      </c>
      <c r="AL97" s="82">
        <f>IF(Consultas!AP97='Parâmetros'!$D$1,5,-3)</f>
        <v>-3</v>
      </c>
      <c r="AM97" s="82">
        <f>IF(Consultas!AL97="N",-6,0)</f>
        <v>0</v>
      </c>
      <c r="AN97" s="82">
        <f>IF(Consultas!AM97="N",-10,0)</f>
        <v>0</v>
      </c>
      <c r="AO97" s="82">
        <f>IF(Consultas!AN97="S",4,-2)</f>
        <v>-2</v>
      </c>
      <c r="AP97" s="39"/>
      <c r="AQ97" s="165">
        <f>IF(Consultas!F97&gt;1,(SUM(F97:AO97)),"N/A")</f>
        <v>12</v>
      </c>
      <c r="AR97" s="78" t="str">
        <f>IF((Consultas!AD97&gt;'Parâmetros'!$A$31),"X",AJ97+Y97+V97+AC97)</f>
        <v>X</v>
      </c>
      <c r="AS97" s="78" t="str">
        <f>IF((Consultas!AD97&gt;'Parâmetros'!$A$31),"X",(H97+I97+J97+Q97+T97+Y97+Z97+AJ97+AN97))</f>
        <v>X</v>
      </c>
      <c r="AT97" s="78">
        <f>IF((Consultas!AD97&lt;'Parâmetros'!$A$31),"X",(AD97+AC97+AB97))</f>
        <v>-2</v>
      </c>
      <c r="AU97" s="78">
        <f t="shared" si="1"/>
        <v>-2</v>
      </c>
      <c r="AV97" s="82" t="str">
        <f>IF(AQ97="N/A","N/A",IF(AQ97&gt;5,'Parâmetros'!$A$15,(IF(AU97=AR97,'Parâmetros'!$A$17,IF(AU97=AS97,'Parâmetros'!$A$16,'Parâmetros'!$A$14)))))</f>
        <v>SEM-RISCO</v>
      </c>
      <c r="AW97" s="86" t="str">
        <f>IF(AQ97="N/A","N/A",IF(AV97='Parâmetros'!$A$15,'Parâmetros'!$C$15,(IF(AV97='Parâmetros'!$A$17,'Parâmetros'!$C$17,IF(AV97='Parâmetros'!$A$16,'Parâmetros'!$C$16,IF(AV97='Parâmetros'!$A$14,'Parâmetros'!$C$12))))))</f>
        <v>LIBERADO</v>
      </c>
      <c r="AX97" s="82" t="str">
        <f>IF(Consultas!F97&gt;1,(IF(Consultas!F97&gt;5000,"SOLICITAR PED COMPRA","N/A")))</f>
        <v>SOLICITAR PED COMPRA</v>
      </c>
      <c r="AY97" s="167" t="str">
        <f>IF(AND(Consultas!M97&lt;&gt;"S", Consultas!H97="S"), "CHECAGEM REVERSA", "N/A")</f>
        <v>N/A</v>
      </c>
      <c r="AZ97" s="167" t="str">
        <f>IF(Consultas!U97="N","PRECISA CORRIGIR END DIVERGENTE","N/A")</f>
        <v>N/A</v>
      </c>
    </row>
    <row r="98" ht="12.0" customHeight="1">
      <c r="A98" s="39" t="s">
        <v>90</v>
      </c>
      <c r="B98" s="82">
        <f>Consultas!B98</f>
        <v>257</v>
      </c>
      <c r="C98" s="82" t="str">
        <f>Consultas!D98</f>
        <v>Metalpleno</v>
      </c>
      <c r="D98" s="96" t="str">
        <f>Consultas!E98</f>
        <v>005501</v>
      </c>
      <c r="E98" s="104">
        <f>IF(Consultas!AB98&gt;0,YEAR('Parâmetros'!$B$1)-YEAR(Consultas!AB98),"NA")</f>
        <v>41</v>
      </c>
      <c r="F98" s="82">
        <f>IF(Consultas!F98&gt;'Parâmetros'!$B$2,-8,0)</f>
        <v>0</v>
      </c>
      <c r="G98" s="82">
        <f>IF(Consultas!H98='Parâmetros'!$E$1,100,0)</f>
        <v>0</v>
      </c>
      <c r="H98" s="82">
        <f>IF(Consultas!I98='Parâmetros'!$E$1,-4,12)</f>
        <v>-4</v>
      </c>
      <c r="I98" s="82">
        <f>IF(Consultas!J98='Parâmetros'!$E$1,1,-13)</f>
        <v>1</v>
      </c>
      <c r="J98" s="82">
        <f>IF(Consultas!K98='Parâmetros'!$E$1,2,-5)</f>
        <v>2</v>
      </c>
      <c r="K98" s="82" t="str">
        <f>IF(Consultas!L98='Parâmetros'!$D$1,"SOLIC CONTRATO DE ENTREGA","N/A")</f>
        <v>SOLIC CONTRATO DE ENTREGA</v>
      </c>
      <c r="L98" s="82">
        <f>IF(Consultas!R98='Parâmetros'!$E$1,1,-3)</f>
        <v>1</v>
      </c>
      <c r="M98" s="82">
        <f>IF(Consultas!S98&gt;1,(IF(Consultas!S98='Parâmetros'!$E$1,-3,9)))</f>
        <v>-3</v>
      </c>
      <c r="N98" s="82">
        <f>IF(Consultas!T98="S",23,0)</f>
        <v>0</v>
      </c>
      <c r="O98" s="82">
        <f>IF(Consultas!U98='Parâmetros'!$E$1,-3,3)</f>
        <v>3</v>
      </c>
      <c r="P98" s="82">
        <f>IF(Consultas!V98='Parâmetros'!$E$1,-100,2)</f>
        <v>2</v>
      </c>
      <c r="Q98" s="82">
        <f>IF(Consultas!M98='Parâmetros'!$D$1,2,-9)</f>
        <v>2</v>
      </c>
      <c r="R98" s="82">
        <f>IF(Consultas!N98="RJ",-12,0)</f>
        <v>0</v>
      </c>
      <c r="S98" s="82">
        <f>IF(Consultas!O98="-",-3,IF(Consultas!O98=0,-6,IF(Consultas!O98=5,0,IF(Consultas!O98=10,6))))</f>
        <v>0</v>
      </c>
      <c r="T98" s="82">
        <f>IF(Consultas!M98="S",0,(IF(Consultas!P98="S",6,0)))</f>
        <v>0</v>
      </c>
      <c r="U98" s="82">
        <f>IF(Consultas!Q98&gt;97,9,IF(Consultas!Q98&gt;75,0,-7))</f>
        <v>9</v>
      </c>
      <c r="V98" s="82">
        <f>IF(Consultas!W98='Parâmetros'!$E$1,1,-5)</f>
        <v>1</v>
      </c>
      <c r="W98" s="82">
        <f>IF(Consultas!X98="S",3,-3)</f>
        <v>3</v>
      </c>
      <c r="X98" s="82">
        <f>IF(Consultas!Y98="S",0,-7)</f>
        <v>0</v>
      </c>
      <c r="Y98" s="82">
        <f>IF(Consultas!Z98='Parâmetros'!$E$1,2,-8)</f>
        <v>2</v>
      </c>
      <c r="Z98" s="82">
        <f>IF(Consultas!AA98='Parâmetros'!$E$1,-15,1)</f>
        <v>1</v>
      </c>
      <c r="AA98" s="147" t="s">
        <v>140</v>
      </c>
      <c r="AB98" s="82">
        <f>IF(E98="NA","NA",IF(E98&gt;'Parâmetros'!$A$9,8,IF(E98&gt;'Parâmetros'!$A$8,4,IF(E98&gt;'Parâmetros'!$A$7,0,-6))))</f>
        <v>8</v>
      </c>
      <c r="AC98" s="82">
        <f>IF(Consultas!AC98='Parâmetros'!$E$1,0,5)</f>
        <v>5</v>
      </c>
      <c r="AD98" s="82">
        <f>IF(Consultas!AH98='Parâmetros'!$D$1,-10,5)</f>
        <v>-10</v>
      </c>
      <c r="AE98" s="82">
        <f>IF(Consultas!AI98&gt;(Consultas!F98*2),-10,0)</f>
        <v>-10</v>
      </c>
      <c r="AF98" s="82" t="b">
        <f>IF(Consultas!AD98&gt;1,(IF(Consultas!AI98&gt;(Consultas!AD98),-20,4)))</f>
        <v>0</v>
      </c>
      <c r="AG98" s="82">
        <f>IF(Consultas!AG98='Parâmetros'!$E$1,0,-6)</f>
        <v>0</v>
      </c>
      <c r="AH98" s="82">
        <f>IF(Consultas!AF98='Parâmetros'!$E$1,1,-5)</f>
        <v>-5</v>
      </c>
      <c r="AI98" s="82">
        <f>IF(Consultas!AJ98&gt;700,8,IF(Consultas!AJ98&gt;500,4,IF(Consultas!AJ98&gt;200,-4,IF(Consultas!AJ98&gt;1,-15,-20))))</f>
        <v>-20</v>
      </c>
      <c r="AJ98" s="82">
        <f>IF(Consultas!AD98='Parâmetros'!$E$10,0,IF(Consultas!AD98&gt;'Parâmetros'!$A$30,12,IF(Consultas!AD98&gt;'Parâmetros'!$A$31,6,IF(Consultas!AD98&gt;'Parâmetros'!$A$32,0,IF(Consultas!AD98&gt;'Parâmetros'!$A$33,0,IF(Consultas!AD98&gt;'Parâmetros'!$A$34,-3,IF(Consultas!AD98&gt;'Parâmetros'!$A$35,-7,-1)))))))</f>
        <v>-1</v>
      </c>
      <c r="AK98" s="82">
        <f>IF(Consultas!AO98='Parâmetros'!$D$1,3,-3)</f>
        <v>-3</v>
      </c>
      <c r="AL98" s="82">
        <f>IF(Consultas!AP98='Parâmetros'!$D$1,5,-3)</f>
        <v>-3</v>
      </c>
      <c r="AM98" s="82">
        <f>IF(Consultas!AL98="N",-6,0)</f>
        <v>0</v>
      </c>
      <c r="AN98" s="82">
        <f>IF(Consultas!AM98="N",-10,0)</f>
        <v>0</v>
      </c>
      <c r="AO98" s="82">
        <f>IF(Consultas!AN98="S",4,-2)</f>
        <v>-2</v>
      </c>
      <c r="AP98" s="39"/>
      <c r="AQ98" s="165">
        <f>IF(Consultas!F98&gt;1,(SUM(F98:AO98)),"N/A")</f>
        <v>-21</v>
      </c>
      <c r="AR98" s="78">
        <f>IF((Consultas!AD98&gt;'Parâmetros'!$A$31),"X",AJ98+Y98+V98+AC98)</f>
        <v>7</v>
      </c>
      <c r="AS98" s="78">
        <f>IF((Consultas!AD98&gt;'Parâmetros'!$A$31),"X",(H98+I98+J98+Q98+T98+Y98+Z98+AJ98+AN98))</f>
        <v>3</v>
      </c>
      <c r="AT98" s="78" t="str">
        <f>IF((Consultas!AD98&lt;'Parâmetros'!$A$31),"X",(AD98+AC98+AB98))</f>
        <v>X</v>
      </c>
      <c r="AU98" s="78">
        <f t="shared" si="1"/>
        <v>3</v>
      </c>
      <c r="AV98" s="82" t="str">
        <f>IF(AQ98="N/A","N/A",IF(AQ98&gt;5,'Parâmetros'!$A$15,(IF(AU98=AR98,'Parâmetros'!$A$17,IF(AU98=AS98,'Parâmetros'!$A$16,'Parâmetros'!$A$14)))))</f>
        <v>GOLPE</v>
      </c>
      <c r="AW98" s="86" t="str">
        <f>IF(AQ98="N/A","N/A",IF(AV98='Parâmetros'!$A$15,'Parâmetros'!$C$15,(IF(AV98='Parâmetros'!$A$17,'Parâmetros'!$C$17,IF(AV98='Parâmetros'!$A$16,'Parâmetros'!$C$16,IF(AV98='Parâmetros'!$A$14,'Parâmetros'!$C$12))))))</f>
        <v>ENTRADA OU A VISTA</v>
      </c>
      <c r="AX98" s="82" t="str">
        <f>IF(Consultas!F98&gt;1,(IF(Consultas!F98&gt;5000,"SOLICITAR PED COMPRA","N/A")))</f>
        <v>SOLICITAR PED COMPRA</v>
      </c>
      <c r="AY98" s="167" t="str">
        <f>IF(AND(Consultas!M98&lt;&gt;"S", Consultas!H98="S"), "CHECAGEM REVERSA", "N/A")</f>
        <v>N/A</v>
      </c>
      <c r="AZ98" s="167" t="str">
        <f>IF(Consultas!U98="N","PRECISA CORRIGIR END DIVERGENTE","N/A")</f>
        <v>N/A</v>
      </c>
    </row>
    <row r="99" ht="12.0" customHeight="1">
      <c r="A99" s="39" t="s">
        <v>90</v>
      </c>
      <c r="B99" s="82">
        <f>Consultas!B99</f>
        <v>259</v>
      </c>
      <c r="C99" s="82" t="str">
        <f>Consultas!D99</f>
        <v>Metalpleno</v>
      </c>
      <c r="D99" s="96" t="str">
        <f>Consultas!E99</f>
        <v>144628</v>
      </c>
      <c r="E99" s="104">
        <f>IF(Consultas!AB99&gt;0,YEAR('Parâmetros'!$B$1)-YEAR(Consultas!AB99),"NA")</f>
        <v>4</v>
      </c>
      <c r="F99" s="82">
        <f>IF(Consultas!F99&gt;'Parâmetros'!$B$2,-8,0)</f>
        <v>0</v>
      </c>
      <c r="G99" s="82">
        <f>IF(Consultas!H99='Parâmetros'!$E$1,100,0)</f>
        <v>0</v>
      </c>
      <c r="H99" s="82">
        <f>IF(Consultas!I99='Parâmetros'!$E$1,-4,12)</f>
        <v>-4</v>
      </c>
      <c r="I99" s="82">
        <f>IF(Consultas!J99='Parâmetros'!$E$1,1,-13)</f>
        <v>1</v>
      </c>
      <c r="J99" s="82">
        <f>IF(Consultas!K99='Parâmetros'!$E$1,2,-5)</f>
        <v>2</v>
      </c>
      <c r="K99" s="82" t="str">
        <f>IF(Consultas!L99='Parâmetros'!$D$1,"SOLIC CONTRATO DE ENTREGA","N/A")</f>
        <v>SOLIC CONTRATO DE ENTREGA</v>
      </c>
      <c r="L99" s="82">
        <f>IF(Consultas!R99='Parâmetros'!$E$1,1,-3)</f>
        <v>1</v>
      </c>
      <c r="M99" s="82">
        <f>IF(Consultas!S99&gt;1,(IF(Consultas!S99='Parâmetros'!$E$1,-3,9)))</f>
        <v>-3</v>
      </c>
      <c r="N99" s="82">
        <f>IF(Consultas!T99="S",23,0)</f>
        <v>0</v>
      </c>
      <c r="O99" s="82">
        <f>IF(Consultas!U99='Parâmetros'!$E$1,-3,3)</f>
        <v>3</v>
      </c>
      <c r="P99" s="82">
        <f>IF(Consultas!V99='Parâmetros'!$E$1,-100,2)</f>
        <v>2</v>
      </c>
      <c r="Q99" s="82">
        <f>IF(Consultas!M99='Parâmetros'!$D$1,2,-9)</f>
        <v>2</v>
      </c>
      <c r="R99" s="82">
        <f>IF(Consultas!N99="RJ",-12,0)</f>
        <v>0</v>
      </c>
      <c r="S99" s="82">
        <f>IF(Consultas!O99="-",-3,IF(Consultas!O99=0,-6,IF(Consultas!O99=5,0,IF(Consultas!O99=10,6))))</f>
        <v>-3</v>
      </c>
      <c r="T99" s="82">
        <f>IF(Consultas!M99="S",0,(IF(Consultas!P99="S",6,0)))</f>
        <v>0</v>
      </c>
      <c r="U99" s="82">
        <f>IF(Consultas!Q99&gt;97,9,IF(Consultas!Q99&gt;75,0,-7))</f>
        <v>9</v>
      </c>
      <c r="V99" s="82">
        <f>IF(Consultas!W99='Parâmetros'!$E$1,1,-5)</f>
        <v>1</v>
      </c>
      <c r="W99" s="82">
        <f>IF(Consultas!X99="S",3,-3)</f>
        <v>3</v>
      </c>
      <c r="X99" s="82">
        <f>IF(Consultas!Y99="S",0,-7)</f>
        <v>0</v>
      </c>
      <c r="Y99" s="82">
        <f>IF(Consultas!Z99='Parâmetros'!$E$1,2,-8)</f>
        <v>2</v>
      </c>
      <c r="Z99" s="82">
        <f>IF(Consultas!AA99='Parâmetros'!$E$1,-15,1)</f>
        <v>1</v>
      </c>
      <c r="AA99" s="147" t="s">
        <v>140</v>
      </c>
      <c r="AB99" s="82">
        <f>IF(E99="NA","NA",IF(E99&gt;'Parâmetros'!$A$9,8,IF(E99&gt;'Parâmetros'!$A$8,4,IF(E99&gt;'Parâmetros'!$A$7,0,-6))))</f>
        <v>-6</v>
      </c>
      <c r="AC99" s="82">
        <f>IF(Consultas!AC99='Parâmetros'!$E$1,0,5)</f>
        <v>0</v>
      </c>
      <c r="AD99" s="82">
        <f>IF(Consultas!AH99='Parâmetros'!$D$1,-10,5)</f>
        <v>5</v>
      </c>
      <c r="AE99" s="82">
        <f>IF(Consultas!AI99&gt;(Consultas!F99*2),-10,0)</f>
        <v>0</v>
      </c>
      <c r="AF99" s="82">
        <f>IF(Consultas!AD99&gt;1,(IF(Consultas!AI99&gt;(Consultas!AD99),-20,4)))</f>
        <v>4</v>
      </c>
      <c r="AG99" s="82">
        <f>IF(Consultas!AG99='Parâmetros'!$E$1,0,-6)</f>
        <v>0</v>
      </c>
      <c r="AH99" s="82">
        <f>IF(Consultas!AF99='Parâmetros'!$E$1,1,-5)</f>
        <v>-5</v>
      </c>
      <c r="AI99" s="82">
        <f>IF(Consultas!AJ99&gt;700,8,IF(Consultas!AJ99&gt;500,4,IF(Consultas!AJ99&gt;200,-4,IF(Consultas!AJ99&gt;1,-15,-20))))</f>
        <v>4</v>
      </c>
      <c r="AJ99" s="82">
        <f>IF(Consultas!AD99='Parâmetros'!$E$10,0,IF(Consultas!AD99&gt;'Parâmetros'!$A$30,12,IF(Consultas!AD99&gt;'Parâmetros'!$A$31,6,IF(Consultas!AD99&gt;'Parâmetros'!$A$32,0,IF(Consultas!AD99&gt;'Parâmetros'!$A$33,0,IF(Consultas!AD99&gt;'Parâmetros'!$A$34,-3,IF(Consultas!AD99&gt;'Parâmetros'!$A$35,-7,-1)))))))</f>
        <v>12</v>
      </c>
      <c r="AK99" s="82">
        <f>IF(Consultas!AO99='Parâmetros'!$D$1,3,-3)</f>
        <v>-3</v>
      </c>
      <c r="AL99" s="82">
        <f>IF(Consultas!AP99='Parâmetros'!$D$1,5,-3)</f>
        <v>-3</v>
      </c>
      <c r="AM99" s="82">
        <f>IF(Consultas!AL99="N",-6,0)</f>
        <v>0</v>
      </c>
      <c r="AN99" s="82">
        <f>IF(Consultas!AM99="N",-10,0)</f>
        <v>0</v>
      </c>
      <c r="AO99" s="82">
        <f>IF(Consultas!AN99="S",4,-2)</f>
        <v>-2</v>
      </c>
      <c r="AP99" s="39"/>
      <c r="AQ99" s="165">
        <f>IF(Consultas!F99&gt;1,(SUM(F99:AO99)),"N/A")</f>
        <v>23</v>
      </c>
      <c r="AR99" s="78" t="str">
        <f>IF((Consultas!AD99&gt;'Parâmetros'!$A$31),"X",AJ99+Y99+V99+AC99)</f>
        <v>X</v>
      </c>
      <c r="AS99" s="78" t="str">
        <f>IF((Consultas!AD99&gt;'Parâmetros'!$A$31),"X",(H99+I99+J99+Q99+T99+Y99+Z99+AJ99+AN99))</f>
        <v>X</v>
      </c>
      <c r="AT99" s="78">
        <f>IF((Consultas!AD99&lt;'Parâmetros'!$A$31),"X",(AD99+AC99+AB99))</f>
        <v>-1</v>
      </c>
      <c r="AU99" s="78">
        <f t="shared" si="1"/>
        <v>-1</v>
      </c>
      <c r="AV99" s="82" t="str">
        <f>IF(AQ99="N/A","N/A",IF(AQ99&gt;5,'Parâmetros'!$A$15,(IF(AU99=AR99,'Parâmetros'!$A$17,IF(AU99=AS99,'Parâmetros'!$A$16,'Parâmetros'!$A$14)))))</f>
        <v>SEM-RISCO</v>
      </c>
      <c r="AW99" s="86" t="str">
        <f>IF(AQ99="N/A","N/A",IF(AV99='Parâmetros'!$A$15,'Parâmetros'!$C$15,(IF(AV99='Parâmetros'!$A$17,'Parâmetros'!$C$17,IF(AV99='Parâmetros'!$A$16,'Parâmetros'!$C$16,IF(AV99='Parâmetros'!$A$14,'Parâmetros'!$C$12))))))</f>
        <v>LIBERADO</v>
      </c>
      <c r="AX99" s="82" t="str">
        <f>IF(Consultas!F99&gt;1,(IF(Consultas!F99&gt;5000,"SOLICITAR PED COMPRA","N/A")))</f>
        <v>SOLICITAR PED COMPRA</v>
      </c>
      <c r="AY99" s="167" t="str">
        <f>IF(AND(Consultas!M99&lt;&gt;"S", Consultas!H99="S"), "CHECAGEM REVERSA", "N/A")</f>
        <v>N/A</v>
      </c>
      <c r="AZ99" s="167" t="str">
        <f>IF(Consultas!U99="N","PRECISA CORRIGIR END DIVERGENTE","N/A")</f>
        <v>N/A</v>
      </c>
    </row>
    <row r="100" ht="12.0" customHeight="1">
      <c r="A100" s="39" t="s">
        <v>90</v>
      </c>
      <c r="B100" s="82">
        <f>Consultas!B100</f>
        <v>1877</v>
      </c>
      <c r="C100" s="82" t="str">
        <f>Consultas!D100</f>
        <v>GsiBW</v>
      </c>
      <c r="D100" s="96" t="str">
        <f>Consultas!E100</f>
        <v>019694</v>
      </c>
      <c r="E100" s="104">
        <f>IF(Consultas!AB100&gt;0,YEAR('Parâmetros'!$B$1)-YEAR(Consultas!AB100),"NA")</f>
        <v>29</v>
      </c>
      <c r="F100" s="82">
        <f>IF(Consultas!F100&gt;'Parâmetros'!$B$2,-8,0)</f>
        <v>0</v>
      </c>
      <c r="G100" s="82">
        <f>IF(Consultas!H100='Parâmetros'!$E$1,100,0)</f>
        <v>0</v>
      </c>
      <c r="H100" s="82">
        <f>IF(Consultas!I100='Parâmetros'!$E$1,-4,12)</f>
        <v>-4</v>
      </c>
      <c r="I100" s="82">
        <f>IF(Consultas!J100='Parâmetros'!$E$1,1,-13)</f>
        <v>1</v>
      </c>
      <c r="J100" s="82">
        <f>IF(Consultas!K100='Parâmetros'!$E$1,2,-5)</f>
        <v>2</v>
      </c>
      <c r="K100" s="82" t="str">
        <f>IF(Consultas!L100='Parâmetros'!$D$1,"SOLIC CONTRATO DE ENTREGA","N/A")</f>
        <v>N/A</v>
      </c>
      <c r="L100" s="82">
        <f>IF(Consultas!R100='Parâmetros'!$E$1,1,-3)</f>
        <v>1</v>
      </c>
      <c r="M100" s="82">
        <f>IF(Consultas!S100&gt;1,(IF(Consultas!S100='Parâmetros'!$E$1,-3,9)))</f>
        <v>9</v>
      </c>
      <c r="N100" s="82">
        <f>IF(Consultas!T100="S",23,0)</f>
        <v>23</v>
      </c>
      <c r="O100" s="82">
        <f>IF(Consultas!U100='Parâmetros'!$E$1,-3,3)</f>
        <v>3</v>
      </c>
      <c r="P100" s="82">
        <f>IF(Consultas!V100='Parâmetros'!$E$1,-100,2)</f>
        <v>2</v>
      </c>
      <c r="Q100" s="82">
        <f>IF(Consultas!M100='Parâmetros'!$D$1,2,-9)</f>
        <v>2</v>
      </c>
      <c r="R100" s="82">
        <f>IF(Consultas!N100="RJ",-12,0)</f>
        <v>0</v>
      </c>
      <c r="S100" s="82">
        <f>IF(Consultas!O100="-",-3,IF(Consultas!O100=0,-6,IF(Consultas!O100=5,0,IF(Consultas!O100=10,6))))</f>
        <v>-3</v>
      </c>
      <c r="T100" s="82">
        <f>IF(Consultas!M100="S",0,(IF(Consultas!P100="S",6,0)))</f>
        <v>0</v>
      </c>
      <c r="U100" s="82">
        <f>IF(Consultas!Q100&gt;97,9,IF(Consultas!Q100&gt;75,0,-7))</f>
        <v>9</v>
      </c>
      <c r="V100" s="82">
        <f>IF(Consultas!W100='Parâmetros'!$E$1,1,-5)</f>
        <v>1</v>
      </c>
      <c r="W100" s="82">
        <f>IF(Consultas!X100="S",3,-3)</f>
        <v>3</v>
      </c>
      <c r="X100" s="82">
        <f>IF(Consultas!Y100="S",0,-7)</f>
        <v>0</v>
      </c>
      <c r="Y100" s="82">
        <f>IF(Consultas!Z100='Parâmetros'!$E$1,2,-8)</f>
        <v>2</v>
      </c>
      <c r="Z100" s="82">
        <f>IF(Consultas!AA100='Parâmetros'!$E$1,-15,1)</f>
        <v>1</v>
      </c>
      <c r="AA100" s="147" t="s">
        <v>140</v>
      </c>
      <c r="AB100" s="82">
        <f>IF(E100="NA","NA",IF(E100&gt;'Parâmetros'!$A$9,8,IF(E100&gt;'Parâmetros'!$A$8,4,IF(E100&gt;'Parâmetros'!$A$7,0,-6))))</f>
        <v>4</v>
      </c>
      <c r="AC100" s="82">
        <f>IF(Consultas!AC100='Parâmetros'!$E$1,0,5)</f>
        <v>0</v>
      </c>
      <c r="AD100" s="82">
        <f>IF(Consultas!AH100='Parâmetros'!$D$1,-10,5)</f>
        <v>5</v>
      </c>
      <c r="AE100" s="82">
        <f>IF(Consultas!AI100&gt;(Consultas!F100*2),-10,0)</f>
        <v>0</v>
      </c>
      <c r="AF100" s="82">
        <f>IF(Consultas!AD100&gt;1,(IF(Consultas!AI100&gt;(Consultas!AD100),-20,4)))</f>
        <v>4</v>
      </c>
      <c r="AG100" s="82">
        <f>IF(Consultas!AG100='Parâmetros'!$E$1,0,-6)</f>
        <v>0</v>
      </c>
      <c r="AH100" s="82">
        <f>IF(Consultas!AF100='Parâmetros'!$E$1,1,-5)</f>
        <v>1</v>
      </c>
      <c r="AI100" s="82">
        <f>IF(Consultas!AJ100&gt;700,8,IF(Consultas!AJ100&gt;500,4,IF(Consultas!AJ100&gt;200,-4,IF(Consultas!AJ100&gt;1,-15,-20))))</f>
        <v>4</v>
      </c>
      <c r="AJ100" s="82">
        <f>IF(Consultas!AD100='Parâmetros'!$E$10,0,IF(Consultas!AD100&gt;'Parâmetros'!$A$30,12,IF(Consultas!AD100&gt;'Parâmetros'!$A$31,6,IF(Consultas!AD100&gt;'Parâmetros'!$A$32,0,IF(Consultas!AD100&gt;'Parâmetros'!$A$33,0,IF(Consultas!AD100&gt;'Parâmetros'!$A$34,-3,IF(Consultas!AD100&gt;'Parâmetros'!$A$35,-7,-1)))))))</f>
        <v>12</v>
      </c>
      <c r="AK100" s="82">
        <f>IF(Consultas!AO100='Parâmetros'!$D$1,3,-3)</f>
        <v>-3</v>
      </c>
      <c r="AL100" s="82">
        <f>IF(Consultas!AP100='Parâmetros'!$D$1,5,-3)</f>
        <v>-3</v>
      </c>
      <c r="AM100" s="82">
        <f>IF(Consultas!AL100="N",-6,0)</f>
        <v>0</v>
      </c>
      <c r="AN100" s="82">
        <f>IF(Consultas!AM100="N",-10,0)</f>
        <v>0</v>
      </c>
      <c r="AO100" s="82">
        <f>IF(Consultas!AN100="S",4,-2)</f>
        <v>-2</v>
      </c>
      <c r="AP100" s="39"/>
      <c r="AQ100" s="165">
        <f>IF(Consultas!F100&gt;1,(SUM(F100:AO100)),"N/A")</f>
        <v>74</v>
      </c>
      <c r="AR100" s="78" t="str">
        <f>IF((Consultas!AD100&gt;'Parâmetros'!$A$31),"X",AJ100+Y100+V100+AC100)</f>
        <v>X</v>
      </c>
      <c r="AS100" s="78" t="str">
        <f>IF((Consultas!AD100&gt;'Parâmetros'!$A$31),"X",(H100+I100+J100+Q100+T100+Y100+Z100+AJ100+AN100))</f>
        <v>X</v>
      </c>
      <c r="AT100" s="78">
        <f>IF((Consultas!AD100&lt;'Parâmetros'!$A$31),"X",(AD100+AC100+AB100))</f>
        <v>9</v>
      </c>
      <c r="AU100" s="78">
        <f t="shared" si="1"/>
        <v>9</v>
      </c>
      <c r="AV100" s="82" t="str">
        <f>IF(AQ100="N/A","N/A",IF(AQ100&gt;5,'Parâmetros'!$A$15,(IF(AU100=AR100,'Parâmetros'!$A$17,IF(AU100=AS100,'Parâmetros'!$A$16,'Parâmetros'!$A$14)))))</f>
        <v>SEM-RISCO</v>
      </c>
      <c r="AW100" s="86" t="str">
        <f>IF(AQ100="N/A","N/A",IF(AV100='Parâmetros'!$A$15,'Parâmetros'!$C$15,(IF(AV100='Parâmetros'!$A$17,'Parâmetros'!$C$17,IF(AV100='Parâmetros'!$A$16,'Parâmetros'!$C$16,IF(AV100='Parâmetros'!$A$14,'Parâmetros'!$C$12))))))</f>
        <v>LIBERADO</v>
      </c>
      <c r="AX100" s="82" t="str">
        <f>IF(Consultas!F100&gt;1,(IF(Consultas!F100&gt;5000,"SOLICITAR PED COMPRA","N/A")))</f>
        <v>N/A</v>
      </c>
      <c r="AY100" s="167" t="str">
        <f>IF(AND(Consultas!M100&lt;&gt;"S", Consultas!H100="S"), "CHECAGEM REVERSA", "N/A")</f>
        <v>N/A</v>
      </c>
      <c r="AZ100" s="167" t="str">
        <f>IF(Consultas!U100="N","PRECISA CORRIGIR END DIVERGENTE","N/A")</f>
        <v>N/A</v>
      </c>
    </row>
    <row r="101" ht="12.0" customHeight="1">
      <c r="A101" s="39" t="s">
        <v>90</v>
      </c>
      <c r="B101" s="82">
        <f>Consultas!B101</f>
        <v>618</v>
      </c>
      <c r="C101" s="82" t="str">
        <f>Consultas!D101</f>
        <v>Oaco</v>
      </c>
      <c r="D101" s="96" t="str">
        <f>Consultas!E101</f>
        <v>144632</v>
      </c>
      <c r="E101" s="104">
        <f>IF(Consultas!AB101&gt;0,YEAR('Parâmetros'!$B$1)-YEAR(Consultas!AB101),"NA")</f>
        <v>61</v>
      </c>
      <c r="F101" s="82">
        <f>IF(Consultas!F101&gt;'Parâmetros'!$B$2,-8,0)</f>
        <v>0</v>
      </c>
      <c r="G101" s="82">
        <f>IF(Consultas!H101='Parâmetros'!$E$1,100,0)</f>
        <v>0</v>
      </c>
      <c r="H101" s="82">
        <f>IF(Consultas!I101='Parâmetros'!$E$1,-4,12)</f>
        <v>-4</v>
      </c>
      <c r="I101" s="82">
        <f>IF(Consultas!J101='Parâmetros'!$E$1,1,-13)</f>
        <v>1</v>
      </c>
      <c r="J101" s="82">
        <f>IF(Consultas!K101='Parâmetros'!$E$1,2,-5)</f>
        <v>2</v>
      </c>
      <c r="K101" s="82" t="str">
        <f>IF(Consultas!L101='Parâmetros'!$D$1,"SOLIC CONTRATO DE ENTREGA","N/A")</f>
        <v>N/A</v>
      </c>
      <c r="L101" s="82">
        <f>IF(Consultas!R101='Parâmetros'!$E$1,1,-3)</f>
        <v>1</v>
      </c>
      <c r="M101" s="82">
        <f>IF(Consultas!S101&gt;1,(IF(Consultas!S101='Parâmetros'!$E$1,-3,9)))</f>
        <v>-3</v>
      </c>
      <c r="N101" s="82">
        <f>IF(Consultas!T101="S",23,0)</f>
        <v>0</v>
      </c>
      <c r="O101" s="82">
        <f>IF(Consultas!U101='Parâmetros'!$E$1,-3,3)</f>
        <v>3</v>
      </c>
      <c r="P101" s="82">
        <f>IF(Consultas!V101='Parâmetros'!$E$1,-100,2)</f>
        <v>2</v>
      </c>
      <c r="Q101" s="82">
        <f>IF(Consultas!M101='Parâmetros'!$D$1,2,-9)</f>
        <v>2</v>
      </c>
      <c r="R101" s="82">
        <f>IF(Consultas!N101="RJ",-12,0)</f>
        <v>0</v>
      </c>
      <c r="S101" s="82">
        <f>IF(Consultas!O101="-",-3,IF(Consultas!O101=0,-6,IF(Consultas!O101=5,0,IF(Consultas!O101=10,6))))</f>
        <v>-3</v>
      </c>
      <c r="T101" s="82">
        <f>IF(Consultas!M101="S",0,(IF(Consultas!P101="S",6,0)))</f>
        <v>0</v>
      </c>
      <c r="U101" s="82">
        <f>IF(Consultas!Q101&gt;97,9,IF(Consultas!Q101&gt;75,0,-7))</f>
        <v>9</v>
      </c>
      <c r="V101" s="82">
        <f>IF(Consultas!W101='Parâmetros'!$E$1,1,-5)</f>
        <v>1</v>
      </c>
      <c r="W101" s="82">
        <f>IF(Consultas!X101="S",3,-3)</f>
        <v>3</v>
      </c>
      <c r="X101" s="82">
        <f>IF(Consultas!Y101="S",0,-7)</f>
        <v>0</v>
      </c>
      <c r="Y101" s="82">
        <f>IF(Consultas!Z101='Parâmetros'!$E$1,2,-8)</f>
        <v>2</v>
      </c>
      <c r="Z101" s="82">
        <f>IF(Consultas!AA101='Parâmetros'!$E$1,-15,1)</f>
        <v>1</v>
      </c>
      <c r="AA101" s="147" t="s">
        <v>140</v>
      </c>
      <c r="AB101" s="82">
        <f>IF(E101="NA","NA",IF(E101&gt;'Parâmetros'!$A$9,8,IF(E101&gt;'Parâmetros'!$A$8,4,IF(E101&gt;'Parâmetros'!$A$7,0,-6))))</f>
        <v>8</v>
      </c>
      <c r="AC101" s="82">
        <f>IF(Consultas!AC101='Parâmetros'!$E$1,0,5)</f>
        <v>0</v>
      </c>
      <c r="AD101" s="82">
        <f>IF(Consultas!AH101='Parâmetros'!$D$1,-10,5)</f>
        <v>5</v>
      </c>
      <c r="AE101" s="82">
        <f>IF(Consultas!AI101&gt;(Consultas!F101*2),-10,0)</f>
        <v>0</v>
      </c>
      <c r="AF101" s="82" t="b">
        <f>IF(Consultas!AD101&gt;1,(IF(Consultas!AI101&gt;(Consultas!AD101),-20,4)))</f>
        <v>0</v>
      </c>
      <c r="AG101" s="82">
        <f>IF(Consultas!AG101='Parâmetros'!$E$1,0,-6)</f>
        <v>0</v>
      </c>
      <c r="AH101" s="82">
        <f>IF(Consultas!AF101='Parâmetros'!$E$1,1,-5)</f>
        <v>1</v>
      </c>
      <c r="AI101" s="82">
        <f>IF(Consultas!AJ101&gt;700,8,IF(Consultas!AJ101&gt;500,4,IF(Consultas!AJ101&gt;200,-4,IF(Consultas!AJ101&gt;1,-15,-20))))</f>
        <v>-20</v>
      </c>
      <c r="AJ101" s="82">
        <f>IF(Consultas!AD101='Parâmetros'!$E$10,0,IF(Consultas!AD101&gt;'Parâmetros'!$A$30,12,IF(Consultas!AD101&gt;'Parâmetros'!$A$31,6,IF(Consultas!AD101&gt;'Parâmetros'!$A$32,0,IF(Consultas!AD101&gt;'Parâmetros'!$A$33,0,IF(Consultas!AD101&gt;'Parâmetros'!$A$34,-3,IF(Consultas!AD101&gt;'Parâmetros'!$A$35,-7,-1)))))))</f>
        <v>-1</v>
      </c>
      <c r="AK101" s="82">
        <f>IF(Consultas!AO101='Parâmetros'!$D$1,3,-3)</f>
        <v>-3</v>
      </c>
      <c r="AL101" s="82">
        <f>IF(Consultas!AP101='Parâmetros'!$D$1,5,-3)</f>
        <v>-3</v>
      </c>
      <c r="AM101" s="82">
        <f>IF(Consultas!AL101="N",-6,0)</f>
        <v>0</v>
      </c>
      <c r="AN101" s="82">
        <f>IF(Consultas!AM101="N",-10,0)</f>
        <v>0</v>
      </c>
      <c r="AO101" s="82">
        <f>IF(Consultas!AN101="S",4,-2)</f>
        <v>-2</v>
      </c>
      <c r="AP101" s="39"/>
      <c r="AQ101" s="165">
        <f>IF(Consultas!F101&gt;1,(SUM(F101:AO101)),"N/A")</f>
        <v>2</v>
      </c>
      <c r="AR101" s="78">
        <f>IF((Consultas!AD101&gt;'Parâmetros'!$A$31),"X",AJ101+Y101+V101+AC101)</f>
        <v>2</v>
      </c>
      <c r="AS101" s="78">
        <f>IF((Consultas!AD101&gt;'Parâmetros'!$A$31),"X",(H101+I101+J101+Q101+T101+Y101+Z101+AJ101+AN101))</f>
        <v>3</v>
      </c>
      <c r="AT101" s="78" t="str">
        <f>IF((Consultas!AD101&lt;'Parâmetros'!$A$31),"X",(AD101+AC101+AB101))</f>
        <v>X</v>
      </c>
      <c r="AU101" s="78">
        <f t="shared" si="1"/>
        <v>2</v>
      </c>
      <c r="AV101" s="82" t="str">
        <f>IF(AQ101="N/A","N/A",IF(AQ101&gt;5,'Parâmetros'!$A$15,(IF(AU101=AR101,'Parâmetros'!$A$17,IF(AU101=AS101,'Parâmetros'!$A$16,'Parâmetros'!$A$14)))))</f>
        <v>EMPRESINHA</v>
      </c>
      <c r="AW101" s="86" t="str">
        <f>IF(AQ101="N/A","N/A",IF(AV101='Parâmetros'!$A$15,'Parâmetros'!$C$15,(IF(AV101='Parâmetros'!$A$17,'Parâmetros'!$C$17,IF(AV101='Parâmetros'!$A$16,'Parâmetros'!$C$16,IF(AV101='Parâmetros'!$A$14,'Parâmetros'!$C$12))))))</f>
        <v>VER E-MAIL CORPORATIVO SITE REFERENC COML NFE 3S ALTO VALOR FATURADO</v>
      </c>
      <c r="AX101" s="82" t="str">
        <f>IF(Consultas!F101&gt;1,(IF(Consultas!F101&gt;5000,"SOLICITAR PED COMPRA","N/A")))</f>
        <v>N/A</v>
      </c>
      <c r="AY101" s="167" t="str">
        <f>IF(AND(Consultas!M101&lt;&gt;"S", Consultas!H101="S"), "CHECAGEM REVERSA", "N/A")</f>
        <v>N/A</v>
      </c>
      <c r="AZ101" s="167" t="str">
        <f>IF(Consultas!U101="N","PRECISA CORRIGIR END DIVERGENTE","N/A")</f>
        <v>N/A</v>
      </c>
    </row>
    <row r="102" ht="12.0" customHeight="1">
      <c r="A102" s="39" t="s">
        <v>90</v>
      </c>
      <c r="B102" s="82">
        <f>Consultas!B102</f>
        <v>267</v>
      </c>
      <c r="C102" s="82" t="str">
        <f>Consultas!D102</f>
        <v>Metalpleno</v>
      </c>
      <c r="D102" s="96" t="str">
        <f>Consultas!E102</f>
        <v>144643</v>
      </c>
      <c r="E102" s="104">
        <f>IF(Consultas!AB102&gt;0,YEAR('Parâmetros'!$B$1)-YEAR(Consultas!AB102),"NA")</f>
        <v>20</v>
      </c>
      <c r="F102" s="82">
        <f>IF(Consultas!F102&gt;'Parâmetros'!$B$2,-8,0)</f>
        <v>0</v>
      </c>
      <c r="G102" s="82">
        <f>IF(Consultas!H102='Parâmetros'!$E$1,100,0)</f>
        <v>0</v>
      </c>
      <c r="H102" s="82">
        <f>IF(Consultas!I102='Parâmetros'!$E$1,-4,12)</f>
        <v>-4</v>
      </c>
      <c r="I102" s="82">
        <f>IF(Consultas!J102='Parâmetros'!$E$1,1,-13)</f>
        <v>1</v>
      </c>
      <c r="J102" s="82">
        <f>IF(Consultas!K102='Parâmetros'!$E$1,2,-5)</f>
        <v>2</v>
      </c>
      <c r="K102" s="82" t="str">
        <f>IF(Consultas!L102='Parâmetros'!$D$1,"SOLIC CONTRATO DE ENTREGA","N/A")</f>
        <v>SOLIC CONTRATO DE ENTREGA</v>
      </c>
      <c r="L102" s="82">
        <f>IF(Consultas!R102='Parâmetros'!$E$1,1,-3)</f>
        <v>1</v>
      </c>
      <c r="M102" s="82">
        <f>IF(Consultas!S102&gt;1,(IF(Consultas!S102='Parâmetros'!$E$1,-3,9)))</f>
        <v>-3</v>
      </c>
      <c r="N102" s="82">
        <f>IF(Consultas!T102="S",23,0)</f>
        <v>0</v>
      </c>
      <c r="O102" s="82">
        <f>IF(Consultas!U102='Parâmetros'!$E$1,-3,3)</f>
        <v>3</v>
      </c>
      <c r="P102" s="82">
        <f>IF(Consultas!V102='Parâmetros'!$E$1,-100,2)</f>
        <v>2</v>
      </c>
      <c r="Q102" s="82">
        <f>IF(Consultas!M102='Parâmetros'!$D$1,2,-9)</f>
        <v>2</v>
      </c>
      <c r="R102" s="82">
        <f>IF(Consultas!N102="RJ",-12,0)</f>
        <v>0</v>
      </c>
      <c r="S102" s="82">
        <f>IF(Consultas!O102="-",-3,IF(Consultas!O102=0,-6,IF(Consultas!O102=5,0,IF(Consultas!O102=10,6))))</f>
        <v>-3</v>
      </c>
      <c r="T102" s="82">
        <f>IF(Consultas!M102="S",0,(IF(Consultas!P102="S",6,0)))</f>
        <v>0</v>
      </c>
      <c r="U102" s="82">
        <f>IF(Consultas!Q102&gt;97,9,IF(Consultas!Q102&gt;75,0,-7))</f>
        <v>9</v>
      </c>
      <c r="V102" s="82">
        <f>IF(Consultas!W102='Parâmetros'!$E$1,1,-5)</f>
        <v>1</v>
      </c>
      <c r="W102" s="82">
        <f>IF(Consultas!X102="S",3,-3)</f>
        <v>3</v>
      </c>
      <c r="X102" s="82">
        <f>IF(Consultas!Y102="S",0,-7)</f>
        <v>-7</v>
      </c>
      <c r="Y102" s="82">
        <f>IF(Consultas!Z102='Parâmetros'!$E$1,2,-8)</f>
        <v>2</v>
      </c>
      <c r="Z102" s="82">
        <f>IF(Consultas!AA102='Parâmetros'!$E$1,-15,1)</f>
        <v>1</v>
      </c>
      <c r="AA102" s="147" t="s">
        <v>140</v>
      </c>
      <c r="AB102" s="82">
        <f>IF(E102="NA","NA",IF(E102&gt;'Parâmetros'!$A$9,8,IF(E102&gt;'Parâmetros'!$A$8,4,IF(E102&gt;'Parâmetros'!$A$7,0,-6))))</f>
        <v>4</v>
      </c>
      <c r="AC102" s="82">
        <f>IF(Consultas!AC102='Parâmetros'!$E$1,0,5)</f>
        <v>0</v>
      </c>
      <c r="AD102" s="82">
        <f>IF(Consultas!AH102='Parâmetros'!$D$1,-10,5)</f>
        <v>5</v>
      </c>
      <c r="AE102" s="82">
        <f>IF(Consultas!AI102&gt;(Consultas!F102*2),-10,0)</f>
        <v>0</v>
      </c>
      <c r="AF102" s="82">
        <f>IF(Consultas!AD102&gt;1,(IF(Consultas!AI102&gt;(Consultas!AD102),-20,4)))</f>
        <v>4</v>
      </c>
      <c r="AG102" s="82">
        <f>IF(Consultas!AG102='Parâmetros'!$E$1,0,-6)</f>
        <v>0</v>
      </c>
      <c r="AH102" s="82">
        <f>IF(Consultas!AF102='Parâmetros'!$E$1,1,-5)</f>
        <v>1</v>
      </c>
      <c r="AI102" s="82">
        <f>IF(Consultas!AJ102&gt;700,8,IF(Consultas!AJ102&gt;500,4,IF(Consultas!AJ102&gt;200,-4,IF(Consultas!AJ102&gt;1,-15,-20))))</f>
        <v>8</v>
      </c>
      <c r="AJ102" s="82">
        <f>IF(Consultas!AD102='Parâmetros'!$E$10,0,IF(Consultas!AD102&gt;'Parâmetros'!$A$30,12,IF(Consultas!AD102&gt;'Parâmetros'!$A$31,6,IF(Consultas!AD102&gt;'Parâmetros'!$A$32,0,IF(Consultas!AD102&gt;'Parâmetros'!$A$33,0,IF(Consultas!AD102&gt;'Parâmetros'!$A$34,-3,IF(Consultas!AD102&gt;'Parâmetros'!$A$35,-7,-1)))))))</f>
        <v>12</v>
      </c>
      <c r="AK102" s="82">
        <f>IF(Consultas!AO102='Parâmetros'!$D$1,3,-3)</f>
        <v>-3</v>
      </c>
      <c r="AL102" s="82">
        <f>IF(Consultas!AP102='Parâmetros'!$D$1,5,-3)</f>
        <v>-3</v>
      </c>
      <c r="AM102" s="82">
        <f>IF(Consultas!AL102="N",-6,0)</f>
        <v>0</v>
      </c>
      <c r="AN102" s="82">
        <f>IF(Consultas!AM102="N",-10,0)</f>
        <v>0</v>
      </c>
      <c r="AO102" s="82">
        <f>IF(Consultas!AN102="S",4,-2)</f>
        <v>-2</v>
      </c>
      <c r="AP102" s="39"/>
      <c r="AQ102" s="165">
        <f>IF(Consultas!F102&gt;1,(SUM(F102:AO102)),"N/A")</f>
        <v>36</v>
      </c>
      <c r="AR102" s="78" t="str">
        <f>IF((Consultas!AD102&gt;'Parâmetros'!$A$31),"X",AJ102+Y102+V102+AC102)</f>
        <v>X</v>
      </c>
      <c r="AS102" s="78" t="str">
        <f>IF((Consultas!AD102&gt;'Parâmetros'!$A$31),"X",(H102+I102+J102+Q102+T102+Y102+Z102+AJ102+AN102))</f>
        <v>X</v>
      </c>
      <c r="AT102" s="78">
        <f>IF((Consultas!AD102&lt;'Parâmetros'!$A$31),"X",(AD102+AC102+AB102))</f>
        <v>9</v>
      </c>
      <c r="AU102" s="78">
        <f t="shared" si="1"/>
        <v>9</v>
      </c>
      <c r="AV102" s="82" t="str">
        <f>IF(AQ102="N/A","N/A",IF(AQ102&gt;5,'Parâmetros'!$A$15,(IF(AU102=AR102,'Parâmetros'!$A$17,IF(AU102=AS102,'Parâmetros'!$A$16,'Parâmetros'!$A$14)))))</f>
        <v>SEM-RISCO</v>
      </c>
      <c r="AW102" s="86" t="str">
        <f>IF(AQ102="N/A","N/A",IF(AV102='Parâmetros'!$A$15,'Parâmetros'!$C$15,(IF(AV102='Parâmetros'!$A$17,'Parâmetros'!$C$17,IF(AV102='Parâmetros'!$A$16,'Parâmetros'!$C$16,IF(AV102='Parâmetros'!$A$14,'Parâmetros'!$C$12))))))</f>
        <v>LIBERADO</v>
      </c>
      <c r="AX102" s="82" t="str">
        <f>IF(Consultas!F102&gt;1,(IF(Consultas!F102&gt;5000,"SOLICITAR PED COMPRA","N/A")))</f>
        <v>SOLICITAR PED COMPRA</v>
      </c>
      <c r="AY102" s="167" t="str">
        <f>IF(AND(Consultas!M102&lt;&gt;"S", Consultas!H102="S"), "CHECAGEM REVERSA", "N/A")</f>
        <v>N/A</v>
      </c>
      <c r="AZ102" s="167" t="str">
        <f>IF(Consultas!U102="N","PRECISA CORRIGIR END DIVERGENTE","N/A")</f>
        <v>N/A</v>
      </c>
    </row>
    <row r="103" ht="12.0" customHeight="1">
      <c r="A103" s="39" t="s">
        <v>90</v>
      </c>
      <c r="B103" s="82">
        <f>Consultas!B103</f>
        <v>268</v>
      </c>
      <c r="C103" s="82" t="str">
        <f>Consultas!D103</f>
        <v>Metalpleno</v>
      </c>
      <c r="D103" s="96" t="str">
        <f>Consultas!E103</f>
        <v>144644</v>
      </c>
      <c r="E103" s="104">
        <f>IF(Consultas!AB103&gt;0,YEAR('Parâmetros'!$B$1)-YEAR(Consultas!AB103),"NA")</f>
        <v>44</v>
      </c>
      <c r="F103" s="82">
        <f>IF(Consultas!F103&gt;'Parâmetros'!$B$2,-8,0)</f>
        <v>0</v>
      </c>
      <c r="G103" s="82">
        <f>IF(Consultas!H103='Parâmetros'!$E$1,100,0)</f>
        <v>0</v>
      </c>
      <c r="H103" s="82">
        <f>IF(Consultas!I103='Parâmetros'!$E$1,-4,12)</f>
        <v>-4</v>
      </c>
      <c r="I103" s="82">
        <f>IF(Consultas!J103='Parâmetros'!$E$1,1,-13)</f>
        <v>1</v>
      </c>
      <c r="J103" s="82">
        <f>IF(Consultas!K103='Parâmetros'!$E$1,2,-5)</f>
        <v>2</v>
      </c>
      <c r="K103" s="82" t="str">
        <f>IF(Consultas!L103='Parâmetros'!$D$1,"SOLIC CONTRATO DE ENTREGA","N/A")</f>
        <v>SOLIC CONTRATO DE ENTREGA</v>
      </c>
      <c r="L103" s="82">
        <f>IF(Consultas!R103='Parâmetros'!$E$1,1,-3)</f>
        <v>1</v>
      </c>
      <c r="M103" s="82">
        <f>IF(Consultas!S103&gt;1,(IF(Consultas!S103='Parâmetros'!$E$1,-3,9)))</f>
        <v>-3</v>
      </c>
      <c r="N103" s="82">
        <f>IF(Consultas!T103="S",23,0)</f>
        <v>0</v>
      </c>
      <c r="O103" s="82">
        <f>IF(Consultas!U103='Parâmetros'!$E$1,-3,3)</f>
        <v>3</v>
      </c>
      <c r="P103" s="82">
        <f>IF(Consultas!V103='Parâmetros'!$E$1,-100,2)</f>
        <v>2</v>
      </c>
      <c r="Q103" s="82">
        <f>IF(Consultas!M103='Parâmetros'!$D$1,2,-9)</f>
        <v>-9</v>
      </c>
      <c r="R103" s="82">
        <f>IF(Consultas!N103="RJ",-12,0)</f>
        <v>0</v>
      </c>
      <c r="S103" s="82">
        <f>IF(Consultas!O103="-",-3,IF(Consultas!O103=0,-6,IF(Consultas!O103=5,0,IF(Consultas!O103=10,6))))</f>
        <v>-6</v>
      </c>
      <c r="T103" s="82">
        <f>IF(Consultas!M103="S",0,(IF(Consultas!P103="S",6,0)))</f>
        <v>6</v>
      </c>
      <c r="U103" s="82">
        <f>IF(Consultas!Q103&gt;97,9,IF(Consultas!Q103&gt;75,0,-7))</f>
        <v>9</v>
      </c>
      <c r="V103" s="82">
        <f>IF(Consultas!W103='Parâmetros'!$E$1,1,-5)</f>
        <v>1</v>
      </c>
      <c r="W103" s="82">
        <f>IF(Consultas!X103="S",3,-3)</f>
        <v>3</v>
      </c>
      <c r="X103" s="82">
        <f>IF(Consultas!Y103="S",0,-7)</f>
        <v>-7</v>
      </c>
      <c r="Y103" s="82">
        <f>IF(Consultas!Z103='Parâmetros'!$E$1,2,-8)</f>
        <v>2</v>
      </c>
      <c r="Z103" s="82">
        <f>IF(Consultas!AA103='Parâmetros'!$E$1,-15,1)</f>
        <v>1</v>
      </c>
      <c r="AA103" s="147" t="s">
        <v>140</v>
      </c>
      <c r="AB103" s="82">
        <f>IF(E103="NA","NA",IF(E103&gt;'Parâmetros'!$A$9,8,IF(E103&gt;'Parâmetros'!$A$8,4,IF(E103&gt;'Parâmetros'!$A$7,0,-6))))</f>
        <v>8</v>
      </c>
      <c r="AC103" s="82">
        <f>IF(Consultas!AC103='Parâmetros'!$E$1,0,5)</f>
        <v>0</v>
      </c>
      <c r="AD103" s="82">
        <f>IF(Consultas!AH103='Parâmetros'!$D$1,-10,5)</f>
        <v>5</v>
      </c>
      <c r="AE103" s="82">
        <f>IF(Consultas!AI103&gt;(Consultas!F103*2),-10,0)</f>
        <v>0</v>
      </c>
      <c r="AF103" s="82">
        <f>IF(Consultas!AD103&gt;1,(IF(Consultas!AI103&gt;(Consultas!AD103),-20,4)))</f>
        <v>4</v>
      </c>
      <c r="AG103" s="82">
        <f>IF(Consultas!AG103='Parâmetros'!$E$1,0,-6)</f>
        <v>0</v>
      </c>
      <c r="AH103" s="82">
        <f>IF(Consultas!AF103='Parâmetros'!$E$1,1,-5)</f>
        <v>1</v>
      </c>
      <c r="AI103" s="82">
        <f>IF(Consultas!AJ103&gt;700,8,IF(Consultas!AJ103&gt;500,4,IF(Consultas!AJ103&gt;200,-4,IF(Consultas!AJ103&gt;1,-15,-20))))</f>
        <v>8</v>
      </c>
      <c r="AJ103" s="82">
        <f>IF(Consultas!AD103='Parâmetros'!$E$10,0,IF(Consultas!AD103&gt;'Parâmetros'!$A$30,12,IF(Consultas!AD103&gt;'Parâmetros'!$A$31,6,IF(Consultas!AD103&gt;'Parâmetros'!$A$32,0,IF(Consultas!AD103&gt;'Parâmetros'!$A$33,0,IF(Consultas!AD103&gt;'Parâmetros'!$A$34,-3,IF(Consultas!AD103&gt;'Parâmetros'!$A$35,-7,-1)))))))</f>
        <v>12</v>
      </c>
      <c r="AK103" s="82">
        <f>IF(Consultas!AO103='Parâmetros'!$D$1,3,-3)</f>
        <v>-3</v>
      </c>
      <c r="AL103" s="82">
        <f>IF(Consultas!AP103='Parâmetros'!$D$1,5,-3)</f>
        <v>-3</v>
      </c>
      <c r="AM103" s="82">
        <f>IF(Consultas!AL103="N",-6,0)</f>
        <v>0</v>
      </c>
      <c r="AN103" s="82">
        <f>IF(Consultas!AM103="N",-10,0)</f>
        <v>0</v>
      </c>
      <c r="AO103" s="82">
        <f>IF(Consultas!AN103="S",4,-2)</f>
        <v>-2</v>
      </c>
      <c r="AP103" s="39"/>
      <c r="AQ103" s="165">
        <f>IF(Consultas!F103&gt;1,(SUM(F103:AO103)),"N/A")</f>
        <v>32</v>
      </c>
      <c r="AR103" s="78" t="str">
        <f>IF((Consultas!AD103&gt;'Parâmetros'!$A$31),"X",AJ103+Y103+V103+AC103)</f>
        <v>X</v>
      </c>
      <c r="AS103" s="78" t="str">
        <f>IF((Consultas!AD103&gt;'Parâmetros'!$A$31),"X",(H103+I103+J103+Q103+T103+Y103+Z103+AJ103+AN103))</f>
        <v>X</v>
      </c>
      <c r="AT103" s="78">
        <f>IF((Consultas!AD103&lt;'Parâmetros'!$A$31),"X",(AD103+AC103+AB103))</f>
        <v>13</v>
      </c>
      <c r="AU103" s="78">
        <f t="shared" si="1"/>
        <v>13</v>
      </c>
      <c r="AV103" s="82" t="str">
        <f>IF(AQ103="N/A","N/A",IF(AQ103&gt;5,'Parâmetros'!$A$15,(IF(AU103=AR103,'Parâmetros'!$A$17,IF(AU103=AS103,'Parâmetros'!$A$16,'Parâmetros'!$A$14)))))</f>
        <v>SEM-RISCO</v>
      </c>
      <c r="AW103" s="86" t="str">
        <f>IF(AQ103="N/A","N/A",IF(AV103='Parâmetros'!$A$15,'Parâmetros'!$C$15,(IF(AV103='Parâmetros'!$A$17,'Parâmetros'!$C$17,IF(AV103='Parâmetros'!$A$16,'Parâmetros'!$C$16,IF(AV103='Parâmetros'!$A$14,'Parâmetros'!$C$12))))))</f>
        <v>LIBERADO</v>
      </c>
      <c r="AX103" s="82" t="str">
        <f>IF(Consultas!F103&gt;1,(IF(Consultas!F103&gt;5000,"SOLICITAR PED COMPRA","N/A")))</f>
        <v>N/A</v>
      </c>
      <c r="AY103" s="167" t="str">
        <f>IF(AND(Consultas!M103&lt;&gt;"S", Consultas!H103="S"), "CHECAGEM REVERSA", "N/A")</f>
        <v>CHECAGEM REVERSA</v>
      </c>
      <c r="AZ103" s="167" t="str">
        <f>IF(Consultas!U103="N","PRECISA CORRIGIR END DIVERGENTE","N/A")</f>
        <v>N/A</v>
      </c>
    </row>
    <row r="104" ht="12.0" customHeight="1">
      <c r="A104" s="39" t="s">
        <v>90</v>
      </c>
      <c r="B104" s="82">
        <f>Consultas!B104</f>
        <v>261</v>
      </c>
      <c r="C104" s="82" t="str">
        <f>Consultas!D104</f>
        <v>Metalpleno</v>
      </c>
      <c r="D104" s="96" t="str">
        <f>Consultas!E104</f>
        <v>144634</v>
      </c>
      <c r="E104" s="104">
        <f>IF(Consultas!AB104&gt;0,YEAR('Parâmetros'!$B$1)-YEAR(Consultas!AB104),"NA")</f>
        <v>30</v>
      </c>
      <c r="F104" s="82">
        <f>IF(Consultas!F104&gt;'Parâmetros'!$B$2,-8,0)</f>
        <v>0</v>
      </c>
      <c r="G104" s="82">
        <f>IF(Consultas!H104='Parâmetros'!$E$1,100,0)</f>
        <v>0</v>
      </c>
      <c r="H104" s="82">
        <f>IF(Consultas!I104='Parâmetros'!$E$1,-4,12)</f>
        <v>-4</v>
      </c>
      <c r="I104" s="82">
        <f>IF(Consultas!J104='Parâmetros'!$E$1,1,-13)</f>
        <v>1</v>
      </c>
      <c r="J104" s="82">
        <f>IF(Consultas!K104='Parâmetros'!$E$1,2,-5)</f>
        <v>2</v>
      </c>
      <c r="K104" s="82" t="str">
        <f>IF(Consultas!L104='Parâmetros'!$D$1,"SOLIC CONTRATO DE ENTREGA","N/A")</f>
        <v>SOLIC CONTRATO DE ENTREGA</v>
      </c>
      <c r="L104" s="82">
        <f>IF(Consultas!R104='Parâmetros'!$E$1,1,-3)</f>
        <v>1</v>
      </c>
      <c r="M104" s="82">
        <f>IF(Consultas!S104&gt;1,(IF(Consultas!S104='Parâmetros'!$E$1,-3,9)))</f>
        <v>-3</v>
      </c>
      <c r="N104" s="82">
        <f>IF(Consultas!T104="S",23,0)</f>
        <v>0</v>
      </c>
      <c r="O104" s="82">
        <f>IF(Consultas!U104='Parâmetros'!$E$1,-3,3)</f>
        <v>3</v>
      </c>
      <c r="P104" s="82">
        <f>IF(Consultas!V104='Parâmetros'!$E$1,-100,2)</f>
        <v>2</v>
      </c>
      <c r="Q104" s="82">
        <f>IF(Consultas!M104='Parâmetros'!$D$1,2,-9)</f>
        <v>-9</v>
      </c>
      <c r="R104" s="82">
        <f>IF(Consultas!N104="RJ",-12,0)</f>
        <v>0</v>
      </c>
      <c r="S104" s="82">
        <f>IF(Consultas!O104="-",-3,IF(Consultas!O104=0,-6,IF(Consultas!O104=5,0,IF(Consultas!O104=10,6))))</f>
        <v>-6</v>
      </c>
      <c r="T104" s="82">
        <f>IF(Consultas!M104="S",0,(IF(Consultas!P104="S",6,0)))</f>
        <v>6</v>
      </c>
      <c r="U104" s="82">
        <f>IF(Consultas!Q104&gt;97,9,IF(Consultas!Q104&gt;75,0,-7))</f>
        <v>9</v>
      </c>
      <c r="V104" s="82">
        <f>IF(Consultas!W104='Parâmetros'!$E$1,1,-5)</f>
        <v>-5</v>
      </c>
      <c r="W104" s="82">
        <f>IF(Consultas!X104="S",3,-3)</f>
        <v>3</v>
      </c>
      <c r="X104" s="82">
        <f>IF(Consultas!Y104="S",0,-7)</f>
        <v>0</v>
      </c>
      <c r="Y104" s="82">
        <f>IF(Consultas!Z104='Parâmetros'!$E$1,2,-8)</f>
        <v>2</v>
      </c>
      <c r="Z104" s="82">
        <f>IF(Consultas!AA104='Parâmetros'!$E$1,-15,1)</f>
        <v>1</v>
      </c>
      <c r="AA104" s="147" t="s">
        <v>140</v>
      </c>
      <c r="AB104" s="82">
        <f>IF(E104="NA","NA",IF(E104&gt;'Parâmetros'!$A$9,8,IF(E104&gt;'Parâmetros'!$A$8,4,IF(E104&gt;'Parâmetros'!$A$7,0,-6))))</f>
        <v>4</v>
      </c>
      <c r="AC104" s="82">
        <f>IF(Consultas!AC104='Parâmetros'!$E$1,0,5)</f>
        <v>5</v>
      </c>
      <c r="AD104" s="82">
        <f>IF(Consultas!AH104='Parâmetros'!$D$1,-10,5)</f>
        <v>5</v>
      </c>
      <c r="AE104" s="82">
        <f>IF(Consultas!AI104&gt;(Consultas!F104*2),-10,0)</f>
        <v>0</v>
      </c>
      <c r="AF104" s="82">
        <f>IF(Consultas!AD104&gt;1,(IF(Consultas!AI104&gt;(Consultas!AD104),-20,4)))</f>
        <v>4</v>
      </c>
      <c r="AG104" s="82">
        <f>IF(Consultas!AG104='Parâmetros'!$E$1,0,-6)</f>
        <v>0</v>
      </c>
      <c r="AH104" s="82">
        <f>IF(Consultas!AF104='Parâmetros'!$E$1,1,-5)</f>
        <v>-5</v>
      </c>
      <c r="AI104" s="82">
        <f>IF(Consultas!AJ104&gt;700,8,IF(Consultas!AJ104&gt;500,4,IF(Consultas!AJ104&gt;200,-4,IF(Consultas!AJ104&gt;1,-15,-20))))</f>
        <v>4</v>
      </c>
      <c r="AJ104" s="82">
        <f>IF(Consultas!AD104='Parâmetros'!$E$10,0,IF(Consultas!AD104&gt;'Parâmetros'!$A$30,12,IF(Consultas!AD104&gt;'Parâmetros'!$A$31,6,IF(Consultas!AD104&gt;'Parâmetros'!$A$32,0,IF(Consultas!AD104&gt;'Parâmetros'!$A$33,0,IF(Consultas!AD104&gt;'Parâmetros'!$A$34,-3,IF(Consultas!AD104&gt;'Parâmetros'!$A$35,-7,-1)))))))</f>
        <v>12</v>
      </c>
      <c r="AK104" s="82">
        <f>IF(Consultas!AO104='Parâmetros'!$D$1,3,-3)</f>
        <v>-3</v>
      </c>
      <c r="AL104" s="82">
        <f>IF(Consultas!AP104='Parâmetros'!$D$1,5,-3)</f>
        <v>-3</v>
      </c>
      <c r="AM104" s="82">
        <f>IF(Consultas!AL104="N",-6,0)</f>
        <v>0</v>
      </c>
      <c r="AN104" s="82">
        <f>IF(Consultas!AM104="N",-10,0)</f>
        <v>0</v>
      </c>
      <c r="AO104" s="82">
        <f>IF(Consultas!AN104="S",4,-2)</f>
        <v>-2</v>
      </c>
      <c r="AP104" s="39"/>
      <c r="AQ104" s="165">
        <f>IF(Consultas!F104&gt;1,(SUM(F104:AO104)),"N/A")</f>
        <v>24</v>
      </c>
      <c r="AR104" s="78" t="str">
        <f>IF((Consultas!AD104&gt;'Parâmetros'!$A$31),"X",AJ104+Y104+V104+AC104)</f>
        <v>X</v>
      </c>
      <c r="AS104" s="78" t="str">
        <f>IF((Consultas!AD104&gt;'Parâmetros'!$A$31),"X",(H104+I104+J104+Q104+T104+Y104+Z104+AJ104+AN104))</f>
        <v>X</v>
      </c>
      <c r="AT104" s="78">
        <f>IF((Consultas!AD104&lt;'Parâmetros'!$A$31),"X",(AD104+AC104+AB104))</f>
        <v>14</v>
      </c>
      <c r="AU104" s="78">
        <f t="shared" si="1"/>
        <v>14</v>
      </c>
      <c r="AV104" s="82" t="str">
        <f>IF(AQ104="N/A","N/A",IF(AQ104&gt;5,'Parâmetros'!$A$15,(IF(AU104=AR104,'Parâmetros'!$A$17,IF(AU104=AS104,'Parâmetros'!$A$16,'Parâmetros'!$A$14)))))</f>
        <v>SEM-RISCO</v>
      </c>
      <c r="AW104" s="86" t="str">
        <f>IF(AQ104="N/A","N/A",IF(AV104='Parâmetros'!$A$15,'Parâmetros'!$C$15,(IF(AV104='Parâmetros'!$A$17,'Parâmetros'!$C$17,IF(AV104='Parâmetros'!$A$16,'Parâmetros'!$C$16,IF(AV104='Parâmetros'!$A$14,'Parâmetros'!$C$12))))))</f>
        <v>LIBERADO</v>
      </c>
      <c r="AX104" s="82" t="str">
        <f>IF(Consultas!F104&gt;1,(IF(Consultas!F104&gt;5000,"SOLICITAR PED COMPRA","N/A")))</f>
        <v>SOLICITAR PED COMPRA</v>
      </c>
      <c r="AY104" s="167" t="str">
        <f>IF(AND(Consultas!M104&lt;&gt;"S", Consultas!H104="S"), "CHECAGEM REVERSA", "N/A")</f>
        <v>CHECAGEM REVERSA</v>
      </c>
      <c r="AZ104" s="167" t="str">
        <f>IF(Consultas!U104="N","PRECISA CORRIGIR END DIVERGENTE","N/A")</f>
        <v>N/A</v>
      </c>
    </row>
    <row r="105" ht="12.0" customHeight="1">
      <c r="A105" s="39" t="s">
        <v>90</v>
      </c>
      <c r="B105" s="82" t="str">
        <f>Consultas!B105</f>
        <v>-</v>
      </c>
      <c r="C105" s="82" t="str">
        <f>Consultas!D105</f>
        <v>Metalpleno</v>
      </c>
      <c r="D105" s="96" t="str">
        <f>Consultas!E105</f>
        <v>-</v>
      </c>
      <c r="E105" s="104">
        <f>IF(Consultas!AB105&gt;0,YEAR('Parâmetros'!$B$1)-YEAR(Consultas!AB105),"NA")</f>
        <v>33</v>
      </c>
      <c r="F105" s="82">
        <f>IF(Consultas!F105&gt;'Parâmetros'!$B$2,-8,0)</f>
        <v>0</v>
      </c>
      <c r="G105" s="82">
        <f>IF(Consultas!H105='Parâmetros'!$E$1,100,0)</f>
        <v>0</v>
      </c>
      <c r="H105" s="82">
        <f>IF(Consultas!I105='Parâmetros'!$E$1,-4,12)</f>
        <v>12</v>
      </c>
      <c r="I105" s="82">
        <f>IF(Consultas!J105='Parâmetros'!$E$1,1,-13)</f>
        <v>1</v>
      </c>
      <c r="J105" s="82">
        <f>IF(Consultas!K105='Parâmetros'!$E$1,2,-5)</f>
        <v>2</v>
      </c>
      <c r="K105" s="82" t="str">
        <f>IF(Consultas!L105='Parâmetros'!$D$1,"SOLIC CONTRATO DE ENTREGA","N/A")</f>
        <v>SOLIC CONTRATO DE ENTREGA</v>
      </c>
      <c r="L105" s="82">
        <f>IF(Consultas!R105='Parâmetros'!$E$1,1,-3)</f>
        <v>1</v>
      </c>
      <c r="M105" s="82">
        <f>IF(Consultas!S105&gt;1,(IF(Consultas!S105='Parâmetros'!$E$1,-3,9)))</f>
        <v>-3</v>
      </c>
      <c r="N105" s="82">
        <f>IF(Consultas!T105="S",23,0)</f>
        <v>0</v>
      </c>
      <c r="O105" s="82">
        <f>IF(Consultas!U105='Parâmetros'!$E$1,-3,3)</f>
        <v>3</v>
      </c>
      <c r="P105" s="82">
        <f>IF(Consultas!V105='Parâmetros'!$E$1,-100,2)</f>
        <v>2</v>
      </c>
      <c r="Q105" s="82">
        <f>IF(Consultas!M105='Parâmetros'!$D$1,2,-9)</f>
        <v>-9</v>
      </c>
      <c r="R105" s="82">
        <f>IF(Consultas!N105="RJ",-12,0)</f>
        <v>0</v>
      </c>
      <c r="S105" s="82">
        <f>IF(Consultas!O105="-",-3,IF(Consultas!O105=0,-6,IF(Consultas!O105=5,0,IF(Consultas!O105=10,6))))</f>
        <v>-6</v>
      </c>
      <c r="T105" s="82">
        <f>IF(Consultas!M105="S",0,(IF(Consultas!P105="S",6,0)))</f>
        <v>6</v>
      </c>
      <c r="U105" s="82">
        <f>IF(Consultas!Q105&gt;97,9,IF(Consultas!Q105&gt;75,0,-7))</f>
        <v>9</v>
      </c>
      <c r="V105" s="82">
        <f>IF(Consultas!W105='Parâmetros'!$E$1,1,-5)</f>
        <v>1</v>
      </c>
      <c r="W105" s="82">
        <f>IF(Consultas!X105="S",3,-3)</f>
        <v>3</v>
      </c>
      <c r="X105" s="82">
        <f>IF(Consultas!Y105="S",0,-7)</f>
        <v>-7</v>
      </c>
      <c r="Y105" s="82">
        <f>IF(Consultas!Z105='Parâmetros'!$E$1,2,-8)</f>
        <v>2</v>
      </c>
      <c r="Z105" s="82">
        <f>IF(Consultas!AA105='Parâmetros'!$E$1,-15,1)</f>
        <v>1</v>
      </c>
      <c r="AA105" s="147" t="s">
        <v>140</v>
      </c>
      <c r="AB105" s="82">
        <f>IF(E105="NA","NA",IF(E105&gt;'Parâmetros'!$A$9,8,IF(E105&gt;'Parâmetros'!$A$8,4,IF(E105&gt;'Parâmetros'!$A$7,0,-6))))</f>
        <v>8</v>
      </c>
      <c r="AC105" s="82">
        <f>IF(Consultas!AC105='Parâmetros'!$E$1,0,5)</f>
        <v>0</v>
      </c>
      <c r="AD105" s="82">
        <f>IF(Consultas!AH105='Parâmetros'!$D$1,-10,5)</f>
        <v>-10</v>
      </c>
      <c r="AE105" s="82">
        <f>IF(Consultas!AI105&gt;(Consultas!F105*2),-10,0)</f>
        <v>-10</v>
      </c>
      <c r="AF105" s="82">
        <f>IF(Consultas!AD105&gt;1,(IF(Consultas!AI105&gt;(Consultas!AD105),-20,4)))</f>
        <v>4</v>
      </c>
      <c r="AG105" s="82">
        <f>IF(Consultas!AG105='Parâmetros'!$E$1,0,-6)</f>
        <v>0</v>
      </c>
      <c r="AH105" s="82">
        <f>IF(Consultas!AF105='Parâmetros'!$E$1,1,-5)</f>
        <v>1</v>
      </c>
      <c r="AI105" s="82">
        <f>IF(Consultas!AJ105&gt;700,8,IF(Consultas!AJ105&gt;500,4,IF(Consultas!AJ105&gt;200,-4,IF(Consultas!AJ105&gt;1,-15,-20))))</f>
        <v>-20</v>
      </c>
      <c r="AJ105" s="82">
        <f>IF(Consultas!AD105='Parâmetros'!$E$10,0,IF(Consultas!AD105&gt;'Parâmetros'!$A$30,12,IF(Consultas!AD105&gt;'Parâmetros'!$A$31,6,IF(Consultas!AD105&gt;'Parâmetros'!$A$32,0,IF(Consultas!AD105&gt;'Parâmetros'!$A$33,0,IF(Consultas!AD105&gt;'Parâmetros'!$A$34,-3,IF(Consultas!AD105&gt;'Parâmetros'!$A$35,-7,-1)))))))</f>
        <v>12</v>
      </c>
      <c r="AK105" s="82">
        <f>IF(Consultas!AO105='Parâmetros'!$D$1,3,-3)</f>
        <v>-3</v>
      </c>
      <c r="AL105" s="82">
        <f>IF(Consultas!AP105='Parâmetros'!$D$1,5,-3)</f>
        <v>-3</v>
      </c>
      <c r="AM105" s="82">
        <f>IF(Consultas!AL105="N",-6,0)</f>
        <v>0</v>
      </c>
      <c r="AN105" s="82">
        <f>IF(Consultas!AM105="N",-10,0)</f>
        <v>0</v>
      </c>
      <c r="AO105" s="82">
        <f>IF(Consultas!AN105="S",4,-2)</f>
        <v>-2</v>
      </c>
      <c r="AP105" s="39"/>
      <c r="AQ105" s="165">
        <f>IF(Consultas!F105&gt;1,(SUM(F105:AO105)),"N/A")</f>
        <v>-5</v>
      </c>
      <c r="AR105" s="78" t="str">
        <f>IF((Consultas!AD105&gt;'Parâmetros'!$A$31),"X",AJ105+Y105+V105+AC105)</f>
        <v>X</v>
      </c>
      <c r="AS105" s="78" t="str">
        <f>IF((Consultas!AD105&gt;'Parâmetros'!$A$31),"X",(H105+I105+J105+Q105+T105+Y105+Z105+AJ105+AN105))</f>
        <v>X</v>
      </c>
      <c r="AT105" s="78">
        <f>IF((Consultas!AD105&lt;'Parâmetros'!$A$31),"X",(AD105+AC105+AB105))</f>
        <v>-2</v>
      </c>
      <c r="AU105" s="78">
        <f t="shared" si="1"/>
        <v>-2</v>
      </c>
      <c r="AV105" s="78" t="str">
        <f>IF(AQ105="N/A","N/A",IF(AQ105&gt;5,'Parâmetros'!$A$15,(IF(AU105=AR105,'Parâmetros'!$A$17,IF(AU105=AS105,'Parâmetros'!$A$16,'Parâmetros'!$A$14)))))</f>
        <v>GRANDE-OU-FALINDO:</v>
      </c>
      <c r="AW105" s="86" t="str">
        <f>IF(AQ105="N/A","N/A",IF(AV105='Parâmetros'!$A$15,'Parâmetros'!$C$15,(IF(AV105='Parâmetros'!$A$17,'Parâmetros'!$C$17,IF(AV105='Parâmetros'!$A$16,'Parâmetros'!$C$16,IF(AV105='Parâmetros'!$A$14,'Parâmetros'!$C$12))))))</f>
        <v>SE FALINDO SÓ ANTECIPADO | SE GRANDE BUROCR PEGAR CONTATOS FINANCEIRO</v>
      </c>
      <c r="AX105" s="82" t="str">
        <f>IF(Consultas!F105&gt;1,(IF(Consultas!F105&gt;5000,"SOLICITAR PED COMPRA","N/A")))</f>
        <v>SOLICITAR PED COMPRA</v>
      </c>
      <c r="AY105" s="167" t="str">
        <f>IF(AND(Consultas!M105&lt;&gt;"S", Consultas!H105="S"), "CHECAGEM REVERSA", "N/A")</f>
        <v>CHECAGEM REVERSA</v>
      </c>
      <c r="AZ105" s="167" t="str">
        <f>IF(Consultas!U105="N","PRECISA CORRIGIR END DIVERGENTE","N/A")</f>
        <v>N/A</v>
      </c>
    </row>
    <row r="106" ht="12.0" customHeight="1">
      <c r="A106" s="39" t="s">
        <v>90</v>
      </c>
      <c r="B106" s="82">
        <f>Consultas!B106</f>
        <v>621</v>
      </c>
      <c r="C106" s="82" t="str">
        <f>Consultas!D106</f>
        <v>Oaco</v>
      </c>
      <c r="D106" s="96" t="str">
        <f>Consultas!E106</f>
        <v>144635</v>
      </c>
      <c r="E106" s="104">
        <f>IF(Consultas!AB106&gt;0,YEAR('Parâmetros'!$B$1)-YEAR(Consultas!AB106),"NA")</f>
        <v>30</v>
      </c>
      <c r="F106" s="82">
        <f>IF(Consultas!F106&gt;'Parâmetros'!$B$2,-8,0)</f>
        <v>0</v>
      </c>
      <c r="G106" s="82">
        <f>IF(Consultas!H106='Parâmetros'!$E$1,100,0)</f>
        <v>0</v>
      </c>
      <c r="H106" s="82">
        <f>IF(Consultas!I106='Parâmetros'!$E$1,-4,12)</f>
        <v>-4</v>
      </c>
      <c r="I106" s="82">
        <f>IF(Consultas!J106='Parâmetros'!$E$1,1,-13)</f>
        <v>1</v>
      </c>
      <c r="J106" s="82">
        <f>IF(Consultas!K106='Parâmetros'!$E$1,2,-5)</f>
        <v>2</v>
      </c>
      <c r="K106" s="82" t="str">
        <f>IF(Consultas!L106='Parâmetros'!$D$1,"SOLIC CONTRATO DE ENTREGA","N/A")</f>
        <v>N/A</v>
      </c>
      <c r="L106" s="82">
        <f>IF(Consultas!R106='Parâmetros'!$E$1,1,-3)</f>
        <v>1</v>
      </c>
      <c r="M106" s="82">
        <f>IF(Consultas!S106&gt;1,(IF(Consultas!S106='Parâmetros'!$E$1,-3,9)))</f>
        <v>-3</v>
      </c>
      <c r="N106" s="82">
        <f>IF(Consultas!T106="S",23,0)</f>
        <v>0</v>
      </c>
      <c r="O106" s="82">
        <f>IF(Consultas!U106='Parâmetros'!$E$1,-3,3)</f>
        <v>3</v>
      </c>
      <c r="P106" s="82">
        <f>IF(Consultas!V106='Parâmetros'!$E$1,-100,2)</f>
        <v>2</v>
      </c>
      <c r="Q106" s="82">
        <f>IF(Consultas!M106='Parâmetros'!$D$1,2,-9)</f>
        <v>2</v>
      </c>
      <c r="R106" s="82">
        <f>IF(Consultas!N106="RJ",-12,0)</f>
        <v>-12</v>
      </c>
      <c r="S106" s="82">
        <f>IF(Consultas!O106="-",-3,IF(Consultas!O106=0,-6,IF(Consultas!O106=5,0,IF(Consultas!O106=10,6))))</f>
        <v>0</v>
      </c>
      <c r="T106" s="82">
        <f>IF(Consultas!M106="S",0,(IF(Consultas!P106="S",6,0)))</f>
        <v>0</v>
      </c>
      <c r="U106" s="82">
        <f>IF(Consultas!Q106&gt;97,9,IF(Consultas!Q106&gt;75,0,-7))</f>
        <v>9</v>
      </c>
      <c r="V106" s="82">
        <f>IF(Consultas!W106='Parâmetros'!$E$1,1,-5)</f>
        <v>1</v>
      </c>
      <c r="W106" s="82">
        <f>IF(Consultas!X106="S",3,-3)</f>
        <v>3</v>
      </c>
      <c r="X106" s="82">
        <f>IF(Consultas!Y106="S",0,-7)</f>
        <v>0</v>
      </c>
      <c r="Y106" s="82">
        <f>IF(Consultas!Z106='Parâmetros'!$E$1,2,-8)</f>
        <v>2</v>
      </c>
      <c r="Z106" s="82">
        <f>IF(Consultas!AA106='Parâmetros'!$E$1,-15,1)</f>
        <v>1</v>
      </c>
      <c r="AA106" s="147" t="s">
        <v>140</v>
      </c>
      <c r="AB106" s="82">
        <f>IF(E106="NA","NA",IF(E106&gt;'Parâmetros'!$A$9,8,IF(E106&gt;'Parâmetros'!$A$8,4,IF(E106&gt;'Parâmetros'!$A$7,0,-6))))</f>
        <v>4</v>
      </c>
      <c r="AC106" s="82">
        <f>IF(Consultas!AC106='Parâmetros'!$E$1,0,5)</f>
        <v>0</v>
      </c>
      <c r="AD106" s="82">
        <f>IF(Consultas!AH106='Parâmetros'!$D$1,-10,5)</f>
        <v>5</v>
      </c>
      <c r="AE106" s="82">
        <f>IF(Consultas!AI106&gt;(Consultas!F106*2),-10,0)</f>
        <v>-10</v>
      </c>
      <c r="AF106" s="82">
        <f>IF(Consultas!AD106&gt;1,(IF(Consultas!AI106&gt;(Consultas!AD106),-20,4)))</f>
        <v>4</v>
      </c>
      <c r="AG106" s="82">
        <f>IF(Consultas!AG106='Parâmetros'!$E$1,0,-6)</f>
        <v>0</v>
      </c>
      <c r="AH106" s="82">
        <f>IF(Consultas!AF106='Parâmetros'!$E$1,1,-5)</f>
        <v>-5</v>
      </c>
      <c r="AI106" s="82">
        <f>IF(Consultas!AJ106&gt;700,8,IF(Consultas!AJ106&gt;500,4,IF(Consultas!AJ106&gt;200,-4,IF(Consultas!AJ106&gt;1,-15,-20))))</f>
        <v>-4</v>
      </c>
      <c r="AJ106" s="82">
        <f>IF(Consultas!AD106='Parâmetros'!$E$10,0,IF(Consultas!AD106&gt;'Parâmetros'!$A$30,12,IF(Consultas!AD106&gt;'Parâmetros'!$A$31,6,IF(Consultas!AD106&gt;'Parâmetros'!$A$32,0,IF(Consultas!AD106&gt;'Parâmetros'!$A$33,0,IF(Consultas!AD106&gt;'Parâmetros'!$A$34,-3,IF(Consultas!AD106&gt;'Parâmetros'!$A$35,-7,-1)))))))</f>
        <v>12</v>
      </c>
      <c r="AK106" s="82">
        <f>IF(Consultas!AO106='Parâmetros'!$D$1,3,-3)</f>
        <v>-3</v>
      </c>
      <c r="AL106" s="82">
        <f>IF(Consultas!AP106='Parâmetros'!$D$1,5,-3)</f>
        <v>-3</v>
      </c>
      <c r="AM106" s="82">
        <f>IF(Consultas!AL106="N",-6,0)</f>
        <v>0</v>
      </c>
      <c r="AN106" s="82">
        <f>IF(Consultas!AM106="N",-10,0)</f>
        <v>0</v>
      </c>
      <c r="AO106" s="82">
        <f>IF(Consultas!AN106="S",4,-2)</f>
        <v>-2</v>
      </c>
      <c r="AP106" s="39"/>
      <c r="AQ106" s="165">
        <f>IF(Consultas!F106&gt;1,(SUM(F106:AO106)),"N/A")</f>
        <v>6</v>
      </c>
      <c r="AR106" s="78" t="str">
        <f>IF((Consultas!AD106&gt;'Parâmetros'!$A$31),"X",AJ106+Y106+V106+AC106)</f>
        <v>X</v>
      </c>
      <c r="AS106" s="78" t="str">
        <f>IF((Consultas!AD106&gt;'Parâmetros'!$A$31),"X",(H106+I106+J106+Q106+T106+Y106+Z106+AJ106+AN106))</f>
        <v>X</v>
      </c>
      <c r="AT106" s="78">
        <f>IF((Consultas!AD106&lt;'Parâmetros'!$A$31),"X",(AD106+AC106+AB106))</f>
        <v>9</v>
      </c>
      <c r="AU106" s="78">
        <f t="shared" si="1"/>
        <v>9</v>
      </c>
      <c r="AV106" s="82" t="str">
        <f>IF(AQ106="N/A","N/A",IF(AQ106&gt;5,'Parâmetros'!$A$15,(IF(AU106=AR106,'Parâmetros'!$A$17,IF(AU106=AS106,'Parâmetros'!$A$16,'Parâmetros'!$A$14)))))</f>
        <v>SEM-RISCO</v>
      </c>
      <c r="AW106" s="86" t="str">
        <f>IF(AQ106="N/A","N/A",IF(AV106='Parâmetros'!$A$15,'Parâmetros'!$C$15,(IF(AV106='Parâmetros'!$A$17,'Parâmetros'!$C$17,IF(AV106='Parâmetros'!$A$16,'Parâmetros'!$C$16,IF(AV106='Parâmetros'!$A$14,'Parâmetros'!$C$12))))))</f>
        <v>LIBERADO</v>
      </c>
      <c r="AX106" s="82" t="str">
        <f>IF(Consultas!F106&gt;1,(IF(Consultas!F106&gt;5000,"SOLICITAR PED COMPRA","N/A")))</f>
        <v>N/A</v>
      </c>
      <c r="AY106" s="167" t="str">
        <f>IF(AND(Consultas!M106&lt;&gt;"S", Consultas!H106="S"), "CHECAGEM REVERSA", "N/A")</f>
        <v>N/A</v>
      </c>
      <c r="AZ106" s="167" t="str">
        <f>IF(Consultas!U106="N","PRECISA CORRIGIR END DIVERGENTE","N/A")</f>
        <v>N/A</v>
      </c>
    </row>
    <row r="107" ht="12.0" customHeight="1">
      <c r="A107" s="39" t="s">
        <v>90</v>
      </c>
      <c r="B107" s="82">
        <f>Consultas!B107</f>
        <v>622</v>
      </c>
      <c r="C107" s="82" t="str">
        <f>Consultas!D107</f>
        <v>Oaco</v>
      </c>
      <c r="D107" s="96" t="str">
        <f>Consultas!E107</f>
        <v>144635</v>
      </c>
      <c r="E107" s="104">
        <f>IF(Consultas!AB107&gt;0,YEAR('Parâmetros'!$B$1)-YEAR(Consultas!AB107),"NA")</f>
        <v>30</v>
      </c>
      <c r="F107" s="82">
        <f>IF(Consultas!F107&gt;'Parâmetros'!$B$2,-8,0)</f>
        <v>0</v>
      </c>
      <c r="G107" s="82">
        <f>IF(Consultas!H107='Parâmetros'!$E$1,100,0)</f>
        <v>0</v>
      </c>
      <c r="H107" s="82">
        <f>IF(Consultas!I107='Parâmetros'!$E$1,-4,12)</f>
        <v>-4</v>
      </c>
      <c r="I107" s="82">
        <f>IF(Consultas!J107='Parâmetros'!$E$1,1,-13)</f>
        <v>1</v>
      </c>
      <c r="J107" s="82">
        <f>IF(Consultas!K107='Parâmetros'!$E$1,2,-5)</f>
        <v>2</v>
      </c>
      <c r="K107" s="82" t="str">
        <f>IF(Consultas!L107='Parâmetros'!$D$1,"SOLIC CONTRATO DE ENTREGA","N/A")</f>
        <v>N/A</v>
      </c>
      <c r="L107" s="82">
        <f>IF(Consultas!R107='Parâmetros'!$E$1,1,-3)</f>
        <v>1</v>
      </c>
      <c r="M107" s="82">
        <f>IF(Consultas!S107&gt;1,(IF(Consultas!S107='Parâmetros'!$E$1,-3,9)))</f>
        <v>-3</v>
      </c>
      <c r="N107" s="82">
        <f>IF(Consultas!T107="S",23,0)</f>
        <v>0</v>
      </c>
      <c r="O107" s="82">
        <f>IF(Consultas!U107='Parâmetros'!$E$1,-3,3)</f>
        <v>3</v>
      </c>
      <c r="P107" s="82">
        <f>IF(Consultas!V107='Parâmetros'!$E$1,-100,2)</f>
        <v>2</v>
      </c>
      <c r="Q107" s="82">
        <f>IF(Consultas!M107='Parâmetros'!$D$1,2,-9)</f>
        <v>2</v>
      </c>
      <c r="R107" s="82">
        <f>IF(Consultas!N107="RJ",-12,0)</f>
        <v>-12</v>
      </c>
      <c r="S107" s="82">
        <f>IF(Consultas!O107="-",-3,IF(Consultas!O107=0,-6,IF(Consultas!O107=5,0,IF(Consultas!O107=10,6))))</f>
        <v>0</v>
      </c>
      <c r="T107" s="82">
        <f>IF(Consultas!M107="S",0,(IF(Consultas!P107="S",6,0)))</f>
        <v>0</v>
      </c>
      <c r="U107" s="82">
        <f>IF(Consultas!Q107&gt;97,9,IF(Consultas!Q107&gt;75,0,-7))</f>
        <v>9</v>
      </c>
      <c r="V107" s="82">
        <f>IF(Consultas!W107='Parâmetros'!$E$1,1,-5)</f>
        <v>1</v>
      </c>
      <c r="W107" s="82">
        <f>IF(Consultas!X107="S",3,-3)</f>
        <v>3</v>
      </c>
      <c r="X107" s="82">
        <f>IF(Consultas!Y107="S",0,-7)</f>
        <v>0</v>
      </c>
      <c r="Y107" s="82">
        <f>IF(Consultas!Z107='Parâmetros'!$E$1,2,-8)</f>
        <v>2</v>
      </c>
      <c r="Z107" s="82">
        <f>IF(Consultas!AA107='Parâmetros'!$E$1,-15,1)</f>
        <v>1</v>
      </c>
      <c r="AA107" s="147" t="s">
        <v>140</v>
      </c>
      <c r="AB107" s="82">
        <f>IF(E107="NA","NA",IF(E107&gt;'Parâmetros'!$A$9,8,IF(E107&gt;'Parâmetros'!$A$8,4,IF(E107&gt;'Parâmetros'!$A$7,0,-6))))</f>
        <v>4</v>
      </c>
      <c r="AC107" s="82">
        <f>IF(Consultas!AC107='Parâmetros'!$E$1,0,5)</f>
        <v>0</v>
      </c>
      <c r="AD107" s="82">
        <f>IF(Consultas!AH107='Parâmetros'!$D$1,-10,5)</f>
        <v>5</v>
      </c>
      <c r="AE107" s="82">
        <f>IF(Consultas!AI107&gt;(Consultas!F107*2),-10,0)</f>
        <v>-10</v>
      </c>
      <c r="AF107" s="82">
        <f>IF(Consultas!AD107&gt;1,(IF(Consultas!AI107&gt;(Consultas!AD107),-20,4)))</f>
        <v>4</v>
      </c>
      <c r="AG107" s="82">
        <f>IF(Consultas!AG107='Parâmetros'!$E$1,0,-6)</f>
        <v>0</v>
      </c>
      <c r="AH107" s="82">
        <f>IF(Consultas!AF107='Parâmetros'!$E$1,1,-5)</f>
        <v>-5</v>
      </c>
      <c r="AI107" s="82">
        <f>IF(Consultas!AJ107&gt;700,8,IF(Consultas!AJ107&gt;500,4,IF(Consultas!AJ107&gt;200,-4,IF(Consultas!AJ107&gt;1,-15,-20))))</f>
        <v>-4</v>
      </c>
      <c r="AJ107" s="82">
        <f>IF(Consultas!AD107='Parâmetros'!$E$10,0,IF(Consultas!AD107&gt;'Parâmetros'!$A$30,12,IF(Consultas!AD107&gt;'Parâmetros'!$A$31,6,IF(Consultas!AD107&gt;'Parâmetros'!$A$32,0,IF(Consultas!AD107&gt;'Parâmetros'!$A$33,0,IF(Consultas!AD107&gt;'Parâmetros'!$A$34,-3,IF(Consultas!AD107&gt;'Parâmetros'!$A$35,-7,-1)))))))</f>
        <v>12</v>
      </c>
      <c r="AK107" s="82">
        <f>IF(Consultas!AO107='Parâmetros'!$D$1,3,-3)</f>
        <v>-3</v>
      </c>
      <c r="AL107" s="82">
        <f>IF(Consultas!AP107='Parâmetros'!$D$1,5,-3)</f>
        <v>-3</v>
      </c>
      <c r="AM107" s="82">
        <f>IF(Consultas!AL107="N",-6,0)</f>
        <v>0</v>
      </c>
      <c r="AN107" s="82">
        <f>IF(Consultas!AM107="N",-10,0)</f>
        <v>0</v>
      </c>
      <c r="AO107" s="82">
        <f>IF(Consultas!AN107="S",4,-2)</f>
        <v>-2</v>
      </c>
      <c r="AP107" s="39"/>
      <c r="AQ107" s="165">
        <f>IF(Consultas!F107&gt;1,(SUM(F107:AO107)),"N/A")</f>
        <v>6</v>
      </c>
      <c r="AR107" s="78" t="str">
        <f>IF((Consultas!AD107&gt;'Parâmetros'!$A$31),"X",AJ107+Y107+V107+AC107)</f>
        <v>X</v>
      </c>
      <c r="AS107" s="78" t="str">
        <f>IF((Consultas!AD107&gt;'Parâmetros'!$A$31),"X",(H107+I107+J107+Q107+T107+Y107+Z107+AJ107+AN107))</f>
        <v>X</v>
      </c>
      <c r="AT107" s="78">
        <f>IF((Consultas!AD107&lt;'Parâmetros'!$A$31),"X",(AD107+AC107+AB107))</f>
        <v>9</v>
      </c>
      <c r="AU107" s="78">
        <f t="shared" si="1"/>
        <v>9</v>
      </c>
      <c r="AV107" s="82" t="str">
        <f>IF(AQ107="N/A","N/A",IF(AQ107&gt;5,'Parâmetros'!$A$15,(IF(AU107=AR107,'Parâmetros'!$A$17,IF(AU107=AS107,'Parâmetros'!$A$16,'Parâmetros'!$A$14)))))</f>
        <v>SEM-RISCO</v>
      </c>
      <c r="AW107" s="86" t="str">
        <f>IF(AQ107="N/A","N/A",IF(AV107='Parâmetros'!$A$15,'Parâmetros'!$C$15,(IF(AV107='Parâmetros'!$A$17,'Parâmetros'!$C$17,IF(AV107='Parâmetros'!$A$16,'Parâmetros'!$C$16,IF(AV107='Parâmetros'!$A$14,'Parâmetros'!$C$12))))))</f>
        <v>LIBERADO</v>
      </c>
      <c r="AX107" s="82" t="str">
        <f>IF(Consultas!F107&gt;1,(IF(Consultas!F107&gt;5000,"SOLICITAR PED COMPRA","N/A")))</f>
        <v>N/A</v>
      </c>
      <c r="AY107" s="167" t="str">
        <f>IF(AND(Consultas!M107&lt;&gt;"S", Consultas!H107="S"), "CHECAGEM REVERSA", "N/A")</f>
        <v>N/A</v>
      </c>
      <c r="AZ107" s="167" t="str">
        <f>IF(Consultas!U107="N","PRECISA CORRIGIR END DIVERGENTE","N/A")</f>
        <v>N/A</v>
      </c>
    </row>
    <row r="108" ht="12.0" customHeight="1">
      <c r="A108" s="39" t="s">
        <v>90</v>
      </c>
      <c r="B108" s="82">
        <f>Consultas!B108</f>
        <v>266</v>
      </c>
      <c r="C108" s="82" t="str">
        <f>Consultas!D108</f>
        <v>Metalpleno</v>
      </c>
      <c r="D108" s="96" t="str">
        <f>Consultas!E108</f>
        <v>144638</v>
      </c>
      <c r="E108" s="104">
        <f>IF(Consultas!AB108&gt;0,YEAR('Parâmetros'!$B$1)-YEAR(Consultas!AB108),"NA")</f>
        <v>19</v>
      </c>
      <c r="F108" s="82">
        <f>IF(Consultas!F108&gt;'Parâmetros'!$B$2,-8,0)</f>
        <v>0</v>
      </c>
      <c r="G108" s="82">
        <f>IF(Consultas!H108='Parâmetros'!$E$1,100,0)</f>
        <v>0</v>
      </c>
      <c r="H108" s="82">
        <f>IF(Consultas!I108='Parâmetros'!$E$1,-4,12)</f>
        <v>-4</v>
      </c>
      <c r="I108" s="82">
        <f>IF(Consultas!J108='Parâmetros'!$E$1,1,-13)</f>
        <v>1</v>
      </c>
      <c r="J108" s="82">
        <f>IF(Consultas!K108='Parâmetros'!$E$1,2,-5)</f>
        <v>2</v>
      </c>
      <c r="K108" s="82" t="str">
        <f>IF(Consultas!L108='Parâmetros'!$D$1,"SOLIC CONTRATO DE ENTREGA","N/A")</f>
        <v>SOLIC CONTRATO DE ENTREGA</v>
      </c>
      <c r="L108" s="82">
        <f>IF(Consultas!R108='Parâmetros'!$E$1,1,-3)</f>
        <v>1</v>
      </c>
      <c r="M108" s="82">
        <f>IF(Consultas!S108&gt;1,(IF(Consultas!S108='Parâmetros'!$E$1,-3,9)))</f>
        <v>-3</v>
      </c>
      <c r="N108" s="82">
        <f>IF(Consultas!T108="S",23,0)</f>
        <v>0</v>
      </c>
      <c r="O108" s="82">
        <f>IF(Consultas!U108='Parâmetros'!$E$1,-3,3)</f>
        <v>3</v>
      </c>
      <c r="P108" s="82">
        <f>IF(Consultas!V108='Parâmetros'!$E$1,-100,2)</f>
        <v>2</v>
      </c>
      <c r="Q108" s="82">
        <f>IF(Consultas!M108='Parâmetros'!$D$1,2,-9)</f>
        <v>2</v>
      </c>
      <c r="R108" s="82">
        <f>IF(Consultas!N108="RJ",-12,0)</f>
        <v>0</v>
      </c>
      <c r="S108" s="82">
        <f>IF(Consultas!O108="-",-3,IF(Consultas!O108=0,-6,IF(Consultas!O108=5,0,IF(Consultas!O108=10,6))))</f>
        <v>-3</v>
      </c>
      <c r="T108" s="82">
        <f>IF(Consultas!M108="S",0,(IF(Consultas!P108="S",6,0)))</f>
        <v>0</v>
      </c>
      <c r="U108" s="82">
        <f>IF(Consultas!Q108&gt;97,9,IF(Consultas!Q108&gt;75,0,-7))</f>
        <v>9</v>
      </c>
      <c r="V108" s="82">
        <f>IF(Consultas!W108='Parâmetros'!$E$1,1,-5)</f>
        <v>-5</v>
      </c>
      <c r="W108" s="82">
        <f>IF(Consultas!X108="S",3,-3)</f>
        <v>3</v>
      </c>
      <c r="X108" s="82">
        <f>IF(Consultas!Y108="S",0,-7)</f>
        <v>0</v>
      </c>
      <c r="Y108" s="82">
        <f>IF(Consultas!Z108='Parâmetros'!$E$1,2,-8)</f>
        <v>2</v>
      </c>
      <c r="Z108" s="82">
        <f>IF(Consultas!AA108='Parâmetros'!$E$1,-15,1)</f>
        <v>1</v>
      </c>
      <c r="AA108" s="147" t="s">
        <v>140</v>
      </c>
      <c r="AB108" s="82">
        <f>IF(E108="NA","NA",IF(E108&gt;'Parâmetros'!$A$9,8,IF(E108&gt;'Parâmetros'!$A$8,4,IF(E108&gt;'Parâmetros'!$A$7,0,-6))))</f>
        <v>4</v>
      </c>
      <c r="AC108" s="82">
        <f>IF(Consultas!AC108='Parâmetros'!$E$1,0,5)</f>
        <v>0</v>
      </c>
      <c r="AD108" s="82">
        <f>IF(Consultas!AH108='Parâmetros'!$D$1,-10,5)</f>
        <v>5</v>
      </c>
      <c r="AE108" s="82">
        <f>IF(Consultas!AI108&gt;(Consultas!F108*2),-10,0)</f>
        <v>-10</v>
      </c>
      <c r="AF108" s="82">
        <f>IF(Consultas!AD108&gt;1,(IF(Consultas!AI108&gt;(Consultas!AD108),-20,4)))</f>
        <v>4</v>
      </c>
      <c r="AG108" s="82">
        <f>IF(Consultas!AG108='Parâmetros'!$E$1,0,-6)</f>
        <v>0</v>
      </c>
      <c r="AH108" s="82">
        <f>IF(Consultas!AF108='Parâmetros'!$E$1,1,-5)</f>
        <v>-5</v>
      </c>
      <c r="AI108" s="82">
        <f>IF(Consultas!AJ108&gt;700,8,IF(Consultas!AJ108&gt;500,4,IF(Consultas!AJ108&gt;200,-4,IF(Consultas!AJ108&gt;1,-15,-20))))</f>
        <v>-20</v>
      </c>
      <c r="AJ108" s="82">
        <f>IF(Consultas!AD108='Parâmetros'!$E$10,0,IF(Consultas!AD108&gt;'Parâmetros'!$A$30,12,IF(Consultas!AD108&gt;'Parâmetros'!$A$31,6,IF(Consultas!AD108&gt;'Parâmetros'!$A$32,0,IF(Consultas!AD108&gt;'Parâmetros'!$A$33,0,IF(Consultas!AD108&gt;'Parâmetros'!$A$34,-3,IF(Consultas!AD108&gt;'Parâmetros'!$A$35,-7,-1)))))))</f>
        <v>12</v>
      </c>
      <c r="AK108" s="82">
        <f>IF(Consultas!AO108='Parâmetros'!$D$1,3,-3)</f>
        <v>-3</v>
      </c>
      <c r="AL108" s="82">
        <f>IF(Consultas!AP108='Parâmetros'!$D$1,5,-3)</f>
        <v>-3</v>
      </c>
      <c r="AM108" s="82">
        <f>IF(Consultas!AL108="N",-6,0)</f>
        <v>0</v>
      </c>
      <c r="AN108" s="82">
        <f>IF(Consultas!AM108="N",-10,0)</f>
        <v>0</v>
      </c>
      <c r="AO108" s="82">
        <f>IF(Consultas!AN108="S",4,-2)</f>
        <v>-2</v>
      </c>
      <c r="AP108" s="39"/>
      <c r="AQ108" s="165">
        <f>IF(Consultas!F108&gt;1,(SUM(F108:AO108)),"N/A")</f>
        <v>-7</v>
      </c>
      <c r="AR108" s="78" t="str">
        <f>IF((Consultas!AD108&gt;'Parâmetros'!$A$31),"X",AJ108+Y108+V108+AC108)</f>
        <v>X</v>
      </c>
      <c r="AS108" s="78" t="str">
        <f>IF((Consultas!AD108&gt;'Parâmetros'!$A$31),"X",(H108+I108+J108+Q108+T108+Y108+Z108+AJ108+AN108))</f>
        <v>X</v>
      </c>
      <c r="AT108" s="78">
        <f>IF((Consultas!AD108&lt;'Parâmetros'!$A$31),"X",(AD108+AC108+AB108))</f>
        <v>9</v>
      </c>
      <c r="AU108" s="78">
        <f t="shared" si="1"/>
        <v>9</v>
      </c>
      <c r="AV108" s="78" t="str">
        <f>IF(AQ108="N/A","N/A",IF(AQ108&gt;5,'Parâmetros'!$A$15,(IF(AU108=AR108,'Parâmetros'!$A$17,IF(AU108=AS108,'Parâmetros'!$A$16,'Parâmetros'!$A$14)))))</f>
        <v>GRANDE-OU-FALINDO:</v>
      </c>
      <c r="AW108" s="86" t="str">
        <f>IF(AQ108="N/A","N/A",IF(AV108='Parâmetros'!$A$15,'Parâmetros'!$C$15,(IF(AV108='Parâmetros'!$A$17,'Parâmetros'!$C$17,IF(AV108='Parâmetros'!$A$16,'Parâmetros'!$C$16,IF(AV108='Parâmetros'!$A$14,'Parâmetros'!$C$12))))))</f>
        <v>SE FALINDO SÓ ANTECIPADO | SE GRANDE BUROCR PEGAR CONTATOS FINANCEIRO</v>
      </c>
      <c r="AX108" s="82" t="str">
        <f>IF(Consultas!F108&gt;1,(IF(Consultas!F108&gt;5000,"SOLICITAR PED COMPRA","N/A")))</f>
        <v>N/A</v>
      </c>
      <c r="AY108" s="167" t="str">
        <f>IF(AND(Consultas!M108&lt;&gt;"S", Consultas!H108="S"), "CHECAGEM REVERSA", "N/A")</f>
        <v>N/A</v>
      </c>
      <c r="AZ108" s="167" t="str">
        <f>IF(Consultas!U108="N","PRECISA CORRIGIR END DIVERGENTE","N/A")</f>
        <v>N/A</v>
      </c>
    </row>
    <row r="109" ht="12.0" customHeight="1">
      <c r="A109" s="39" t="s">
        <v>90</v>
      </c>
      <c r="B109" s="82">
        <f>Consultas!B109</f>
        <v>265</v>
      </c>
      <c r="C109" s="82" t="str">
        <f>Consultas!D109</f>
        <v>Metalpleno</v>
      </c>
      <c r="D109" s="96" t="str">
        <f>Consultas!E109</f>
        <v>144639</v>
      </c>
      <c r="E109" s="104">
        <f>IF(Consultas!AB109&gt;0,YEAR('Parâmetros'!$B$1)-YEAR(Consultas!AB109),"NA")</f>
        <v>18</v>
      </c>
      <c r="F109" s="82">
        <f>IF(Consultas!F109&gt;'Parâmetros'!$B$2,-8,0)</f>
        <v>0</v>
      </c>
      <c r="G109" s="82">
        <f>IF(Consultas!H109='Parâmetros'!$E$1,100,0)</f>
        <v>0</v>
      </c>
      <c r="H109" s="82">
        <f>IF(Consultas!I109='Parâmetros'!$E$1,-4,12)</f>
        <v>-4</v>
      </c>
      <c r="I109" s="82">
        <f>IF(Consultas!J109='Parâmetros'!$E$1,1,-13)</f>
        <v>1</v>
      </c>
      <c r="J109" s="82">
        <f>IF(Consultas!K109='Parâmetros'!$E$1,2,-5)</f>
        <v>2</v>
      </c>
      <c r="K109" s="82" t="str">
        <f>IF(Consultas!L109='Parâmetros'!$D$1,"SOLIC CONTRATO DE ENTREGA","N/A")</f>
        <v>SOLIC CONTRATO DE ENTREGA</v>
      </c>
      <c r="L109" s="82">
        <f>IF(Consultas!R109='Parâmetros'!$E$1,1,-3)</f>
        <v>1</v>
      </c>
      <c r="M109" s="82">
        <f>IF(Consultas!S109&gt;1,(IF(Consultas!S109='Parâmetros'!$E$1,-3,9)))</f>
        <v>-3</v>
      </c>
      <c r="N109" s="82">
        <f>IF(Consultas!T109="S",23,0)</f>
        <v>0</v>
      </c>
      <c r="O109" s="82">
        <f>IF(Consultas!U109='Parâmetros'!$E$1,-3,3)</f>
        <v>3</v>
      </c>
      <c r="P109" s="82">
        <f>IF(Consultas!V109='Parâmetros'!$E$1,-100,2)</f>
        <v>2</v>
      </c>
      <c r="Q109" s="82">
        <f>IF(Consultas!M109='Parâmetros'!$D$1,2,-9)</f>
        <v>-9</v>
      </c>
      <c r="R109" s="82">
        <f>IF(Consultas!N109="RJ",-12,0)</f>
        <v>0</v>
      </c>
      <c r="S109" s="82">
        <f>IF(Consultas!O109="-",-3,IF(Consultas!O109=0,-6,IF(Consultas!O109=5,0,IF(Consultas!O109=10,6))))</f>
        <v>-6</v>
      </c>
      <c r="T109" s="82">
        <f>IF(Consultas!M109="S",0,(IF(Consultas!P109="S",6,0)))</f>
        <v>6</v>
      </c>
      <c r="U109" s="82">
        <f>IF(Consultas!Q109&gt;97,9,IF(Consultas!Q109&gt;75,0,-7))</f>
        <v>9</v>
      </c>
      <c r="V109" s="82">
        <f>IF(Consultas!W109='Parâmetros'!$E$1,1,-5)</f>
        <v>1</v>
      </c>
      <c r="W109" s="82">
        <f>IF(Consultas!X109="S",3,-3)</f>
        <v>3</v>
      </c>
      <c r="X109" s="82">
        <f>IF(Consultas!Y109="S",0,-7)</f>
        <v>0</v>
      </c>
      <c r="Y109" s="82">
        <f>IF(Consultas!Z109='Parâmetros'!$E$1,2,-8)</f>
        <v>2</v>
      </c>
      <c r="Z109" s="82">
        <f>IF(Consultas!AA109='Parâmetros'!$E$1,-15,1)</f>
        <v>1</v>
      </c>
      <c r="AA109" s="147" t="s">
        <v>140</v>
      </c>
      <c r="AB109" s="82">
        <f>IF(E109="NA","NA",IF(E109&gt;'Parâmetros'!$A$9,8,IF(E109&gt;'Parâmetros'!$A$8,4,IF(E109&gt;'Parâmetros'!$A$7,0,-6))))</f>
        <v>4</v>
      </c>
      <c r="AC109" s="82">
        <f>IF(Consultas!AC109='Parâmetros'!$E$1,0,5)</f>
        <v>0</v>
      </c>
      <c r="AD109" s="82">
        <f>IF(Consultas!AH109='Parâmetros'!$D$1,-10,5)</f>
        <v>5</v>
      </c>
      <c r="AE109" s="82">
        <f>IF(Consultas!AI109&gt;(Consultas!F109*2),-10,0)</f>
        <v>0</v>
      </c>
      <c r="AF109" s="82">
        <f>IF(Consultas!AD109&gt;1,(IF(Consultas!AI109&gt;(Consultas!AD109),-20,4)))</f>
        <v>4</v>
      </c>
      <c r="AG109" s="82">
        <f>IF(Consultas!AG109='Parâmetros'!$E$1,0,-6)</f>
        <v>0</v>
      </c>
      <c r="AH109" s="82">
        <f>IF(Consultas!AF109='Parâmetros'!$E$1,1,-5)</f>
        <v>1</v>
      </c>
      <c r="AI109" s="82">
        <f>IF(Consultas!AJ109&gt;700,8,IF(Consultas!AJ109&gt;500,4,IF(Consultas!AJ109&gt;200,-4,IF(Consultas!AJ109&gt;1,-15,-20))))</f>
        <v>8</v>
      </c>
      <c r="AJ109" s="82">
        <f>IF(Consultas!AD109='Parâmetros'!$E$10,0,IF(Consultas!AD109&gt;'Parâmetros'!$A$30,12,IF(Consultas!AD109&gt;'Parâmetros'!$A$31,6,IF(Consultas!AD109&gt;'Parâmetros'!$A$32,0,IF(Consultas!AD109&gt;'Parâmetros'!$A$33,0,IF(Consultas!AD109&gt;'Parâmetros'!$A$34,-3,IF(Consultas!AD109&gt;'Parâmetros'!$A$35,-7,-1)))))))</f>
        <v>12</v>
      </c>
      <c r="AK109" s="82">
        <f>IF(Consultas!AO109='Parâmetros'!$D$1,3,-3)</f>
        <v>-3</v>
      </c>
      <c r="AL109" s="82">
        <f>IF(Consultas!AP109='Parâmetros'!$D$1,5,-3)</f>
        <v>-3</v>
      </c>
      <c r="AM109" s="82">
        <f>IF(Consultas!AL109="N",-6,0)</f>
        <v>0</v>
      </c>
      <c r="AN109" s="82">
        <f>IF(Consultas!AM109="N",-10,0)</f>
        <v>0</v>
      </c>
      <c r="AO109" s="82">
        <f>IF(Consultas!AN109="S",4,-2)</f>
        <v>-2</v>
      </c>
      <c r="AP109" s="39"/>
      <c r="AQ109" s="165">
        <f>IF(Consultas!F109&gt;1,(SUM(F109:AO109)),"N/A")</f>
        <v>35</v>
      </c>
      <c r="AR109" s="78" t="str">
        <f>IF((Consultas!AD109&gt;'Parâmetros'!$A$31),"X",AJ109+Y109+V109+AC109)</f>
        <v>X</v>
      </c>
      <c r="AS109" s="78" t="str">
        <f>IF((Consultas!AD109&gt;'Parâmetros'!$A$31),"X",(H109+I109+J109+Q109+T109+Y109+Z109+AJ109+AN109))</f>
        <v>X</v>
      </c>
      <c r="AT109" s="78">
        <f>IF((Consultas!AD109&lt;'Parâmetros'!$A$31),"X",(AD109+AC109+AB109))</f>
        <v>9</v>
      </c>
      <c r="AU109" s="78">
        <f t="shared" si="1"/>
        <v>9</v>
      </c>
      <c r="AV109" s="82" t="str">
        <f>IF(AQ109="N/A","N/A",IF(AQ109&gt;5,'Parâmetros'!$A$15,(IF(AU109=AR109,'Parâmetros'!$A$17,IF(AU109=AS109,'Parâmetros'!$A$16,'Parâmetros'!$A$14)))))</f>
        <v>SEM-RISCO</v>
      </c>
      <c r="AW109" s="86" t="str">
        <f>IF(AQ109="N/A","N/A",IF(AV109='Parâmetros'!$A$15,'Parâmetros'!$C$15,(IF(AV109='Parâmetros'!$A$17,'Parâmetros'!$C$17,IF(AV109='Parâmetros'!$A$16,'Parâmetros'!$C$16,IF(AV109='Parâmetros'!$A$14,'Parâmetros'!$C$12))))))</f>
        <v>LIBERADO</v>
      </c>
      <c r="AX109" s="82" t="str">
        <f>IF(Consultas!F109&gt;1,(IF(Consultas!F109&gt;5000,"SOLICITAR PED COMPRA","N/A")))</f>
        <v>SOLICITAR PED COMPRA</v>
      </c>
      <c r="AY109" s="167" t="str">
        <f>IF(AND(Consultas!M109&lt;&gt;"S", Consultas!H109="S"), "CHECAGEM REVERSA", "N/A")</f>
        <v>CHECAGEM REVERSA</v>
      </c>
      <c r="AZ109" s="167" t="str">
        <f>IF(Consultas!U109="N","PRECISA CORRIGIR END DIVERGENTE","N/A")</f>
        <v>N/A</v>
      </c>
    </row>
    <row r="110" ht="12.0" customHeight="1">
      <c r="A110" s="39" t="s">
        <v>90</v>
      </c>
      <c r="B110" s="82">
        <f>Consultas!B110</f>
        <v>635</v>
      </c>
      <c r="C110" s="82" t="str">
        <f>Consultas!D110</f>
        <v>Oaco</v>
      </c>
      <c r="D110" s="96" t="str">
        <f>Consultas!E110</f>
        <v>035224</v>
      </c>
      <c r="E110" s="104">
        <f>IF(Consultas!AB110&gt;0,YEAR('Parâmetros'!$B$1)-YEAR(Consultas!AB110),"NA")</f>
        <v>26</v>
      </c>
      <c r="F110" s="82">
        <f>IF(Consultas!F110&gt;'Parâmetros'!$B$2,-8,0)</f>
        <v>0</v>
      </c>
      <c r="G110" s="82">
        <f>IF(Consultas!H110='Parâmetros'!$E$1,100,0)</f>
        <v>0</v>
      </c>
      <c r="H110" s="82">
        <f>IF(Consultas!I110='Parâmetros'!$E$1,-4,12)</f>
        <v>-4</v>
      </c>
      <c r="I110" s="82">
        <f>IF(Consultas!J110='Parâmetros'!$E$1,1,-13)</f>
        <v>1</v>
      </c>
      <c r="J110" s="82">
        <f>IF(Consultas!K110='Parâmetros'!$E$1,2,-5)</f>
        <v>2</v>
      </c>
      <c r="K110" s="82" t="str">
        <f>IF(Consultas!L110='Parâmetros'!$D$1,"SOLIC CONTRATO DE ENTREGA","N/A")</f>
        <v>N/A</v>
      </c>
      <c r="L110" s="82">
        <f>IF(Consultas!R110='Parâmetros'!$E$1,1,-3)</f>
        <v>1</v>
      </c>
      <c r="M110" s="82">
        <f>IF(Consultas!S110&gt;1,(IF(Consultas!S110='Parâmetros'!$E$1,-3,9)))</f>
        <v>9</v>
      </c>
      <c r="N110" s="82">
        <f>IF(Consultas!T110="S",23,0)</f>
        <v>23</v>
      </c>
      <c r="O110" s="82">
        <f>IF(Consultas!U110='Parâmetros'!$E$1,-3,3)</f>
        <v>3</v>
      </c>
      <c r="P110" s="82">
        <f>IF(Consultas!V110='Parâmetros'!$E$1,-100,2)</f>
        <v>2</v>
      </c>
      <c r="Q110" s="82">
        <f>IF(Consultas!M110='Parâmetros'!$D$1,2,-9)</f>
        <v>2</v>
      </c>
      <c r="R110" s="82">
        <f>IF(Consultas!N110="RJ",-12,0)</f>
        <v>0</v>
      </c>
      <c r="S110" s="82">
        <f>IF(Consultas!O110="-",-3,IF(Consultas!O110=0,-6,IF(Consultas!O110=5,0,IF(Consultas!O110=10,6))))</f>
        <v>0</v>
      </c>
      <c r="T110" s="82">
        <f>IF(Consultas!M110="S",0,(IF(Consultas!P110="S",6,0)))</f>
        <v>0</v>
      </c>
      <c r="U110" s="82">
        <f>IF(Consultas!Q110&gt;97,9,IF(Consultas!Q110&gt;75,0,-7))</f>
        <v>9</v>
      </c>
      <c r="V110" s="82">
        <f>IF(Consultas!W110='Parâmetros'!$E$1,1,-5)</f>
        <v>1</v>
      </c>
      <c r="W110" s="82">
        <f>IF(Consultas!X110="S",3,-3)</f>
        <v>3</v>
      </c>
      <c r="X110" s="82">
        <f>IF(Consultas!Y110="S",0,-7)</f>
        <v>0</v>
      </c>
      <c r="Y110" s="82">
        <f>IF(Consultas!Z110='Parâmetros'!$E$1,2,-8)</f>
        <v>2</v>
      </c>
      <c r="Z110" s="82">
        <f>IF(Consultas!AA110='Parâmetros'!$E$1,-15,1)</f>
        <v>1</v>
      </c>
      <c r="AA110" s="147" t="s">
        <v>140</v>
      </c>
      <c r="AB110" s="82">
        <f>IF(E110="NA","NA",IF(E110&gt;'Parâmetros'!$A$9,8,IF(E110&gt;'Parâmetros'!$A$8,4,IF(E110&gt;'Parâmetros'!$A$7,0,-6))))</f>
        <v>4</v>
      </c>
      <c r="AC110" s="82">
        <f>IF(Consultas!AC110='Parâmetros'!$E$1,0,5)</f>
        <v>5</v>
      </c>
      <c r="AD110" s="82">
        <f>IF(Consultas!AH110='Parâmetros'!$D$1,-10,5)</f>
        <v>-10</v>
      </c>
      <c r="AE110" s="82">
        <f>IF(Consultas!AI110&gt;(Consultas!F110*2),-10,0)</f>
        <v>-10</v>
      </c>
      <c r="AF110" s="82" t="b">
        <f>IF(Consultas!AD110&gt;1,(IF(Consultas!AI110&gt;(Consultas!AD110),-20,4)))</f>
        <v>0</v>
      </c>
      <c r="AG110" s="82">
        <f>IF(Consultas!AG110='Parâmetros'!$E$1,0,-6)</f>
        <v>0</v>
      </c>
      <c r="AH110" s="82">
        <f>IF(Consultas!AF110='Parâmetros'!$E$1,1,-5)</f>
        <v>-5</v>
      </c>
      <c r="AI110" s="82">
        <f>IF(Consultas!AJ110&gt;700,8,IF(Consultas!AJ110&gt;500,4,IF(Consultas!AJ110&gt;200,-4,IF(Consultas!AJ110&gt;1,-15,-20))))</f>
        <v>4</v>
      </c>
      <c r="AJ110" s="82">
        <f>IF(Consultas!AD110='Parâmetros'!$E$10,0,IF(Consultas!AD110&gt;'Parâmetros'!$A$30,12,IF(Consultas!AD110&gt;'Parâmetros'!$A$31,6,IF(Consultas!AD110&gt;'Parâmetros'!$A$32,0,IF(Consultas!AD110&gt;'Parâmetros'!$A$33,0,IF(Consultas!AD110&gt;'Parâmetros'!$A$34,-3,IF(Consultas!AD110&gt;'Parâmetros'!$A$35,-7,-1)))))))</f>
        <v>-1</v>
      </c>
      <c r="AK110" s="82">
        <f>IF(Consultas!AO110='Parâmetros'!$D$1,3,-3)</f>
        <v>-3</v>
      </c>
      <c r="AL110" s="82">
        <f>IF(Consultas!AP110='Parâmetros'!$D$1,5,-3)</f>
        <v>-3</v>
      </c>
      <c r="AM110" s="82">
        <f>IF(Consultas!AL110="N",-6,0)</f>
        <v>0</v>
      </c>
      <c r="AN110" s="82">
        <f>IF(Consultas!AM110="N",-10,0)</f>
        <v>0</v>
      </c>
      <c r="AO110" s="82">
        <f>IF(Consultas!AN110="S",4,-2)</f>
        <v>-2</v>
      </c>
      <c r="AP110" s="39"/>
      <c r="AQ110" s="165">
        <f>IF(Consultas!F110&gt;1,(SUM(F110:AO110)),"N/A")</f>
        <v>34</v>
      </c>
      <c r="AR110" s="78">
        <f>IF((Consultas!AD110&gt;'Parâmetros'!$A$31),"X",AJ110+Y110+V110+AC110)</f>
        <v>7</v>
      </c>
      <c r="AS110" s="78">
        <f>IF((Consultas!AD110&gt;'Parâmetros'!$A$31),"X",(H110+I110+J110+Q110+T110+Y110+Z110+AJ110+AN110))</f>
        <v>3</v>
      </c>
      <c r="AT110" s="78" t="str">
        <f>IF((Consultas!AD110&lt;'Parâmetros'!$A$31),"X",(AD110+AC110+AB110))</f>
        <v>X</v>
      </c>
      <c r="AU110" s="78">
        <f t="shared" si="1"/>
        <v>3</v>
      </c>
      <c r="AV110" s="82" t="str">
        <f>IF(AQ110="N/A","N/A",IF(AQ110&gt;5,'Parâmetros'!$A$15,(IF(AU110=AR110,'Parâmetros'!$A$17,IF(AU110=AS110,'Parâmetros'!$A$16,'Parâmetros'!$A$14)))))</f>
        <v>SEM-RISCO</v>
      </c>
      <c r="AW110" s="86" t="str">
        <f>IF(AQ110="N/A","N/A",IF(AV110='Parâmetros'!$A$15,'Parâmetros'!$C$15,(IF(AV110='Parâmetros'!$A$17,'Parâmetros'!$C$17,IF(AV110='Parâmetros'!$A$16,'Parâmetros'!$C$16,IF(AV110='Parâmetros'!$A$14,'Parâmetros'!$C$12))))))</f>
        <v>LIBERADO</v>
      </c>
      <c r="AX110" s="82" t="str">
        <f>IF(Consultas!F110&gt;1,(IF(Consultas!F110&gt;5000,"SOLICITAR PED COMPRA","N/A")))</f>
        <v>N/A</v>
      </c>
      <c r="AY110" s="167" t="str">
        <f>IF(AND(Consultas!M110&lt;&gt;"S", Consultas!H110="S"), "CHECAGEM REVERSA", "N/A")</f>
        <v>N/A</v>
      </c>
      <c r="AZ110" s="167" t="str">
        <f>IF(Consultas!U110="N","PRECISA CORRIGIR END DIVERGENTE","N/A")</f>
        <v>N/A</v>
      </c>
    </row>
    <row r="111" ht="12.0" customHeight="1">
      <c r="A111" s="39" t="s">
        <v>90</v>
      </c>
      <c r="B111" s="82">
        <f>Consultas!B111</f>
        <v>638</v>
      </c>
      <c r="C111" s="82" t="str">
        <f>Consultas!D111</f>
        <v>Oaco</v>
      </c>
      <c r="D111" s="96" t="str">
        <f>Consultas!E111</f>
        <v>144013</v>
      </c>
      <c r="E111" s="104">
        <f>IF(Consultas!AB111&gt;0,YEAR('Parâmetros'!$B$1)-YEAR(Consultas!AB111),"NA")</f>
        <v>31</v>
      </c>
      <c r="F111" s="82">
        <f>IF(Consultas!F111&gt;'Parâmetros'!$B$2,-8,0)</f>
        <v>-8</v>
      </c>
      <c r="G111" s="82">
        <f>IF(Consultas!H111='Parâmetros'!$E$1,100,0)</f>
        <v>0</v>
      </c>
      <c r="H111" s="82">
        <f>IF(Consultas!I111='Parâmetros'!$E$1,-4,12)</f>
        <v>-4</v>
      </c>
      <c r="I111" s="82">
        <f>IF(Consultas!J111='Parâmetros'!$E$1,1,-13)</f>
        <v>-13</v>
      </c>
      <c r="J111" s="82">
        <f>IF(Consultas!K111='Parâmetros'!$E$1,2,-5)</f>
        <v>2</v>
      </c>
      <c r="K111" s="82" t="str">
        <f>IF(Consultas!L111='Parâmetros'!$D$1,"SOLIC CONTRATO DE ENTREGA","N/A")</f>
        <v>N/A</v>
      </c>
      <c r="L111" s="82">
        <f>IF(Consultas!R111='Parâmetros'!$E$1,1,-3)</f>
        <v>1</v>
      </c>
      <c r="M111" s="82">
        <f>IF(Consultas!S111&gt;1,(IF(Consultas!S111='Parâmetros'!$E$1,-3,9)))</f>
        <v>9</v>
      </c>
      <c r="N111" s="82">
        <f>IF(Consultas!T111="S",23,0)</f>
        <v>0</v>
      </c>
      <c r="O111" s="82">
        <f>IF(Consultas!U111='Parâmetros'!$E$1,-3,3)</f>
        <v>3</v>
      </c>
      <c r="P111" s="82">
        <f>IF(Consultas!V111='Parâmetros'!$E$1,-100,2)</f>
        <v>2</v>
      </c>
      <c r="Q111" s="82">
        <f>IF(Consultas!M111='Parâmetros'!$D$1,2,-9)</f>
        <v>2</v>
      </c>
      <c r="R111" s="82">
        <f>IF(Consultas!N111="RJ",-12,0)</f>
        <v>-12</v>
      </c>
      <c r="S111" s="82">
        <f>IF(Consultas!O111="-",-3,IF(Consultas!O111=0,-6,IF(Consultas!O111=5,0,IF(Consultas!O111=10,6))))</f>
        <v>0</v>
      </c>
      <c r="T111" s="82">
        <f>IF(Consultas!M111="S",0,(IF(Consultas!P111="S",6,0)))</f>
        <v>0</v>
      </c>
      <c r="U111" s="82">
        <f>IF(Consultas!Q111&gt;97,9,IF(Consultas!Q111&gt;75,0,-7))</f>
        <v>9</v>
      </c>
      <c r="V111" s="82">
        <f>IF(Consultas!W111='Parâmetros'!$E$1,1,-5)</f>
        <v>1</v>
      </c>
      <c r="W111" s="82">
        <f>IF(Consultas!X111="S",3,-3)</f>
        <v>3</v>
      </c>
      <c r="X111" s="82">
        <f>IF(Consultas!Y111="S",0,-7)</f>
        <v>0</v>
      </c>
      <c r="Y111" s="82">
        <f>IF(Consultas!Z111='Parâmetros'!$E$1,2,-8)</f>
        <v>2</v>
      </c>
      <c r="Z111" s="82">
        <f>IF(Consultas!AA111='Parâmetros'!$E$1,-15,1)</f>
        <v>1</v>
      </c>
      <c r="AA111" s="147" t="s">
        <v>140</v>
      </c>
      <c r="AB111" s="82">
        <f>IF(E111="NA","NA",IF(E111&gt;'Parâmetros'!$A$9,8,IF(E111&gt;'Parâmetros'!$A$8,4,IF(E111&gt;'Parâmetros'!$A$7,0,-6))))</f>
        <v>8</v>
      </c>
      <c r="AC111" s="82">
        <f>IF(Consultas!AC111='Parâmetros'!$E$1,0,5)</f>
        <v>5</v>
      </c>
      <c r="AD111" s="82">
        <f>IF(Consultas!AH111='Parâmetros'!$D$1,-10,5)</f>
        <v>-10</v>
      </c>
      <c r="AE111" s="82">
        <f>IF(Consultas!AI111&gt;(Consultas!F111*2),-10,0)</f>
        <v>-10</v>
      </c>
      <c r="AF111" s="82">
        <f>IF(Consultas!AD111&gt;1,(IF(Consultas!AI111&gt;(Consultas!AD111),-20,4)))</f>
        <v>4</v>
      </c>
      <c r="AG111" s="82">
        <f>IF(Consultas!AG111='Parâmetros'!$E$1,0,-6)</f>
        <v>0</v>
      </c>
      <c r="AH111" s="82">
        <f>IF(Consultas!AF111='Parâmetros'!$E$1,1,-5)</f>
        <v>-5</v>
      </c>
      <c r="AI111" s="82">
        <f>IF(Consultas!AJ111&gt;700,8,IF(Consultas!AJ111&gt;500,4,IF(Consultas!AJ111&gt;200,-4,IF(Consultas!AJ111&gt;1,-15,-20))))</f>
        <v>4</v>
      </c>
      <c r="AJ111" s="82">
        <f>IF(Consultas!AD111='Parâmetros'!$E$10,0,IF(Consultas!AD111&gt;'Parâmetros'!$A$30,12,IF(Consultas!AD111&gt;'Parâmetros'!$A$31,6,IF(Consultas!AD111&gt;'Parâmetros'!$A$32,0,IF(Consultas!AD111&gt;'Parâmetros'!$A$33,0,IF(Consultas!AD111&gt;'Parâmetros'!$A$34,-3,IF(Consultas!AD111&gt;'Parâmetros'!$A$35,-7,-1)))))))</f>
        <v>12</v>
      </c>
      <c r="AK111" s="82">
        <f>IF(Consultas!AO111='Parâmetros'!$D$1,3,-3)</f>
        <v>-3</v>
      </c>
      <c r="AL111" s="82">
        <f>IF(Consultas!AP111='Parâmetros'!$D$1,5,-3)</f>
        <v>-3</v>
      </c>
      <c r="AM111" s="82">
        <f>IF(Consultas!AL111="N",-6,0)</f>
        <v>0</v>
      </c>
      <c r="AN111" s="82">
        <f>IF(Consultas!AM111="N",-10,0)</f>
        <v>0</v>
      </c>
      <c r="AO111" s="82">
        <f>IF(Consultas!AN111="S",4,-2)</f>
        <v>-2</v>
      </c>
      <c r="AP111" s="39"/>
      <c r="AQ111" s="165">
        <f>IF(Consultas!F111&gt;1,(SUM(F111:AO111)),"N/A")</f>
        <v>-2</v>
      </c>
      <c r="AR111" s="78" t="str">
        <f>IF((Consultas!AD111&gt;'Parâmetros'!$A$31),"X",AJ111+Y111+V111+AC111)</f>
        <v>X</v>
      </c>
      <c r="AS111" s="78" t="str">
        <f>IF((Consultas!AD111&gt;'Parâmetros'!$A$31),"X",(H111+I111+J111+Q111+T111+Y111+Z111+AJ111+AN111))</f>
        <v>X</v>
      </c>
      <c r="AT111" s="78">
        <f>IF((Consultas!AD111&lt;'Parâmetros'!$A$31),"X",(AD111+AC111+AB111))</f>
        <v>3</v>
      </c>
      <c r="AU111" s="78">
        <f t="shared" si="1"/>
        <v>3</v>
      </c>
      <c r="AV111" s="78" t="str">
        <f>IF(AQ111="N/A","N/A",IF(AQ111&gt;5,'Parâmetros'!$A$15,(IF(AU111=AR111,'Parâmetros'!$A$17,IF(AU111=AS111,'Parâmetros'!$A$16,'Parâmetros'!$A$14)))))</f>
        <v>GRANDE-OU-FALINDO:</v>
      </c>
      <c r="AW111" s="86" t="str">
        <f>IF(AQ111="N/A","N/A",IF(AV111='Parâmetros'!$A$15,'Parâmetros'!$C$15,(IF(AV111='Parâmetros'!$A$17,'Parâmetros'!$C$17,IF(AV111='Parâmetros'!$A$16,'Parâmetros'!$C$16,IF(AV111='Parâmetros'!$A$14,'Parâmetros'!$C$12))))))</f>
        <v>SE FALINDO SÓ ANTECIPADO | SE GRANDE BUROCR PEGAR CONTATOS FINANCEIRO</v>
      </c>
      <c r="AX111" s="82" t="str">
        <f>IF(Consultas!F111&gt;1,(IF(Consultas!F111&gt;5000,"SOLICITAR PED COMPRA","N/A")))</f>
        <v>SOLICITAR PED COMPRA</v>
      </c>
      <c r="AY111" s="167" t="str">
        <f>IF(AND(Consultas!M111&lt;&gt;"S", Consultas!H111="S"), "CHECAGEM REVERSA", "N/A")</f>
        <v>N/A</v>
      </c>
      <c r="AZ111" s="167" t="str">
        <f>IF(Consultas!U111="N","PRECISA CORRIGIR END DIVERGENTE","N/A")</f>
        <v>N/A</v>
      </c>
    </row>
    <row r="112" ht="12.0" customHeight="1">
      <c r="A112" s="39" t="s">
        <v>90</v>
      </c>
      <c r="B112" s="82">
        <f>Consultas!B112</f>
        <v>269</v>
      </c>
      <c r="C112" s="82" t="str">
        <f>Consultas!D112</f>
        <v>Metalpleno</v>
      </c>
      <c r="D112" s="96" t="str">
        <f>Consultas!E112</f>
        <v>144646</v>
      </c>
      <c r="E112" s="104">
        <f>IF(Consultas!AB112&gt;0,YEAR('Parâmetros'!$B$1)-YEAR(Consultas!AB112),"NA")</f>
        <v>59</v>
      </c>
      <c r="F112" s="82">
        <f>IF(Consultas!F112&gt;'Parâmetros'!$B$2,-8,0)</f>
        <v>0</v>
      </c>
      <c r="G112" s="82">
        <f>IF(Consultas!H112='Parâmetros'!$E$1,100,0)</f>
        <v>0</v>
      </c>
      <c r="H112" s="82">
        <f>IF(Consultas!I112='Parâmetros'!$E$1,-4,12)</f>
        <v>-4</v>
      </c>
      <c r="I112" s="82">
        <f>IF(Consultas!J112='Parâmetros'!$E$1,1,-13)</f>
        <v>1</v>
      </c>
      <c r="J112" s="82">
        <f>IF(Consultas!K112='Parâmetros'!$E$1,2,-5)</f>
        <v>2</v>
      </c>
      <c r="K112" s="82" t="str">
        <f>IF(Consultas!L112='Parâmetros'!$D$1,"SOLIC CONTRATO DE ENTREGA","N/A")</f>
        <v>SOLIC CONTRATO DE ENTREGA</v>
      </c>
      <c r="L112" s="82">
        <f>IF(Consultas!R112='Parâmetros'!$E$1,1,-3)</f>
        <v>1</v>
      </c>
      <c r="M112" s="82">
        <f>IF(Consultas!S112&gt;1,(IF(Consultas!S112='Parâmetros'!$E$1,-3,9)))</f>
        <v>-3</v>
      </c>
      <c r="N112" s="82">
        <f>IF(Consultas!T112="S",23,0)</f>
        <v>0</v>
      </c>
      <c r="O112" s="82">
        <f>IF(Consultas!U112='Parâmetros'!$E$1,-3,3)</f>
        <v>3</v>
      </c>
      <c r="P112" s="82">
        <f>IF(Consultas!V112='Parâmetros'!$E$1,-100,2)</f>
        <v>2</v>
      </c>
      <c r="Q112" s="82">
        <f>IF(Consultas!M112='Parâmetros'!$D$1,2,-9)</f>
        <v>2</v>
      </c>
      <c r="R112" s="82">
        <f>IF(Consultas!N112="RJ",-12,0)</f>
        <v>0</v>
      </c>
      <c r="S112" s="82">
        <f>IF(Consultas!O112="-",-3,IF(Consultas!O112=0,-6,IF(Consultas!O112=5,0,IF(Consultas!O112=10,6))))</f>
        <v>0</v>
      </c>
      <c r="T112" s="82">
        <f>IF(Consultas!M112="S",0,(IF(Consultas!P112="S",6,0)))</f>
        <v>0</v>
      </c>
      <c r="U112" s="82">
        <f>IF(Consultas!Q112&gt;97,9,IF(Consultas!Q112&gt;75,0,-7))</f>
        <v>9</v>
      </c>
      <c r="V112" s="82">
        <f>IF(Consultas!W112='Parâmetros'!$E$1,1,-5)</f>
        <v>1</v>
      </c>
      <c r="W112" s="82">
        <f>IF(Consultas!X112="S",3,-3)</f>
        <v>3</v>
      </c>
      <c r="X112" s="82">
        <f>IF(Consultas!Y112="S",0,-7)</f>
        <v>0</v>
      </c>
      <c r="Y112" s="82">
        <f>IF(Consultas!Z112='Parâmetros'!$E$1,2,-8)</f>
        <v>2</v>
      </c>
      <c r="Z112" s="82">
        <f>IF(Consultas!AA112='Parâmetros'!$E$1,-15,1)</f>
        <v>1</v>
      </c>
      <c r="AA112" s="147" t="s">
        <v>140</v>
      </c>
      <c r="AB112" s="82">
        <f>IF(E112="NA","NA",IF(E112&gt;'Parâmetros'!$A$9,8,IF(E112&gt;'Parâmetros'!$A$8,4,IF(E112&gt;'Parâmetros'!$A$7,0,-6))))</f>
        <v>8</v>
      </c>
      <c r="AC112" s="82">
        <f>IF(Consultas!AC112='Parâmetros'!$E$1,0,5)</f>
        <v>5</v>
      </c>
      <c r="AD112" s="82">
        <f>IF(Consultas!AH112='Parâmetros'!$D$1,-10,5)</f>
        <v>5</v>
      </c>
      <c r="AE112" s="82">
        <f>IF(Consultas!AI112&gt;(Consultas!F112*2),-10,0)</f>
        <v>0</v>
      </c>
      <c r="AF112" s="82" t="b">
        <f>IF(Consultas!AD112&gt;1,(IF(Consultas!AI112&gt;(Consultas!AD112),-20,4)))</f>
        <v>0</v>
      </c>
      <c r="AG112" s="82">
        <f>IF(Consultas!AG112='Parâmetros'!$E$1,0,-6)</f>
        <v>0</v>
      </c>
      <c r="AH112" s="82">
        <f>IF(Consultas!AF112='Parâmetros'!$E$1,1,-5)</f>
        <v>1</v>
      </c>
      <c r="AI112" s="82">
        <f>IF(Consultas!AJ112&gt;700,8,IF(Consultas!AJ112&gt;500,4,IF(Consultas!AJ112&gt;200,-4,IF(Consultas!AJ112&gt;1,-15,-20))))</f>
        <v>4</v>
      </c>
      <c r="AJ112" s="82">
        <f>IF(Consultas!AD112='Parâmetros'!$E$10,0,IF(Consultas!AD112&gt;'Parâmetros'!$A$30,12,IF(Consultas!AD112&gt;'Parâmetros'!$A$31,6,IF(Consultas!AD112&gt;'Parâmetros'!$A$32,0,IF(Consultas!AD112&gt;'Parâmetros'!$A$33,0,IF(Consultas!AD112&gt;'Parâmetros'!$A$34,-3,IF(Consultas!AD112&gt;'Parâmetros'!$A$35,-7,-1)))))))</f>
        <v>-1</v>
      </c>
      <c r="AK112" s="82">
        <f>IF(Consultas!AO112='Parâmetros'!$D$1,3,-3)</f>
        <v>-3</v>
      </c>
      <c r="AL112" s="82">
        <f>IF(Consultas!AP112='Parâmetros'!$D$1,5,-3)</f>
        <v>-3</v>
      </c>
      <c r="AM112" s="82">
        <f>IF(Consultas!AL112="N",-6,0)</f>
        <v>0</v>
      </c>
      <c r="AN112" s="82">
        <f>IF(Consultas!AM112="N",-10,0)</f>
        <v>0</v>
      </c>
      <c r="AO112" s="82">
        <f>IF(Consultas!AN112="S",4,-2)</f>
        <v>-2</v>
      </c>
      <c r="AP112" s="39"/>
      <c r="AQ112" s="165">
        <f>IF(Consultas!F112&gt;1,(SUM(F112:AO112)),"N/A")</f>
        <v>34</v>
      </c>
      <c r="AR112" s="78">
        <f>IF((Consultas!AD112&gt;'Parâmetros'!$A$31),"X",AJ112+Y112+V112+AC112)</f>
        <v>7</v>
      </c>
      <c r="AS112" s="78">
        <f>IF((Consultas!AD112&gt;'Parâmetros'!$A$31),"X",(H112+I112+J112+Q112+T112+Y112+Z112+AJ112+AN112))</f>
        <v>3</v>
      </c>
      <c r="AT112" s="78" t="str">
        <f>IF((Consultas!AD112&lt;'Parâmetros'!$A$31),"X",(AD112+AC112+AB112))</f>
        <v>X</v>
      </c>
      <c r="AU112" s="78">
        <f t="shared" si="1"/>
        <v>3</v>
      </c>
      <c r="AV112" s="82" t="str">
        <f>IF(AQ112="N/A","N/A",IF(AQ112&gt;5,'Parâmetros'!$A$15,(IF(AU112=AR112,'Parâmetros'!$A$17,IF(AU112=AS112,'Parâmetros'!$A$16,'Parâmetros'!$A$14)))))</f>
        <v>SEM-RISCO</v>
      </c>
      <c r="AW112" s="86" t="str">
        <f>IF(AQ112="N/A","N/A",IF(AV112='Parâmetros'!$A$15,'Parâmetros'!$C$15,(IF(AV112='Parâmetros'!$A$17,'Parâmetros'!$C$17,IF(AV112='Parâmetros'!$A$16,'Parâmetros'!$C$16,IF(AV112='Parâmetros'!$A$14,'Parâmetros'!$C$12))))))</f>
        <v>LIBERADO</v>
      </c>
      <c r="AX112" s="82" t="str">
        <f>IF(Consultas!F112&gt;1,(IF(Consultas!F112&gt;5000,"SOLICITAR PED COMPRA","N/A")))</f>
        <v>N/A</v>
      </c>
      <c r="AY112" s="167" t="str">
        <f>IF(AND(Consultas!M112&lt;&gt;"S", Consultas!H112="S"), "CHECAGEM REVERSA", "N/A")</f>
        <v>N/A</v>
      </c>
      <c r="AZ112" s="167" t="str">
        <f>IF(Consultas!U112="N","PRECISA CORRIGIR END DIVERGENTE","N/A")</f>
        <v>N/A</v>
      </c>
    </row>
    <row r="113" ht="12.0" customHeight="1">
      <c r="A113" s="39" t="s">
        <v>90</v>
      </c>
      <c r="B113" s="82">
        <f>Consultas!B113</f>
        <v>270</v>
      </c>
      <c r="C113" s="82" t="str">
        <f>Consultas!D113</f>
        <v>Metalpleno</v>
      </c>
      <c r="D113" s="96" t="str">
        <f>Consultas!E113</f>
        <v>137363</v>
      </c>
      <c r="E113" s="104">
        <f>IF(Consultas!AB113&gt;0,YEAR('Parâmetros'!$B$1)-YEAR(Consultas!AB113),"NA")</f>
        <v>25</v>
      </c>
      <c r="F113" s="82">
        <f>IF(Consultas!F113&gt;'Parâmetros'!$B$2,-8,0)</f>
        <v>0</v>
      </c>
      <c r="G113" s="82">
        <f>IF(Consultas!H113='Parâmetros'!$E$1,100,0)</f>
        <v>0</v>
      </c>
      <c r="H113" s="82">
        <f>IF(Consultas!I113='Parâmetros'!$E$1,-4,12)</f>
        <v>-4</v>
      </c>
      <c r="I113" s="82">
        <f>IF(Consultas!J113='Parâmetros'!$E$1,1,-13)</f>
        <v>1</v>
      </c>
      <c r="J113" s="82">
        <f>IF(Consultas!K113='Parâmetros'!$E$1,2,-5)</f>
        <v>2</v>
      </c>
      <c r="K113" s="82" t="str">
        <f>IF(Consultas!L113='Parâmetros'!$D$1,"SOLIC CONTRATO DE ENTREGA","N/A")</f>
        <v>SOLIC CONTRATO DE ENTREGA</v>
      </c>
      <c r="L113" s="82">
        <f>IF(Consultas!R113='Parâmetros'!$E$1,1,-3)</f>
        <v>1</v>
      </c>
      <c r="M113" s="82">
        <f>IF(Consultas!S113&gt;1,(IF(Consultas!S113='Parâmetros'!$E$1,-3,9)))</f>
        <v>-3</v>
      </c>
      <c r="N113" s="82">
        <f>IF(Consultas!T113="S",23,0)</f>
        <v>0</v>
      </c>
      <c r="O113" s="82">
        <f>IF(Consultas!U113='Parâmetros'!$E$1,-3,3)</f>
        <v>3</v>
      </c>
      <c r="P113" s="82">
        <f>IF(Consultas!V113='Parâmetros'!$E$1,-100,2)</f>
        <v>2</v>
      </c>
      <c r="Q113" s="82">
        <f>IF(Consultas!M113='Parâmetros'!$D$1,2,-9)</f>
        <v>2</v>
      </c>
      <c r="R113" s="82">
        <f>IF(Consultas!N113="RJ",-12,0)</f>
        <v>0</v>
      </c>
      <c r="S113" s="82">
        <f>IF(Consultas!O113="-",-3,IF(Consultas!O113=0,-6,IF(Consultas!O113=5,0,IF(Consultas!O113=10,6))))</f>
        <v>0</v>
      </c>
      <c r="T113" s="82">
        <f>IF(Consultas!M113="S",0,(IF(Consultas!P113="S",6,0)))</f>
        <v>0</v>
      </c>
      <c r="U113" s="82">
        <f>IF(Consultas!Q113&gt;97,9,IF(Consultas!Q113&gt;75,0,-7))</f>
        <v>9</v>
      </c>
      <c r="V113" s="82">
        <f>IF(Consultas!W113='Parâmetros'!$E$1,1,-5)</f>
        <v>1</v>
      </c>
      <c r="W113" s="82">
        <f>IF(Consultas!X113="S",3,-3)</f>
        <v>3</v>
      </c>
      <c r="X113" s="82">
        <f>IF(Consultas!Y113="S",0,-7)</f>
        <v>0</v>
      </c>
      <c r="Y113" s="82">
        <f>IF(Consultas!Z113='Parâmetros'!$E$1,2,-8)</f>
        <v>2</v>
      </c>
      <c r="Z113" s="82">
        <f>IF(Consultas!AA113='Parâmetros'!$E$1,-15,1)</f>
        <v>1</v>
      </c>
      <c r="AA113" s="147" t="s">
        <v>140</v>
      </c>
      <c r="AB113" s="82">
        <f>IF(E113="NA","NA",IF(E113&gt;'Parâmetros'!$A$9,8,IF(E113&gt;'Parâmetros'!$A$8,4,IF(E113&gt;'Parâmetros'!$A$7,0,-6))))</f>
        <v>4</v>
      </c>
      <c r="AC113" s="82">
        <f>IF(Consultas!AC113='Parâmetros'!$E$1,0,5)</f>
        <v>0</v>
      </c>
      <c r="AD113" s="82">
        <f>IF(Consultas!AH113='Parâmetros'!$D$1,-10,5)</f>
        <v>-10</v>
      </c>
      <c r="AE113" s="82">
        <f>IF(Consultas!AI113&gt;(Consultas!F113*2),-10,0)</f>
        <v>-10</v>
      </c>
      <c r="AF113" s="82">
        <f>IF(Consultas!AD113&gt;1,(IF(Consultas!AI113&gt;(Consultas!AD113),-20,4)))</f>
        <v>4</v>
      </c>
      <c r="AG113" s="82">
        <f>IF(Consultas!AG113='Parâmetros'!$E$1,0,-6)</f>
        <v>0</v>
      </c>
      <c r="AH113" s="82">
        <f>IF(Consultas!AF113='Parâmetros'!$E$1,1,-5)</f>
        <v>-5</v>
      </c>
      <c r="AI113" s="82">
        <f>IF(Consultas!AJ113&gt;700,8,IF(Consultas!AJ113&gt;500,4,IF(Consultas!AJ113&gt;200,-4,IF(Consultas!AJ113&gt;1,-15,-20))))</f>
        <v>4</v>
      </c>
      <c r="AJ113" s="82">
        <f>IF(Consultas!AD113='Parâmetros'!$E$10,0,IF(Consultas!AD113&gt;'Parâmetros'!$A$30,12,IF(Consultas!AD113&gt;'Parâmetros'!$A$31,6,IF(Consultas!AD113&gt;'Parâmetros'!$A$32,0,IF(Consultas!AD113&gt;'Parâmetros'!$A$33,0,IF(Consultas!AD113&gt;'Parâmetros'!$A$34,-3,IF(Consultas!AD113&gt;'Parâmetros'!$A$35,-7,-1)))))))</f>
        <v>12</v>
      </c>
      <c r="AK113" s="82">
        <f>IF(Consultas!AO113='Parâmetros'!$D$1,3,-3)</f>
        <v>-3</v>
      </c>
      <c r="AL113" s="82">
        <f>IF(Consultas!AP113='Parâmetros'!$D$1,5,-3)</f>
        <v>-3</v>
      </c>
      <c r="AM113" s="82">
        <f>IF(Consultas!AL113="N",-6,0)</f>
        <v>0</v>
      </c>
      <c r="AN113" s="82">
        <f>IF(Consultas!AM113="N",-10,0)</f>
        <v>0</v>
      </c>
      <c r="AO113" s="82">
        <f>IF(Consultas!AN113="S",4,-2)</f>
        <v>-2</v>
      </c>
      <c r="AP113" s="39"/>
      <c r="AQ113" s="165">
        <f>IF(Consultas!F113&gt;1,(SUM(F113:AO113)),"N/A")</f>
        <v>11</v>
      </c>
      <c r="AR113" s="78" t="str">
        <f>IF((Consultas!AD113&gt;'Parâmetros'!$A$31),"X",AJ113+Y113+V113+AC113)</f>
        <v>X</v>
      </c>
      <c r="AS113" s="78" t="str">
        <f>IF((Consultas!AD113&gt;'Parâmetros'!$A$31),"X",(H113+I113+J113+Q113+T113+Y113+Z113+AJ113+AN113))</f>
        <v>X</v>
      </c>
      <c r="AT113" s="78">
        <f>IF((Consultas!AD113&lt;'Parâmetros'!$A$31),"X",(AD113+AC113+AB113))</f>
        <v>-6</v>
      </c>
      <c r="AU113" s="78">
        <f t="shared" si="1"/>
        <v>-6</v>
      </c>
      <c r="AV113" s="82" t="str">
        <f>IF(AQ113="N/A","N/A",IF(AQ113&gt;5,'Parâmetros'!$A$15,(IF(AU113=AR113,'Parâmetros'!$A$17,IF(AU113=AS113,'Parâmetros'!$A$16,'Parâmetros'!$A$14)))))</f>
        <v>SEM-RISCO</v>
      </c>
      <c r="AW113" s="86" t="str">
        <f>IF(AQ113="N/A","N/A",IF(AV113='Parâmetros'!$A$15,'Parâmetros'!$C$15,(IF(AV113='Parâmetros'!$A$17,'Parâmetros'!$C$17,IF(AV113='Parâmetros'!$A$16,'Parâmetros'!$C$16,IF(AV113='Parâmetros'!$A$14,'Parâmetros'!$C$12))))))</f>
        <v>LIBERADO</v>
      </c>
      <c r="AX113" s="82" t="str">
        <f>IF(Consultas!F113&gt;1,(IF(Consultas!F113&gt;5000,"SOLICITAR PED COMPRA","N/A")))</f>
        <v>SOLICITAR PED COMPRA</v>
      </c>
      <c r="AY113" s="167" t="str">
        <f>IF(AND(Consultas!M113&lt;&gt;"S", Consultas!H113="S"), "CHECAGEM REVERSA", "N/A")</f>
        <v>N/A</v>
      </c>
      <c r="AZ113" s="167" t="str">
        <f>IF(Consultas!U113="N","PRECISA CORRIGIR END DIVERGENTE","N/A")</f>
        <v>N/A</v>
      </c>
    </row>
    <row r="114" ht="12.0" customHeight="1">
      <c r="A114" s="39" t="s">
        <v>90</v>
      </c>
      <c r="B114" s="82">
        <f>Consultas!B114</f>
        <v>272</v>
      </c>
      <c r="C114" s="82" t="str">
        <f>Consultas!D114</f>
        <v>Metalpleno</v>
      </c>
      <c r="D114" s="96" t="str">
        <f>Consultas!E114</f>
        <v>144649</v>
      </c>
      <c r="E114" s="104">
        <f>IF(Consultas!AB114&gt;0,YEAR('Parâmetros'!$B$1)-YEAR(Consultas!AB114),"NA")</f>
        <v>17</v>
      </c>
      <c r="F114" s="82">
        <f>IF(Consultas!F114&gt;'Parâmetros'!$B$2,-8,0)</f>
        <v>0</v>
      </c>
      <c r="G114" s="82">
        <f>IF(Consultas!H114='Parâmetros'!$E$1,100,0)</f>
        <v>0</v>
      </c>
      <c r="H114" s="82">
        <f>IF(Consultas!I114='Parâmetros'!$E$1,-4,12)</f>
        <v>12</v>
      </c>
      <c r="I114" s="82">
        <f>IF(Consultas!J114='Parâmetros'!$E$1,1,-13)</f>
        <v>1</v>
      </c>
      <c r="J114" s="82">
        <f>IF(Consultas!K114='Parâmetros'!$E$1,2,-5)</f>
        <v>2</v>
      </c>
      <c r="K114" s="82" t="str">
        <f>IF(Consultas!L114='Parâmetros'!$D$1,"SOLIC CONTRATO DE ENTREGA","N/A")</f>
        <v>SOLIC CONTRATO DE ENTREGA</v>
      </c>
      <c r="L114" s="82">
        <f>IF(Consultas!R114='Parâmetros'!$E$1,1,-3)</f>
        <v>1</v>
      </c>
      <c r="M114" s="82">
        <f>IF(Consultas!S114&gt;1,(IF(Consultas!S114='Parâmetros'!$E$1,-3,9)))</f>
        <v>-3</v>
      </c>
      <c r="N114" s="82">
        <f>IF(Consultas!T114="S",23,0)</f>
        <v>0</v>
      </c>
      <c r="O114" s="82">
        <f>IF(Consultas!U114='Parâmetros'!$E$1,-3,3)</f>
        <v>3</v>
      </c>
      <c r="P114" s="82">
        <f>IF(Consultas!V114='Parâmetros'!$E$1,-100,2)</f>
        <v>2</v>
      </c>
      <c r="Q114" s="82">
        <f>IF(Consultas!M114='Parâmetros'!$D$1,2,-9)</f>
        <v>2</v>
      </c>
      <c r="R114" s="82">
        <f>IF(Consultas!N114="RJ",-12,0)</f>
        <v>0</v>
      </c>
      <c r="S114" s="82">
        <f>IF(Consultas!O114="-",-3,IF(Consultas!O114=0,-6,IF(Consultas!O114=5,0,IF(Consultas!O114=10,6))))</f>
        <v>0</v>
      </c>
      <c r="T114" s="82">
        <f>IF(Consultas!M114="S",0,(IF(Consultas!P114="S",6,0)))</f>
        <v>0</v>
      </c>
      <c r="U114" s="82">
        <f>IF(Consultas!Q114&gt;97,9,IF(Consultas!Q114&gt;75,0,-7))</f>
        <v>9</v>
      </c>
      <c r="V114" s="82">
        <f>IF(Consultas!W114='Parâmetros'!$E$1,1,-5)</f>
        <v>-5</v>
      </c>
      <c r="W114" s="82">
        <f>IF(Consultas!X114="S",3,-3)</f>
        <v>3</v>
      </c>
      <c r="X114" s="82">
        <f>IF(Consultas!Y114="S",0,-7)</f>
        <v>0</v>
      </c>
      <c r="Y114" s="82">
        <f>IF(Consultas!Z114='Parâmetros'!$E$1,2,-8)</f>
        <v>2</v>
      </c>
      <c r="Z114" s="82">
        <f>IF(Consultas!AA114='Parâmetros'!$E$1,-15,1)</f>
        <v>1</v>
      </c>
      <c r="AA114" s="147" t="s">
        <v>140</v>
      </c>
      <c r="AB114" s="82">
        <f>IF(E114="NA","NA",IF(E114&gt;'Parâmetros'!$A$9,8,IF(E114&gt;'Parâmetros'!$A$8,4,IF(E114&gt;'Parâmetros'!$A$7,0,-6))))</f>
        <v>4</v>
      </c>
      <c r="AC114" s="82">
        <f>IF(Consultas!AC114='Parâmetros'!$E$1,0,5)</f>
        <v>0</v>
      </c>
      <c r="AD114" s="82">
        <f>IF(Consultas!AH114='Parâmetros'!$D$1,-10,5)</f>
        <v>-10</v>
      </c>
      <c r="AE114" s="82">
        <f>IF(Consultas!AI114&gt;(Consultas!F114*2),-10,0)</f>
        <v>0</v>
      </c>
      <c r="AF114" s="82">
        <f>IF(Consultas!AD114&gt;1,(IF(Consultas!AI114&gt;(Consultas!AD114),-20,4)))</f>
        <v>4</v>
      </c>
      <c r="AG114" s="82">
        <f>IF(Consultas!AG114='Parâmetros'!$E$1,0,-6)</f>
        <v>0</v>
      </c>
      <c r="AH114" s="82">
        <f>IF(Consultas!AF114='Parâmetros'!$E$1,1,-5)</f>
        <v>-5</v>
      </c>
      <c r="AI114" s="82">
        <f>IF(Consultas!AJ114&gt;700,8,IF(Consultas!AJ114&gt;500,4,IF(Consultas!AJ114&gt;200,-4,IF(Consultas!AJ114&gt;1,-15,-20))))</f>
        <v>-4</v>
      </c>
      <c r="AJ114" s="82">
        <f>IF(Consultas!AD114='Parâmetros'!$E$10,0,IF(Consultas!AD114&gt;'Parâmetros'!$A$30,12,IF(Consultas!AD114&gt;'Parâmetros'!$A$31,6,IF(Consultas!AD114&gt;'Parâmetros'!$A$32,0,IF(Consultas!AD114&gt;'Parâmetros'!$A$33,0,IF(Consultas!AD114&gt;'Parâmetros'!$A$34,-3,IF(Consultas!AD114&gt;'Parâmetros'!$A$35,-7,-1)))))))</f>
        <v>12</v>
      </c>
      <c r="AK114" s="82">
        <f>IF(Consultas!AO114='Parâmetros'!$D$1,3,-3)</f>
        <v>-3</v>
      </c>
      <c r="AL114" s="82">
        <f>IF(Consultas!AP114='Parâmetros'!$D$1,5,-3)</f>
        <v>-3</v>
      </c>
      <c r="AM114" s="82">
        <f>IF(Consultas!AL114="N",-6,0)</f>
        <v>0</v>
      </c>
      <c r="AN114" s="82">
        <f>IF(Consultas!AM114="N",-10,0)</f>
        <v>0</v>
      </c>
      <c r="AO114" s="82">
        <f>IF(Consultas!AN114="S",4,-2)</f>
        <v>-2</v>
      </c>
      <c r="AP114" s="39"/>
      <c r="AQ114" s="165">
        <f>IF(Consultas!F114&gt;1,(SUM(F114:AO114)),"N/A")</f>
        <v>23</v>
      </c>
      <c r="AR114" s="78" t="str">
        <f>IF((Consultas!AD114&gt;'Parâmetros'!$A$31),"X",AJ114+Y114+V114+AC114)</f>
        <v>X</v>
      </c>
      <c r="AS114" s="78" t="str">
        <f>IF((Consultas!AD114&gt;'Parâmetros'!$A$31),"X",(H114+I114+J114+Q114+T114+Y114+Z114+AJ114+AN114))</f>
        <v>X</v>
      </c>
      <c r="AT114" s="78">
        <f>IF((Consultas!AD114&lt;'Parâmetros'!$A$31),"X",(AD114+AC114+AB114))</f>
        <v>-6</v>
      </c>
      <c r="AU114" s="78">
        <f t="shared" si="1"/>
        <v>-6</v>
      </c>
      <c r="AV114" s="82" t="str">
        <f>IF(AQ114="N/A","N/A",IF(AQ114&gt;5,'Parâmetros'!$A$15,(IF(AU114=AR114,'Parâmetros'!$A$17,IF(AU114=AS114,'Parâmetros'!$A$16,'Parâmetros'!$A$14)))))</f>
        <v>SEM-RISCO</v>
      </c>
      <c r="AW114" s="86" t="str">
        <f>IF(AQ114="N/A","N/A",IF(AV114='Parâmetros'!$A$15,'Parâmetros'!$C$15,(IF(AV114='Parâmetros'!$A$17,'Parâmetros'!$C$17,IF(AV114='Parâmetros'!$A$16,'Parâmetros'!$C$16,IF(AV114='Parâmetros'!$A$14,'Parâmetros'!$C$12))))))</f>
        <v>LIBERADO</v>
      </c>
      <c r="AX114" s="82" t="str">
        <f>IF(Consultas!F114&gt;1,(IF(Consultas!F114&gt;5000,"SOLICITAR PED COMPRA","N/A")))</f>
        <v>SOLICITAR PED COMPRA</v>
      </c>
      <c r="AY114" s="167" t="str">
        <f>IF(AND(Consultas!M114&lt;&gt;"S", Consultas!H114="S"), "CHECAGEM REVERSA", "N/A")</f>
        <v>N/A</v>
      </c>
      <c r="AZ114" s="167" t="str">
        <f>IF(Consultas!U114="N","PRECISA CORRIGIR END DIVERGENTE","N/A")</f>
        <v>N/A</v>
      </c>
    </row>
    <row r="115" ht="12.0" customHeight="1">
      <c r="A115" s="39" t="s">
        <v>90</v>
      </c>
      <c r="B115" s="82" t="str">
        <f>Consultas!B115</f>
        <v>-</v>
      </c>
      <c r="C115" s="82" t="str">
        <f>Consultas!D115</f>
        <v>Metalpleno</v>
      </c>
      <c r="D115" s="96" t="str">
        <f>Consultas!E115</f>
        <v>-</v>
      </c>
      <c r="E115" s="104">
        <f>IF(Consultas!AB115&gt;0,YEAR('Parâmetros'!$B$1)-YEAR(Consultas!AB115),"NA")</f>
        <v>1</v>
      </c>
      <c r="F115" s="82">
        <f>IF(Consultas!F115&gt;'Parâmetros'!$B$2,-8,0)</f>
        <v>0</v>
      </c>
      <c r="G115" s="82">
        <f>IF(Consultas!H115='Parâmetros'!$E$1,100,0)</f>
        <v>0</v>
      </c>
      <c r="H115" s="82">
        <f>IF(Consultas!I115='Parâmetros'!$E$1,-4,12)</f>
        <v>-4</v>
      </c>
      <c r="I115" s="82">
        <f>IF(Consultas!J115='Parâmetros'!$E$1,1,-13)</f>
        <v>1</v>
      </c>
      <c r="J115" s="82">
        <f>IF(Consultas!K115='Parâmetros'!$E$1,2,-5)</f>
        <v>2</v>
      </c>
      <c r="K115" s="82" t="str">
        <f>IF(Consultas!L115='Parâmetros'!$D$1,"SOLIC CONTRATO DE ENTREGA","N/A")</f>
        <v>SOLIC CONTRATO DE ENTREGA</v>
      </c>
      <c r="L115" s="82">
        <f>IF(Consultas!R115='Parâmetros'!$E$1,1,-3)</f>
        <v>1</v>
      </c>
      <c r="M115" s="82">
        <f>IF(Consultas!S115&gt;1,(IF(Consultas!S115='Parâmetros'!$E$1,-3,9)))</f>
        <v>-3</v>
      </c>
      <c r="N115" s="82">
        <f>IF(Consultas!T115="S",23,0)</f>
        <v>0</v>
      </c>
      <c r="O115" s="82">
        <f>IF(Consultas!U115='Parâmetros'!$E$1,-3,3)</f>
        <v>3</v>
      </c>
      <c r="P115" s="82">
        <f>IF(Consultas!V115='Parâmetros'!$E$1,-100,2)</f>
        <v>2</v>
      </c>
      <c r="Q115" s="82">
        <f>IF(Consultas!M115='Parâmetros'!$D$1,2,-9)</f>
        <v>-9</v>
      </c>
      <c r="R115" s="82">
        <f>IF(Consultas!N115="RJ",-12,0)</f>
        <v>-12</v>
      </c>
      <c r="S115" s="82">
        <f>IF(Consultas!O115="-",-3,IF(Consultas!O115=0,-6,IF(Consultas!O115=5,0,IF(Consultas!O115=10,6))))</f>
        <v>-6</v>
      </c>
      <c r="T115" s="82">
        <f>IF(Consultas!M115="S",0,(IF(Consultas!P115="S",6,0)))</f>
        <v>0</v>
      </c>
      <c r="U115" s="82">
        <f>IF(Consultas!Q115&gt;97,9,IF(Consultas!Q115&gt;75,0,-7))</f>
        <v>9</v>
      </c>
      <c r="V115" s="82">
        <f>IF(Consultas!W115='Parâmetros'!$E$1,1,-5)</f>
        <v>1</v>
      </c>
      <c r="W115" s="82">
        <f>IF(Consultas!X115="S",3,-3)</f>
        <v>3</v>
      </c>
      <c r="X115" s="82">
        <f>IF(Consultas!Y115="S",0,-7)</f>
        <v>0</v>
      </c>
      <c r="Y115" s="82">
        <f>IF(Consultas!Z115='Parâmetros'!$E$1,2,-8)</f>
        <v>2</v>
      </c>
      <c r="Z115" s="82">
        <f>IF(Consultas!AA115='Parâmetros'!$E$1,-15,1)</f>
        <v>1</v>
      </c>
      <c r="AA115" s="147" t="s">
        <v>140</v>
      </c>
      <c r="AB115" s="82">
        <f>IF(E115="NA","NA",IF(E115&gt;'Parâmetros'!$A$9,8,IF(E115&gt;'Parâmetros'!$A$8,4,IF(E115&gt;'Parâmetros'!$A$7,0,-6))))</f>
        <v>-6</v>
      </c>
      <c r="AC115" s="82">
        <f>IF(Consultas!AC115='Parâmetros'!$E$1,0,5)</f>
        <v>0</v>
      </c>
      <c r="AD115" s="82">
        <f>IF(Consultas!AH115='Parâmetros'!$D$1,-10,5)</f>
        <v>5</v>
      </c>
      <c r="AE115" s="82">
        <f>IF(Consultas!AI115&gt;(Consultas!F115*2),-10,0)</f>
        <v>0</v>
      </c>
      <c r="AF115" s="82">
        <f>IF(Consultas!AD115&gt;1,(IF(Consultas!AI115&gt;(Consultas!AD115),-20,4)))</f>
        <v>4</v>
      </c>
      <c r="AG115" s="82">
        <f>IF(Consultas!AG115='Parâmetros'!$E$1,0,-6)</f>
        <v>0</v>
      </c>
      <c r="AH115" s="82">
        <f>IF(Consultas!AF115='Parâmetros'!$E$1,1,-5)</f>
        <v>1</v>
      </c>
      <c r="AI115" s="82">
        <f>IF(Consultas!AJ115&gt;700,8,IF(Consultas!AJ115&gt;500,4,IF(Consultas!AJ115&gt;200,-4,IF(Consultas!AJ115&gt;1,-15,-20))))</f>
        <v>-4</v>
      </c>
      <c r="AJ115" s="82">
        <f>IF(Consultas!AD115='Parâmetros'!$E$10,0,IF(Consultas!AD115&gt;'Parâmetros'!$A$30,12,IF(Consultas!AD115&gt;'Parâmetros'!$A$31,6,IF(Consultas!AD115&gt;'Parâmetros'!$A$32,0,IF(Consultas!AD115&gt;'Parâmetros'!$A$33,0,IF(Consultas!AD115&gt;'Parâmetros'!$A$34,-3,IF(Consultas!AD115&gt;'Parâmetros'!$A$35,-7,-1)))))))</f>
        <v>12</v>
      </c>
      <c r="AK115" s="82">
        <f>IF(Consultas!AO115='Parâmetros'!$D$1,3,-3)</f>
        <v>-3</v>
      </c>
      <c r="AL115" s="82">
        <f>IF(Consultas!AP115='Parâmetros'!$D$1,5,-3)</f>
        <v>-3</v>
      </c>
      <c r="AM115" s="82">
        <f>IF(Consultas!AL115="N",-6,0)</f>
        <v>-6</v>
      </c>
      <c r="AN115" s="82">
        <f>IF(Consultas!AM115="N",-10,0)</f>
        <v>-10</v>
      </c>
      <c r="AO115" s="82">
        <f>IF(Consultas!AN115="S",4,-2)</f>
        <v>-2</v>
      </c>
      <c r="AP115" s="39"/>
      <c r="AQ115" s="165">
        <f>IF(Consultas!F115&gt;1,(SUM(F115:AO115)),"N/A")</f>
        <v>-21</v>
      </c>
      <c r="AR115" s="78" t="str">
        <f>IF((Consultas!AD115&gt;'Parâmetros'!$A$31),"X",AJ115+Y115+V115+AC115)</f>
        <v>X</v>
      </c>
      <c r="AS115" s="78" t="str">
        <f>IF((Consultas!AD115&gt;'Parâmetros'!$A$31),"X",(H115+I115+J115+Q115+T115+Y115+Z115+AJ115+AN115))</f>
        <v>X</v>
      </c>
      <c r="AT115" s="78">
        <f>IF((Consultas!AD115&lt;'Parâmetros'!$A$31),"X",(AD115+AC115+AB115))</f>
        <v>-1</v>
      </c>
      <c r="AU115" s="78">
        <f t="shared" si="1"/>
        <v>-1</v>
      </c>
      <c r="AV115" s="78" t="str">
        <f>IF(AQ115="N/A","N/A",IF(AQ115&gt;5,'Parâmetros'!$A$15,(IF(AU115=AR115,'Parâmetros'!$A$17,IF(AU115=AS115,'Parâmetros'!$A$16,'Parâmetros'!$A$14)))))</f>
        <v>GRANDE-OU-FALINDO:</v>
      </c>
      <c r="AW115" s="86" t="str">
        <f>IF(AQ115="N/A","N/A",IF(AV115='Parâmetros'!$A$15,'Parâmetros'!$C$15,(IF(AV115='Parâmetros'!$A$17,'Parâmetros'!$C$17,IF(AV115='Parâmetros'!$A$16,'Parâmetros'!$C$16,IF(AV115='Parâmetros'!$A$14,'Parâmetros'!$C$12))))))</f>
        <v>SE FALINDO SÓ ANTECIPADO | SE GRANDE BUROCR PEGAR CONTATOS FINANCEIRO</v>
      </c>
      <c r="AX115" s="82" t="str">
        <f>IF(Consultas!F115&gt;1,(IF(Consultas!F115&gt;5000,"SOLICITAR PED COMPRA","N/A")))</f>
        <v>SOLICITAR PED COMPRA</v>
      </c>
      <c r="AY115" s="167" t="str">
        <f>IF(AND(Consultas!M115&lt;&gt;"S", Consultas!H115="S"), "CHECAGEM REVERSA", "N/A")</f>
        <v>CHECAGEM REVERSA</v>
      </c>
      <c r="AZ115" s="167" t="str">
        <f>IF(Consultas!U115="N","PRECISA CORRIGIR END DIVERGENTE","N/A")</f>
        <v>N/A</v>
      </c>
    </row>
    <row r="116" ht="12.0" customHeight="1">
      <c r="A116" s="39" t="s">
        <v>90</v>
      </c>
      <c r="B116" s="82">
        <f>Consultas!B116</f>
        <v>274</v>
      </c>
      <c r="C116" s="82" t="str">
        <f>Consultas!D116</f>
        <v>Metalpleno</v>
      </c>
      <c r="D116" s="96" t="str">
        <f>Consultas!E116</f>
        <v>144650</v>
      </c>
      <c r="E116" s="104">
        <f>IF(Consultas!AB116&gt;0,YEAR('Parâmetros'!$B$1)-YEAR(Consultas!AB116),"NA")</f>
        <v>9</v>
      </c>
      <c r="F116" s="82">
        <f>IF(Consultas!F116&gt;'Parâmetros'!$B$2,-8,0)</f>
        <v>0</v>
      </c>
      <c r="G116" s="82">
        <f>IF(Consultas!H116='Parâmetros'!$E$1,100,0)</f>
        <v>0</v>
      </c>
      <c r="H116" s="82">
        <f>IF(Consultas!I116='Parâmetros'!$E$1,-4,12)</f>
        <v>-4</v>
      </c>
      <c r="I116" s="82">
        <f>IF(Consultas!J116='Parâmetros'!$E$1,1,-13)</f>
        <v>1</v>
      </c>
      <c r="J116" s="82">
        <f>IF(Consultas!K116='Parâmetros'!$E$1,2,-5)</f>
        <v>2</v>
      </c>
      <c r="K116" s="82" t="str">
        <f>IF(Consultas!L116='Parâmetros'!$D$1,"SOLIC CONTRATO DE ENTREGA","N/A")</f>
        <v>SOLIC CONTRATO DE ENTREGA</v>
      </c>
      <c r="L116" s="82">
        <f>IF(Consultas!R116='Parâmetros'!$E$1,1,-3)</f>
        <v>1</v>
      </c>
      <c r="M116" s="82">
        <f>IF(Consultas!S116&gt;1,(IF(Consultas!S116='Parâmetros'!$E$1,-3,9)))</f>
        <v>-3</v>
      </c>
      <c r="N116" s="82">
        <f>IF(Consultas!T116="S",23,0)</f>
        <v>0</v>
      </c>
      <c r="O116" s="82">
        <f>IF(Consultas!U116='Parâmetros'!$E$1,-3,3)</f>
        <v>3</v>
      </c>
      <c r="P116" s="82">
        <f>IF(Consultas!V116='Parâmetros'!$E$1,-100,2)</f>
        <v>2</v>
      </c>
      <c r="Q116" s="82">
        <f>IF(Consultas!M116='Parâmetros'!$D$1,2,-9)</f>
        <v>2</v>
      </c>
      <c r="R116" s="82">
        <f>IF(Consultas!N116="RJ",-12,0)</f>
        <v>0</v>
      </c>
      <c r="S116" s="82">
        <f>IF(Consultas!O116="-",-3,IF(Consultas!O116=0,-6,IF(Consultas!O116=5,0,IF(Consultas!O116=10,6))))</f>
        <v>-3</v>
      </c>
      <c r="T116" s="82">
        <f>IF(Consultas!M116="S",0,(IF(Consultas!P116="S",6,0)))</f>
        <v>0</v>
      </c>
      <c r="U116" s="82">
        <f>IF(Consultas!Q116&gt;97,9,IF(Consultas!Q116&gt;75,0,-7))</f>
        <v>9</v>
      </c>
      <c r="V116" s="82">
        <f>IF(Consultas!W116='Parâmetros'!$E$1,1,-5)</f>
        <v>1</v>
      </c>
      <c r="W116" s="82">
        <f>IF(Consultas!X116="S",3,-3)</f>
        <v>3</v>
      </c>
      <c r="X116" s="82">
        <f>IF(Consultas!Y116="S",0,-7)</f>
        <v>0</v>
      </c>
      <c r="Y116" s="82">
        <f>IF(Consultas!Z116='Parâmetros'!$E$1,2,-8)</f>
        <v>2</v>
      </c>
      <c r="Z116" s="82">
        <f>IF(Consultas!AA116='Parâmetros'!$E$1,-15,1)</f>
        <v>1</v>
      </c>
      <c r="AA116" s="147" t="s">
        <v>140</v>
      </c>
      <c r="AB116" s="82">
        <f>IF(E116="NA","NA",IF(E116&gt;'Parâmetros'!$A$9,8,IF(E116&gt;'Parâmetros'!$A$8,4,IF(E116&gt;'Parâmetros'!$A$7,0,-6))))</f>
        <v>0</v>
      </c>
      <c r="AC116" s="82">
        <f>IF(Consultas!AC116='Parâmetros'!$E$1,0,5)</f>
        <v>0</v>
      </c>
      <c r="AD116" s="82">
        <f>IF(Consultas!AH116='Parâmetros'!$D$1,-10,5)</f>
        <v>-10</v>
      </c>
      <c r="AE116" s="82">
        <f>IF(Consultas!AI116&gt;(Consultas!F116*2),-10,0)</f>
        <v>-10</v>
      </c>
      <c r="AF116" s="82">
        <f>IF(Consultas!AD116&gt;1,(IF(Consultas!AI116&gt;(Consultas!AD116),-20,4)))</f>
        <v>4</v>
      </c>
      <c r="AG116" s="82">
        <f>IF(Consultas!AG116='Parâmetros'!$E$1,0,-6)</f>
        <v>0</v>
      </c>
      <c r="AH116" s="82">
        <f>IF(Consultas!AF116='Parâmetros'!$E$1,1,-5)</f>
        <v>1</v>
      </c>
      <c r="AI116" s="82">
        <f>IF(Consultas!AJ116&gt;700,8,IF(Consultas!AJ116&gt;500,4,IF(Consultas!AJ116&gt;200,-4,IF(Consultas!AJ116&gt;1,-15,-20))))</f>
        <v>-20</v>
      </c>
      <c r="AJ116" s="82">
        <f>IF(Consultas!AD116='Parâmetros'!$E$10,0,IF(Consultas!AD116&gt;'Parâmetros'!$A$30,12,IF(Consultas!AD116&gt;'Parâmetros'!$A$31,6,IF(Consultas!AD116&gt;'Parâmetros'!$A$32,0,IF(Consultas!AD116&gt;'Parâmetros'!$A$33,0,IF(Consultas!AD116&gt;'Parâmetros'!$A$34,-3,IF(Consultas!AD116&gt;'Parâmetros'!$A$35,-7,-1)))))))</f>
        <v>12</v>
      </c>
      <c r="AK116" s="82">
        <f>IF(Consultas!AO116='Parâmetros'!$D$1,3,-3)</f>
        <v>-3</v>
      </c>
      <c r="AL116" s="82">
        <f>IF(Consultas!AP116='Parâmetros'!$D$1,5,-3)</f>
        <v>-3</v>
      </c>
      <c r="AM116" s="82">
        <f>IF(Consultas!AL116="N",-6,0)</f>
        <v>0</v>
      </c>
      <c r="AN116" s="82">
        <f>IF(Consultas!AM116="N",-10,0)</f>
        <v>0</v>
      </c>
      <c r="AO116" s="82">
        <f>IF(Consultas!AN116="S",4,-2)</f>
        <v>-2</v>
      </c>
      <c r="AP116" s="39"/>
      <c r="AQ116" s="165">
        <f>IF(Consultas!F116&gt;1,(SUM(F116:AO116)),"N/A")</f>
        <v>-14</v>
      </c>
      <c r="AR116" s="78" t="str">
        <f>IF((Consultas!AD116&gt;'Parâmetros'!$A$31),"X",AJ116+Y116+V116+AC116)</f>
        <v>X</v>
      </c>
      <c r="AS116" s="78" t="str">
        <f>IF((Consultas!AD116&gt;'Parâmetros'!$A$31),"X",(H116+I116+J116+Q116+T116+Y116+Z116+AJ116+AN116))</f>
        <v>X</v>
      </c>
      <c r="AT116" s="78">
        <f>IF((Consultas!AD116&lt;'Parâmetros'!$A$31),"X",(AD116+AC116+AB116))</f>
        <v>-10</v>
      </c>
      <c r="AU116" s="78">
        <f t="shared" si="1"/>
        <v>-10</v>
      </c>
      <c r="AV116" s="78" t="str">
        <f>IF(AQ116="N/A","N/A",IF(AQ116&gt;5,'Parâmetros'!$A$15,(IF(AU116=AR116,'Parâmetros'!$A$17,IF(AU116=AS116,'Parâmetros'!$A$16,'Parâmetros'!$A$14)))))</f>
        <v>GRANDE-OU-FALINDO:</v>
      </c>
      <c r="AW116" s="86" t="str">
        <f>IF(AQ116="N/A","N/A",IF(AV116='Parâmetros'!$A$15,'Parâmetros'!$C$15,(IF(AV116='Parâmetros'!$A$17,'Parâmetros'!$C$17,IF(AV116='Parâmetros'!$A$16,'Parâmetros'!$C$16,IF(AV116='Parâmetros'!$A$14,'Parâmetros'!$C$12))))))</f>
        <v>SE FALINDO SÓ ANTECIPADO | SE GRANDE BUROCR PEGAR CONTATOS FINANCEIRO</v>
      </c>
      <c r="AX116" s="82" t="str">
        <f>IF(Consultas!F116&gt;1,(IF(Consultas!F116&gt;5000,"SOLICITAR PED COMPRA","N/A")))</f>
        <v>SOLICITAR PED COMPRA</v>
      </c>
      <c r="AY116" s="167" t="str">
        <f>IF(AND(Consultas!M116&lt;&gt;"S", Consultas!H116="S"), "CHECAGEM REVERSA", "N/A")</f>
        <v>N/A</v>
      </c>
      <c r="AZ116" s="167" t="str">
        <f>IF(Consultas!U116="N","PRECISA CORRIGIR END DIVERGENTE","N/A")</f>
        <v>N/A</v>
      </c>
    </row>
    <row r="117" ht="12.0" customHeight="1">
      <c r="A117" s="39" t="s">
        <v>90</v>
      </c>
      <c r="B117" s="82">
        <f>Consultas!B117</f>
        <v>276</v>
      </c>
      <c r="C117" s="82" t="str">
        <f>Consultas!D117</f>
        <v>Metalpleno</v>
      </c>
      <c r="D117" s="96" t="str">
        <f>Consultas!E117</f>
        <v>068591</v>
      </c>
      <c r="E117" s="104">
        <f>IF(Consultas!AB117&gt;0,YEAR('Parâmetros'!$B$1)-YEAR(Consultas!AB117),"NA")</f>
        <v>5</v>
      </c>
      <c r="F117" s="82">
        <f>IF(Consultas!F117&gt;'Parâmetros'!$B$2,-8,0)</f>
        <v>0</v>
      </c>
      <c r="G117" s="82">
        <f>IF(Consultas!H117='Parâmetros'!$E$1,100,0)</f>
        <v>0</v>
      </c>
      <c r="H117" s="82">
        <f>IF(Consultas!I117='Parâmetros'!$E$1,-4,12)</f>
        <v>-4</v>
      </c>
      <c r="I117" s="82">
        <f>IF(Consultas!J117='Parâmetros'!$E$1,1,-13)</f>
        <v>1</v>
      </c>
      <c r="J117" s="82">
        <f>IF(Consultas!K117='Parâmetros'!$E$1,2,-5)</f>
        <v>2</v>
      </c>
      <c r="K117" s="82" t="str">
        <f>IF(Consultas!L117='Parâmetros'!$D$1,"SOLIC CONTRATO DE ENTREGA","N/A")</f>
        <v>SOLIC CONTRATO DE ENTREGA</v>
      </c>
      <c r="L117" s="82">
        <f>IF(Consultas!R117='Parâmetros'!$E$1,1,-3)</f>
        <v>-3</v>
      </c>
      <c r="M117" s="82">
        <f>IF(Consultas!S117&gt;1,(IF(Consultas!S117='Parâmetros'!$E$1,-3,9)))</f>
        <v>9</v>
      </c>
      <c r="N117" s="82">
        <f>IF(Consultas!T117="S",23,0)</f>
        <v>0</v>
      </c>
      <c r="O117" s="82">
        <f>IF(Consultas!U117='Parâmetros'!$E$1,-3,3)</f>
        <v>3</v>
      </c>
      <c r="P117" s="82">
        <f>IF(Consultas!V117='Parâmetros'!$E$1,-100,2)</f>
        <v>2</v>
      </c>
      <c r="Q117" s="82">
        <f>IF(Consultas!M117='Parâmetros'!$D$1,2,-9)</f>
        <v>2</v>
      </c>
      <c r="R117" s="82">
        <f>IF(Consultas!N117="RJ",-12,0)</f>
        <v>0</v>
      </c>
      <c r="S117" s="82">
        <f>IF(Consultas!O117="-",-3,IF(Consultas!O117=0,-6,IF(Consultas!O117=5,0,IF(Consultas!O117=10,6))))</f>
        <v>0</v>
      </c>
      <c r="T117" s="82">
        <f>IF(Consultas!M117="S",0,(IF(Consultas!P117="S",6,0)))</f>
        <v>0</v>
      </c>
      <c r="U117" s="82">
        <f>IF(Consultas!Q117&gt;97,9,IF(Consultas!Q117&gt;75,0,-7))</f>
        <v>9</v>
      </c>
      <c r="V117" s="82">
        <f>IF(Consultas!W117='Parâmetros'!$E$1,1,-5)</f>
        <v>1</v>
      </c>
      <c r="W117" s="82">
        <f>IF(Consultas!X117="S",3,-3)</f>
        <v>3</v>
      </c>
      <c r="X117" s="82">
        <f>IF(Consultas!Y117="S",0,-7)</f>
        <v>0</v>
      </c>
      <c r="Y117" s="82">
        <f>IF(Consultas!Z117='Parâmetros'!$E$1,2,-8)</f>
        <v>2</v>
      </c>
      <c r="Z117" s="82">
        <f>IF(Consultas!AA117='Parâmetros'!$E$1,-15,1)</f>
        <v>1</v>
      </c>
      <c r="AA117" s="147" t="s">
        <v>140</v>
      </c>
      <c r="AB117" s="82">
        <f>IF(E117="NA","NA",IF(E117&gt;'Parâmetros'!$A$9,8,IF(E117&gt;'Parâmetros'!$A$8,4,IF(E117&gt;'Parâmetros'!$A$7,0,-6))))</f>
        <v>-6</v>
      </c>
      <c r="AC117" s="82">
        <f>IF(Consultas!AC117='Parâmetros'!$E$1,0,5)</f>
        <v>0</v>
      </c>
      <c r="AD117" s="82">
        <f>IF(Consultas!AH117='Parâmetros'!$D$1,-10,5)</f>
        <v>-10</v>
      </c>
      <c r="AE117" s="82">
        <f>IF(Consultas!AI117&gt;(Consultas!F117*2),-10,0)</f>
        <v>0</v>
      </c>
      <c r="AF117" s="82">
        <f>IF(Consultas!AD117&gt;1,(IF(Consultas!AI117&gt;(Consultas!AD117),-20,4)))</f>
        <v>4</v>
      </c>
      <c r="AG117" s="82">
        <f>IF(Consultas!AG117='Parâmetros'!$E$1,0,-6)</f>
        <v>0</v>
      </c>
      <c r="AH117" s="82">
        <f>IF(Consultas!AF117='Parâmetros'!$E$1,1,-5)</f>
        <v>1</v>
      </c>
      <c r="AI117" s="82">
        <f>IF(Consultas!AJ117&gt;700,8,IF(Consultas!AJ117&gt;500,4,IF(Consultas!AJ117&gt;200,-4,IF(Consultas!AJ117&gt;1,-15,-20))))</f>
        <v>4</v>
      </c>
      <c r="AJ117" s="82">
        <f>IF(Consultas!AD117='Parâmetros'!$E$10,0,IF(Consultas!AD117&gt;'Parâmetros'!$A$30,12,IF(Consultas!AD117&gt;'Parâmetros'!$A$31,6,IF(Consultas!AD117&gt;'Parâmetros'!$A$32,0,IF(Consultas!AD117&gt;'Parâmetros'!$A$33,0,IF(Consultas!AD117&gt;'Parâmetros'!$A$34,-3,IF(Consultas!AD117&gt;'Parâmetros'!$A$35,-7,-1)))))))</f>
        <v>12</v>
      </c>
      <c r="AK117" s="82">
        <f>IF(Consultas!AO117='Parâmetros'!$D$1,3,-3)</f>
        <v>-3</v>
      </c>
      <c r="AL117" s="82">
        <f>IF(Consultas!AP117='Parâmetros'!$D$1,5,-3)</f>
        <v>-3</v>
      </c>
      <c r="AM117" s="82">
        <f>IF(Consultas!AL117="N",-6,0)</f>
        <v>0</v>
      </c>
      <c r="AN117" s="82">
        <f>IF(Consultas!AM117="N",-10,0)</f>
        <v>-10</v>
      </c>
      <c r="AO117" s="82">
        <f>IF(Consultas!AN117="S",4,-2)</f>
        <v>-2</v>
      </c>
      <c r="AP117" s="39"/>
      <c r="AQ117" s="165">
        <f>IF(Consultas!F117&gt;1,(SUM(F117:AO117)),"N/A")</f>
        <v>15</v>
      </c>
      <c r="AR117" s="78" t="str">
        <f>IF((Consultas!AD117&gt;'Parâmetros'!$A$31),"X",AJ117+Y117+V117+AC117)</f>
        <v>X</v>
      </c>
      <c r="AS117" s="78" t="str">
        <f>IF((Consultas!AD117&gt;'Parâmetros'!$A$31),"X",(H117+I117+J117+Q117+T117+Y117+Z117+AJ117+AN117))</f>
        <v>X</v>
      </c>
      <c r="AT117" s="78">
        <f>IF((Consultas!AD117&lt;'Parâmetros'!$A$31),"X",(AD117+AC117+AB117))</f>
        <v>-16</v>
      </c>
      <c r="AU117" s="78">
        <f t="shared" si="1"/>
        <v>-16</v>
      </c>
      <c r="AV117" s="82" t="str">
        <f>IF(AQ117="N/A","N/A",IF(AQ117&gt;5,'Parâmetros'!$A$15,(IF(AU117=AR117,'Parâmetros'!$A$17,IF(AU117=AS117,'Parâmetros'!$A$16,'Parâmetros'!$A$14)))))</f>
        <v>SEM-RISCO</v>
      </c>
      <c r="AW117" s="86" t="str">
        <f>IF(AQ117="N/A","N/A",IF(AV117='Parâmetros'!$A$15,'Parâmetros'!$C$15,(IF(AV117='Parâmetros'!$A$17,'Parâmetros'!$C$17,IF(AV117='Parâmetros'!$A$16,'Parâmetros'!$C$16,IF(AV117='Parâmetros'!$A$14,'Parâmetros'!$C$12))))))</f>
        <v>LIBERADO</v>
      </c>
      <c r="AX117" s="82" t="str">
        <f>IF(Consultas!F117&gt;1,(IF(Consultas!F117&gt;5000,"SOLICITAR PED COMPRA","N/A")))</f>
        <v>SOLICITAR PED COMPRA</v>
      </c>
      <c r="AY117" s="167" t="str">
        <f>IF(AND(Consultas!M117&lt;&gt;"S", Consultas!H117="S"), "CHECAGEM REVERSA", "N/A")</f>
        <v>N/A</v>
      </c>
      <c r="AZ117" s="167" t="str">
        <f>IF(Consultas!U117="N","PRECISA CORRIGIR END DIVERGENTE","N/A")</f>
        <v>N/A</v>
      </c>
    </row>
    <row r="118" ht="12.0" customHeight="1">
      <c r="A118" s="39" t="s">
        <v>90</v>
      </c>
      <c r="B118" s="82" t="str">
        <f>Consultas!B118</f>
        <v>-</v>
      </c>
      <c r="C118" s="82" t="str">
        <f>Consultas!D118</f>
        <v>Metalpleno</v>
      </c>
      <c r="D118" s="96" t="str">
        <f>Consultas!E118</f>
        <v>-</v>
      </c>
      <c r="E118" s="104">
        <f>IF(Consultas!AB118&gt;0,YEAR('Parâmetros'!$B$1)-YEAR(Consultas!AB118),"NA")</f>
        <v>5</v>
      </c>
      <c r="F118" s="82">
        <f>IF(Consultas!F118&gt;'Parâmetros'!$B$2,-8,0)</f>
        <v>-8</v>
      </c>
      <c r="G118" s="82">
        <f>IF(Consultas!H118='Parâmetros'!$E$1,100,0)</f>
        <v>0</v>
      </c>
      <c r="H118" s="82">
        <f>IF(Consultas!I118='Parâmetros'!$E$1,-4,12)</f>
        <v>12</v>
      </c>
      <c r="I118" s="82">
        <f>IF(Consultas!J118='Parâmetros'!$E$1,1,-13)</f>
        <v>1</v>
      </c>
      <c r="J118" s="82">
        <f>IF(Consultas!K118='Parâmetros'!$E$1,2,-5)</f>
        <v>2</v>
      </c>
      <c r="K118" s="82" t="str">
        <f>IF(Consultas!L118='Parâmetros'!$D$1,"SOLIC CONTRATO DE ENTREGA","N/A")</f>
        <v>SOLIC CONTRATO DE ENTREGA</v>
      </c>
      <c r="L118" s="82">
        <f>IF(Consultas!R118='Parâmetros'!$E$1,1,-3)</f>
        <v>1</v>
      </c>
      <c r="M118" s="82">
        <f>IF(Consultas!S118&gt;1,(IF(Consultas!S118='Parâmetros'!$E$1,-3,9)))</f>
        <v>-3</v>
      </c>
      <c r="N118" s="82">
        <f>IF(Consultas!T118="S",23,0)</f>
        <v>0</v>
      </c>
      <c r="O118" s="82">
        <f>IF(Consultas!U118='Parâmetros'!$E$1,-3,3)</f>
        <v>3</v>
      </c>
      <c r="P118" s="82">
        <f>IF(Consultas!V118='Parâmetros'!$E$1,-100,2)</f>
        <v>2</v>
      </c>
      <c r="Q118" s="82">
        <f>IF(Consultas!M118='Parâmetros'!$D$1,2,-9)</f>
        <v>-9</v>
      </c>
      <c r="R118" s="82">
        <f>IF(Consultas!N118="RJ",-12,0)</f>
        <v>0</v>
      </c>
      <c r="S118" s="82">
        <f>IF(Consultas!O118="-",-3,IF(Consultas!O118=0,-6,IF(Consultas!O118=5,0,IF(Consultas!O118=10,6))))</f>
        <v>-6</v>
      </c>
      <c r="T118" s="82">
        <f>IF(Consultas!M118="S",0,(IF(Consultas!P118="S",6,0)))</f>
        <v>0</v>
      </c>
      <c r="U118" s="82">
        <f>IF(Consultas!Q118&gt;97,9,IF(Consultas!Q118&gt;75,0,-7))</f>
        <v>9</v>
      </c>
      <c r="V118" s="82">
        <f>IF(Consultas!W118='Parâmetros'!$E$1,1,-5)</f>
        <v>1</v>
      </c>
      <c r="W118" s="82">
        <f>IF(Consultas!X118="S",3,-3)</f>
        <v>3</v>
      </c>
      <c r="X118" s="82">
        <f>IF(Consultas!Y118="S",0,-7)</f>
        <v>0</v>
      </c>
      <c r="Y118" s="82">
        <f>IF(Consultas!Z118='Parâmetros'!$E$1,2,-8)</f>
        <v>-8</v>
      </c>
      <c r="Z118" s="82">
        <f>IF(Consultas!AA118='Parâmetros'!$E$1,-15,1)</f>
        <v>1</v>
      </c>
      <c r="AA118" s="147" t="s">
        <v>140</v>
      </c>
      <c r="AB118" s="82">
        <f>IF(E118="NA","NA",IF(E118&gt;'Parâmetros'!$A$9,8,IF(E118&gt;'Parâmetros'!$A$8,4,IF(E118&gt;'Parâmetros'!$A$7,0,-6))))</f>
        <v>-6</v>
      </c>
      <c r="AC118" s="82">
        <f>IF(Consultas!AC118='Parâmetros'!$E$1,0,5)</f>
        <v>0</v>
      </c>
      <c r="AD118" s="82">
        <f>IF(Consultas!AH118='Parâmetros'!$D$1,-10,5)</f>
        <v>-10</v>
      </c>
      <c r="AE118" s="82">
        <f>IF(Consultas!AI118&gt;(Consultas!F118*2),-10,0)</f>
        <v>-10</v>
      </c>
      <c r="AF118" s="82">
        <f>IF(Consultas!AD118&gt;1,(IF(Consultas!AI118&gt;(Consultas!AD118),-20,4)))</f>
        <v>4</v>
      </c>
      <c r="AG118" s="82">
        <f>IF(Consultas!AG118='Parâmetros'!$E$1,0,-6)</f>
        <v>0</v>
      </c>
      <c r="AH118" s="82">
        <f>IF(Consultas!AF118='Parâmetros'!$E$1,1,-5)</f>
        <v>-5</v>
      </c>
      <c r="AI118" s="82">
        <f>IF(Consultas!AJ118&gt;700,8,IF(Consultas!AJ118&gt;500,4,IF(Consultas!AJ118&gt;200,-4,IF(Consultas!AJ118&gt;1,-15,-20))))</f>
        <v>-20</v>
      </c>
      <c r="AJ118" s="82">
        <f>IF(Consultas!AD118='Parâmetros'!$E$10,0,IF(Consultas!AD118&gt;'Parâmetros'!$A$30,12,IF(Consultas!AD118&gt;'Parâmetros'!$A$31,6,IF(Consultas!AD118&gt;'Parâmetros'!$A$32,0,IF(Consultas!AD118&gt;'Parâmetros'!$A$33,0,IF(Consultas!AD118&gt;'Parâmetros'!$A$34,-3,IF(Consultas!AD118&gt;'Parâmetros'!$A$35,-7,-1)))))))</f>
        <v>12</v>
      </c>
      <c r="AK118" s="82">
        <f>IF(Consultas!AO118='Parâmetros'!$D$1,3,-3)</f>
        <v>-3</v>
      </c>
      <c r="AL118" s="82">
        <f>IF(Consultas!AP118='Parâmetros'!$D$1,5,-3)</f>
        <v>-3</v>
      </c>
      <c r="AM118" s="82">
        <f>IF(Consultas!AL118="N",-6,0)</f>
        <v>0</v>
      </c>
      <c r="AN118" s="82">
        <f>IF(Consultas!AM118="N",-10,0)</f>
        <v>0</v>
      </c>
      <c r="AO118" s="82">
        <f>IF(Consultas!AN118="S",4,-2)</f>
        <v>-2</v>
      </c>
      <c r="AP118" s="39"/>
      <c r="AQ118" s="165">
        <f>IF(Consultas!F118&gt;1,(SUM(F118:AO118)),"N/A")</f>
        <v>-42</v>
      </c>
      <c r="AR118" s="78" t="str">
        <f>IF((Consultas!AD118&gt;'Parâmetros'!$A$31),"X",AJ118+Y118+V118+AC118)</f>
        <v>X</v>
      </c>
      <c r="AS118" s="78" t="str">
        <f>IF((Consultas!AD118&gt;'Parâmetros'!$A$31),"X",(H118+I118+J118+Q118+T118+Y118+Z118+AJ118+AN118))</f>
        <v>X</v>
      </c>
      <c r="AT118" s="78">
        <f>IF((Consultas!AD118&lt;'Parâmetros'!$A$31),"X",(AD118+AC118+AB118))</f>
        <v>-16</v>
      </c>
      <c r="AU118" s="78">
        <f t="shared" si="1"/>
        <v>-16</v>
      </c>
      <c r="AV118" s="78" t="str">
        <f>IF(AQ118="N/A","N/A",IF(AQ118&gt;5,'Parâmetros'!$A$15,(IF(AU118=AR118,'Parâmetros'!$A$17,IF(AU118=AS118,'Parâmetros'!$A$16,'Parâmetros'!$A$14)))))</f>
        <v>GRANDE-OU-FALINDO:</v>
      </c>
      <c r="AW118" s="86" t="str">
        <f>IF(AQ118="N/A","N/A",IF(AV118='Parâmetros'!$A$15,'Parâmetros'!$C$15,(IF(AV118='Parâmetros'!$A$17,'Parâmetros'!$C$17,IF(AV118='Parâmetros'!$A$16,'Parâmetros'!$C$16,IF(AV118='Parâmetros'!$A$14,'Parâmetros'!$C$12))))))</f>
        <v>SE FALINDO SÓ ANTECIPADO | SE GRANDE BUROCR PEGAR CONTATOS FINANCEIRO</v>
      </c>
      <c r="AX118" s="82" t="str">
        <f>IF(Consultas!F118&gt;1,(IF(Consultas!F118&gt;5000,"SOLICITAR PED COMPRA","N/A")))</f>
        <v>SOLICITAR PED COMPRA</v>
      </c>
      <c r="AY118" s="167" t="str">
        <f>IF(AND(Consultas!M118&lt;&gt;"S", Consultas!H118="S"), "CHECAGEM REVERSA", "N/A")</f>
        <v>CHECAGEM REVERSA</v>
      </c>
      <c r="AZ118" s="167" t="str">
        <f>IF(Consultas!U118="N","PRECISA CORRIGIR END DIVERGENTE","N/A")</f>
        <v>N/A</v>
      </c>
    </row>
    <row r="119" ht="12.0" customHeight="1">
      <c r="A119" s="39" t="s">
        <v>90</v>
      </c>
      <c r="B119" s="82">
        <f>Consultas!B119</f>
        <v>279</v>
      </c>
      <c r="C119" s="82" t="str">
        <f>Consultas!D119</f>
        <v>Metalpleno</v>
      </c>
      <c r="D119" s="96" t="str">
        <f>Consultas!E119</f>
        <v>144657</v>
      </c>
      <c r="E119" s="104">
        <f>IF(Consultas!AB119&gt;0,YEAR('Parâmetros'!$B$1)-YEAR(Consultas!AB119),"NA")</f>
        <v>28</v>
      </c>
      <c r="F119" s="82">
        <f>IF(Consultas!F119&gt;'Parâmetros'!$B$2,-8,0)</f>
        <v>0</v>
      </c>
      <c r="G119" s="82">
        <f>IF(Consultas!H119='Parâmetros'!$E$1,100,0)</f>
        <v>0</v>
      </c>
      <c r="H119" s="82">
        <f>IF(Consultas!I119='Parâmetros'!$E$1,-4,12)</f>
        <v>-4</v>
      </c>
      <c r="I119" s="82">
        <f>IF(Consultas!J119='Parâmetros'!$E$1,1,-13)</f>
        <v>1</v>
      </c>
      <c r="J119" s="82">
        <f>IF(Consultas!K119='Parâmetros'!$E$1,2,-5)</f>
        <v>2</v>
      </c>
      <c r="K119" s="82" t="str">
        <f>IF(Consultas!L119='Parâmetros'!$D$1,"SOLIC CONTRATO DE ENTREGA","N/A")</f>
        <v>N/A</v>
      </c>
      <c r="L119" s="82">
        <f>IF(Consultas!R119='Parâmetros'!$E$1,1,-3)</f>
        <v>1</v>
      </c>
      <c r="M119" s="82">
        <f>IF(Consultas!S119&gt;1,(IF(Consultas!S119='Parâmetros'!$E$1,-3,9)))</f>
        <v>-3</v>
      </c>
      <c r="N119" s="82">
        <f>IF(Consultas!T119="S",23,0)</f>
        <v>0</v>
      </c>
      <c r="O119" s="82">
        <f>IF(Consultas!U119='Parâmetros'!$E$1,-3,3)</f>
        <v>3</v>
      </c>
      <c r="P119" s="82">
        <f>IF(Consultas!V119='Parâmetros'!$E$1,-100,2)</f>
        <v>2</v>
      </c>
      <c r="Q119" s="82">
        <f>IF(Consultas!M119='Parâmetros'!$D$1,2,-9)</f>
        <v>2</v>
      </c>
      <c r="R119" s="82">
        <f>IF(Consultas!N119="RJ",-12,0)</f>
        <v>-12</v>
      </c>
      <c r="S119" s="82">
        <f>IF(Consultas!O119="-",-3,IF(Consultas!O119=0,-6,IF(Consultas!O119=5,0,IF(Consultas!O119=10,6))))</f>
        <v>0</v>
      </c>
      <c r="T119" s="82">
        <f>IF(Consultas!M119="S",0,(IF(Consultas!P119="S",6,0)))</f>
        <v>0</v>
      </c>
      <c r="U119" s="82">
        <f>IF(Consultas!Q119&gt;97,9,IF(Consultas!Q119&gt;75,0,-7))</f>
        <v>9</v>
      </c>
      <c r="V119" s="82">
        <f>IF(Consultas!W119='Parâmetros'!$E$1,1,-5)</f>
        <v>1</v>
      </c>
      <c r="W119" s="82">
        <f>IF(Consultas!X119="S",3,-3)</f>
        <v>3</v>
      </c>
      <c r="X119" s="82">
        <f>IF(Consultas!Y119="S",0,-7)</f>
        <v>0</v>
      </c>
      <c r="Y119" s="82">
        <f>IF(Consultas!Z119='Parâmetros'!$E$1,2,-8)</f>
        <v>2</v>
      </c>
      <c r="Z119" s="82">
        <f>IF(Consultas!AA119='Parâmetros'!$E$1,-15,1)</f>
        <v>1</v>
      </c>
      <c r="AA119" s="147" t="s">
        <v>140</v>
      </c>
      <c r="AB119" s="82">
        <f>IF(E119="NA","NA",IF(E119&gt;'Parâmetros'!$A$9,8,IF(E119&gt;'Parâmetros'!$A$8,4,IF(E119&gt;'Parâmetros'!$A$7,0,-6))))</f>
        <v>4</v>
      </c>
      <c r="AC119" s="82">
        <f>IF(Consultas!AC119='Parâmetros'!$E$1,0,5)</f>
        <v>0</v>
      </c>
      <c r="AD119" s="82">
        <f>IF(Consultas!AH119='Parâmetros'!$D$1,-10,5)</f>
        <v>-10</v>
      </c>
      <c r="AE119" s="82">
        <f>IF(Consultas!AI119&gt;(Consultas!F119*2),-10,0)</f>
        <v>-10</v>
      </c>
      <c r="AF119" s="82">
        <f>IF(Consultas!AD119&gt;1,(IF(Consultas!AI119&gt;(Consultas!AD119),-20,4)))</f>
        <v>4</v>
      </c>
      <c r="AG119" s="82">
        <f>IF(Consultas!AG119='Parâmetros'!$E$1,0,-6)</f>
        <v>0</v>
      </c>
      <c r="AH119" s="82">
        <f>IF(Consultas!AF119='Parâmetros'!$E$1,1,-5)</f>
        <v>1</v>
      </c>
      <c r="AI119" s="82">
        <f>IF(Consultas!AJ119&gt;700,8,IF(Consultas!AJ119&gt;500,4,IF(Consultas!AJ119&gt;200,-4,IF(Consultas!AJ119&gt;1,-15,-20))))</f>
        <v>4</v>
      </c>
      <c r="AJ119" s="82">
        <f>IF(Consultas!AD119='Parâmetros'!$E$10,0,IF(Consultas!AD119&gt;'Parâmetros'!$A$30,12,IF(Consultas!AD119&gt;'Parâmetros'!$A$31,6,IF(Consultas!AD119&gt;'Parâmetros'!$A$32,0,IF(Consultas!AD119&gt;'Parâmetros'!$A$33,0,IF(Consultas!AD119&gt;'Parâmetros'!$A$34,-3,IF(Consultas!AD119&gt;'Parâmetros'!$A$35,-7,-1)))))))</f>
        <v>12</v>
      </c>
      <c r="AK119" s="82">
        <f>IF(Consultas!AO119='Parâmetros'!$D$1,3,-3)</f>
        <v>-3</v>
      </c>
      <c r="AL119" s="82">
        <f>IF(Consultas!AP119='Parâmetros'!$D$1,5,-3)</f>
        <v>-3</v>
      </c>
      <c r="AM119" s="82">
        <f>IF(Consultas!AL119="N",-6,0)</f>
        <v>0</v>
      </c>
      <c r="AN119" s="82">
        <f>IF(Consultas!AM119="N",-10,0)</f>
        <v>0</v>
      </c>
      <c r="AO119" s="82">
        <f>IF(Consultas!AN119="S",4,-2)</f>
        <v>-2</v>
      </c>
      <c r="AP119" s="39"/>
      <c r="AQ119" s="165">
        <f>IF(Consultas!F119&gt;1,(SUM(F119:AO119)),"N/A")</f>
        <v>5</v>
      </c>
      <c r="AR119" s="78" t="str">
        <f>IF((Consultas!AD119&gt;'Parâmetros'!$A$31),"X",AJ119+Y119+V119+AC119)</f>
        <v>X</v>
      </c>
      <c r="AS119" s="78" t="str">
        <f>IF((Consultas!AD119&gt;'Parâmetros'!$A$31),"X",(H119+I119+J119+Q119+T119+Y119+Z119+AJ119+AN119))</f>
        <v>X</v>
      </c>
      <c r="AT119" s="78">
        <f>IF((Consultas!AD119&lt;'Parâmetros'!$A$31),"X",(AD119+AC119+AB119))</f>
        <v>-6</v>
      </c>
      <c r="AU119" s="78">
        <f t="shared" si="1"/>
        <v>-6</v>
      </c>
      <c r="AV119" s="78" t="str">
        <f>IF(AQ119="N/A","N/A",IF(AQ119&gt;5,'Parâmetros'!$A$15,(IF(AU119=AR119,'Parâmetros'!$A$17,IF(AU119=AS119,'Parâmetros'!$A$16,'Parâmetros'!$A$14)))))</f>
        <v>GRANDE-OU-FALINDO:</v>
      </c>
      <c r="AW119" s="86" t="str">
        <f>IF(AQ119="N/A","N/A",IF(AV119='Parâmetros'!$A$15,'Parâmetros'!$C$15,(IF(AV119='Parâmetros'!$A$17,'Parâmetros'!$C$17,IF(AV119='Parâmetros'!$A$16,'Parâmetros'!$C$16,IF(AV119='Parâmetros'!$A$14,'Parâmetros'!$C$12))))))</f>
        <v>SE FALINDO SÓ ANTECIPADO | SE GRANDE BUROCR PEGAR CONTATOS FINANCEIRO</v>
      </c>
      <c r="AX119" s="82" t="str">
        <f>IF(Consultas!F119&gt;1,(IF(Consultas!F119&gt;5000,"SOLICITAR PED COMPRA","N/A")))</f>
        <v>SOLICITAR PED COMPRA</v>
      </c>
      <c r="AY119" s="167" t="str">
        <f>IF(AND(Consultas!M119&lt;&gt;"S", Consultas!H119="S"), "CHECAGEM REVERSA", "N/A")</f>
        <v>N/A</v>
      </c>
      <c r="AZ119" s="167" t="str">
        <f>IF(Consultas!U119="N","PRECISA CORRIGIR END DIVERGENTE","N/A")</f>
        <v>N/A</v>
      </c>
    </row>
    <row r="120" ht="12.0" customHeight="1">
      <c r="A120" s="39" t="s">
        <v>90</v>
      </c>
      <c r="B120" s="82">
        <f>Consultas!B120</f>
        <v>280</v>
      </c>
      <c r="C120" s="82" t="str">
        <f>Consultas!D120</f>
        <v>Metalpleno</v>
      </c>
      <c r="D120" s="96" t="str">
        <f>Consultas!E120</f>
        <v>144660</v>
      </c>
      <c r="E120" s="104">
        <f>IF(Consultas!AB120&gt;0,YEAR('Parâmetros'!$B$1)-YEAR(Consultas!AB120),"NA")</f>
        <v>21</v>
      </c>
      <c r="F120" s="82">
        <f>IF(Consultas!F120&gt;'Parâmetros'!$B$2,-8,0)</f>
        <v>0</v>
      </c>
      <c r="G120" s="82">
        <f>IF(Consultas!H120='Parâmetros'!$E$1,100,0)</f>
        <v>0</v>
      </c>
      <c r="H120" s="82">
        <f>IF(Consultas!I120='Parâmetros'!$E$1,-4,12)</f>
        <v>-4</v>
      </c>
      <c r="I120" s="82">
        <f>IF(Consultas!J120='Parâmetros'!$E$1,1,-13)</f>
        <v>1</v>
      </c>
      <c r="J120" s="82">
        <f>IF(Consultas!K120='Parâmetros'!$E$1,2,-5)</f>
        <v>2</v>
      </c>
      <c r="K120" s="82" t="str">
        <f>IF(Consultas!L120='Parâmetros'!$D$1,"SOLIC CONTRATO DE ENTREGA","N/A")</f>
        <v>SOLIC CONTRATO DE ENTREGA</v>
      </c>
      <c r="L120" s="82">
        <f>IF(Consultas!R120='Parâmetros'!$E$1,1,-3)</f>
        <v>1</v>
      </c>
      <c r="M120" s="82">
        <f>IF(Consultas!S120&gt;1,(IF(Consultas!S120='Parâmetros'!$E$1,-3,9)))</f>
        <v>9</v>
      </c>
      <c r="N120" s="82">
        <f>IF(Consultas!T120="S",23,0)</f>
        <v>0</v>
      </c>
      <c r="O120" s="82">
        <f>IF(Consultas!U120='Parâmetros'!$E$1,-3,3)</f>
        <v>3</v>
      </c>
      <c r="P120" s="82">
        <f>IF(Consultas!V120='Parâmetros'!$E$1,-100,2)</f>
        <v>2</v>
      </c>
      <c r="Q120" s="82">
        <f>IF(Consultas!M120='Parâmetros'!$D$1,2,-9)</f>
        <v>2</v>
      </c>
      <c r="R120" s="82">
        <f>IF(Consultas!N120="RJ",-12,0)</f>
        <v>0</v>
      </c>
      <c r="S120" s="82">
        <f>IF(Consultas!O120="-",-3,IF(Consultas!O120=0,-6,IF(Consultas!O120=5,0,IF(Consultas!O120=10,6))))</f>
        <v>-3</v>
      </c>
      <c r="T120" s="82">
        <f>IF(Consultas!M120="S",0,(IF(Consultas!P120="S",6,0)))</f>
        <v>0</v>
      </c>
      <c r="U120" s="82">
        <f>IF(Consultas!Q120&gt;97,9,IF(Consultas!Q120&gt;75,0,-7))</f>
        <v>9</v>
      </c>
      <c r="V120" s="82">
        <f>IF(Consultas!W120='Parâmetros'!$E$1,1,-5)</f>
        <v>-5</v>
      </c>
      <c r="W120" s="82">
        <f>IF(Consultas!X120="S",3,-3)</f>
        <v>3</v>
      </c>
      <c r="X120" s="82">
        <f>IF(Consultas!Y120="S",0,-7)</f>
        <v>0</v>
      </c>
      <c r="Y120" s="82">
        <f>IF(Consultas!Z120='Parâmetros'!$E$1,2,-8)</f>
        <v>2</v>
      </c>
      <c r="Z120" s="82">
        <f>IF(Consultas!AA120='Parâmetros'!$E$1,-15,1)</f>
        <v>1</v>
      </c>
      <c r="AA120" s="147" t="s">
        <v>140</v>
      </c>
      <c r="AB120" s="82">
        <f>IF(E120="NA","NA",IF(E120&gt;'Parâmetros'!$A$9,8,IF(E120&gt;'Parâmetros'!$A$8,4,IF(E120&gt;'Parâmetros'!$A$7,0,-6))))</f>
        <v>4</v>
      </c>
      <c r="AC120" s="82">
        <f>IF(Consultas!AC120='Parâmetros'!$E$1,0,5)</f>
        <v>5</v>
      </c>
      <c r="AD120" s="82">
        <f>IF(Consultas!AH120='Parâmetros'!$D$1,-10,5)</f>
        <v>5</v>
      </c>
      <c r="AE120" s="82">
        <f>IF(Consultas!AI120&gt;(Consultas!F120*2),-10,0)</f>
        <v>0</v>
      </c>
      <c r="AF120" s="82">
        <f>IF(Consultas!AD120&gt;1,(IF(Consultas!AI120&gt;(Consultas!AD120),-20,4)))</f>
        <v>4</v>
      </c>
      <c r="AG120" s="82">
        <f>IF(Consultas!AG120='Parâmetros'!$E$1,0,-6)</f>
        <v>0</v>
      </c>
      <c r="AH120" s="82">
        <f>IF(Consultas!AF120='Parâmetros'!$E$1,1,-5)</f>
        <v>1</v>
      </c>
      <c r="AI120" s="82">
        <f>IF(Consultas!AJ120&gt;700,8,IF(Consultas!AJ120&gt;500,4,IF(Consultas!AJ120&gt;200,-4,IF(Consultas!AJ120&gt;1,-15,-20))))</f>
        <v>4</v>
      </c>
      <c r="AJ120" s="82">
        <f>IF(Consultas!AD120='Parâmetros'!$E$10,0,IF(Consultas!AD120&gt;'Parâmetros'!$A$30,12,IF(Consultas!AD120&gt;'Parâmetros'!$A$31,6,IF(Consultas!AD120&gt;'Parâmetros'!$A$32,0,IF(Consultas!AD120&gt;'Parâmetros'!$A$33,0,IF(Consultas!AD120&gt;'Parâmetros'!$A$34,-3,IF(Consultas!AD120&gt;'Parâmetros'!$A$35,-7,-1)))))))</f>
        <v>12</v>
      </c>
      <c r="AK120" s="82">
        <f>IF(Consultas!AO120='Parâmetros'!$D$1,3,-3)</f>
        <v>-3</v>
      </c>
      <c r="AL120" s="82">
        <f>IF(Consultas!AP120='Parâmetros'!$D$1,5,-3)</f>
        <v>-3</v>
      </c>
      <c r="AM120" s="82">
        <f>IF(Consultas!AL120="N",-6,0)</f>
        <v>0</v>
      </c>
      <c r="AN120" s="82">
        <f>IF(Consultas!AM120="N",-10,0)</f>
        <v>0</v>
      </c>
      <c r="AO120" s="82">
        <f>IF(Consultas!AN120="S",4,-2)</f>
        <v>-2</v>
      </c>
      <c r="AP120" s="39"/>
      <c r="AQ120" s="165">
        <f>IF(Consultas!F120&gt;1,(SUM(F120:AO120)),"N/A")</f>
        <v>50</v>
      </c>
      <c r="AR120" s="78" t="str">
        <f>IF((Consultas!AD120&gt;'Parâmetros'!$A$31),"X",AJ120+Y120+V120+AC120)</f>
        <v>X</v>
      </c>
      <c r="AS120" s="78" t="str">
        <f>IF((Consultas!AD120&gt;'Parâmetros'!$A$31),"X",(H120+I120+J120+Q120+T120+Y120+Z120+AJ120+AN120))</f>
        <v>X</v>
      </c>
      <c r="AT120" s="78">
        <f>IF((Consultas!AD120&lt;'Parâmetros'!$A$31),"X",(AD120+AC120+AB120))</f>
        <v>14</v>
      </c>
      <c r="AU120" s="78">
        <f t="shared" si="1"/>
        <v>14</v>
      </c>
      <c r="AV120" s="82" t="str">
        <f>IF(AQ120="N/A","N/A",IF(AQ120&gt;5,'Parâmetros'!$A$15,(IF(AU120=AR120,'Parâmetros'!$A$17,IF(AU120=AS120,'Parâmetros'!$A$16,'Parâmetros'!$A$14)))))</f>
        <v>SEM-RISCO</v>
      </c>
      <c r="AW120" s="86" t="str">
        <f>IF(AQ120="N/A","N/A",IF(AV120='Parâmetros'!$A$15,'Parâmetros'!$C$15,(IF(AV120='Parâmetros'!$A$17,'Parâmetros'!$C$17,IF(AV120='Parâmetros'!$A$16,'Parâmetros'!$C$16,IF(AV120='Parâmetros'!$A$14,'Parâmetros'!$C$12))))))</f>
        <v>LIBERADO</v>
      </c>
      <c r="AX120" s="82" t="str">
        <f>IF(Consultas!F120&gt;1,(IF(Consultas!F120&gt;5000,"SOLICITAR PED COMPRA","N/A")))</f>
        <v>N/A</v>
      </c>
      <c r="AY120" s="167" t="str">
        <f>IF(AND(Consultas!M120&lt;&gt;"S", Consultas!H120="S"), "CHECAGEM REVERSA", "N/A")</f>
        <v>N/A</v>
      </c>
      <c r="AZ120" s="167" t="str">
        <f>IF(Consultas!U120="N","PRECISA CORRIGIR END DIVERGENTE","N/A")</f>
        <v>N/A</v>
      </c>
    </row>
    <row r="121" ht="12.0" customHeight="1">
      <c r="A121" s="39" t="s">
        <v>90</v>
      </c>
      <c r="B121" s="82">
        <f>Consultas!B121</f>
        <v>281</v>
      </c>
      <c r="C121" s="82" t="str">
        <f>Consultas!D121</f>
        <v>Metalpleno</v>
      </c>
      <c r="D121" s="96" t="str">
        <f>Consultas!E121</f>
        <v>144661</v>
      </c>
      <c r="E121" s="104">
        <f>IF(Consultas!AB121&gt;0,YEAR('Parâmetros'!$B$1)-YEAR(Consultas!AB121),"NA")</f>
        <v>21</v>
      </c>
      <c r="F121" s="82">
        <f>IF(Consultas!F121&gt;'Parâmetros'!$B$2,-8,0)</f>
        <v>0</v>
      </c>
      <c r="G121" s="82">
        <f>IF(Consultas!H121='Parâmetros'!$E$1,100,0)</f>
        <v>0</v>
      </c>
      <c r="H121" s="82">
        <f>IF(Consultas!I121='Parâmetros'!$E$1,-4,12)</f>
        <v>-4</v>
      </c>
      <c r="I121" s="82">
        <f>IF(Consultas!J121='Parâmetros'!$E$1,1,-13)</f>
        <v>1</v>
      </c>
      <c r="J121" s="82">
        <f>IF(Consultas!K121='Parâmetros'!$E$1,2,-5)</f>
        <v>2</v>
      </c>
      <c r="K121" s="82" t="str">
        <f>IF(Consultas!L121='Parâmetros'!$D$1,"SOLIC CONTRATO DE ENTREGA","N/A")</f>
        <v>SOLIC CONTRATO DE ENTREGA</v>
      </c>
      <c r="L121" s="82">
        <f>IF(Consultas!R121='Parâmetros'!$E$1,1,-3)</f>
        <v>1</v>
      </c>
      <c r="M121" s="82">
        <f>IF(Consultas!S121&gt;1,(IF(Consultas!S121='Parâmetros'!$E$1,-3,9)))</f>
        <v>9</v>
      </c>
      <c r="N121" s="82">
        <f>IF(Consultas!T121="S",23,0)</f>
        <v>0</v>
      </c>
      <c r="O121" s="82">
        <f>IF(Consultas!U121='Parâmetros'!$E$1,-3,3)</f>
        <v>3</v>
      </c>
      <c r="P121" s="82">
        <f>IF(Consultas!V121='Parâmetros'!$E$1,-100,2)</f>
        <v>2</v>
      </c>
      <c r="Q121" s="82">
        <f>IF(Consultas!M121='Parâmetros'!$D$1,2,-9)</f>
        <v>2</v>
      </c>
      <c r="R121" s="82">
        <f>IF(Consultas!N121="RJ",-12,0)</f>
        <v>0</v>
      </c>
      <c r="S121" s="82">
        <f>IF(Consultas!O121="-",-3,IF(Consultas!O121=0,-6,IF(Consultas!O121=5,0,IF(Consultas!O121=10,6))))</f>
        <v>-3</v>
      </c>
      <c r="T121" s="82">
        <f>IF(Consultas!M121="S",0,(IF(Consultas!P121="S",6,0)))</f>
        <v>0</v>
      </c>
      <c r="U121" s="82">
        <f>IF(Consultas!Q121&gt;97,9,IF(Consultas!Q121&gt;75,0,-7))</f>
        <v>9</v>
      </c>
      <c r="V121" s="82">
        <f>IF(Consultas!W121='Parâmetros'!$E$1,1,-5)</f>
        <v>-5</v>
      </c>
      <c r="W121" s="82">
        <f>IF(Consultas!X121="S",3,-3)</f>
        <v>3</v>
      </c>
      <c r="X121" s="82">
        <f>IF(Consultas!Y121="S",0,-7)</f>
        <v>0</v>
      </c>
      <c r="Y121" s="82">
        <f>IF(Consultas!Z121='Parâmetros'!$E$1,2,-8)</f>
        <v>2</v>
      </c>
      <c r="Z121" s="82">
        <f>IF(Consultas!AA121='Parâmetros'!$E$1,-15,1)</f>
        <v>1</v>
      </c>
      <c r="AA121" s="147" t="s">
        <v>140</v>
      </c>
      <c r="AB121" s="82">
        <f>IF(E121="NA","NA",IF(E121&gt;'Parâmetros'!$A$9,8,IF(E121&gt;'Parâmetros'!$A$8,4,IF(E121&gt;'Parâmetros'!$A$7,0,-6))))</f>
        <v>4</v>
      </c>
      <c r="AC121" s="82">
        <f>IF(Consultas!AC121='Parâmetros'!$E$1,0,5)</f>
        <v>5</v>
      </c>
      <c r="AD121" s="82">
        <f>IF(Consultas!AH121='Parâmetros'!$D$1,-10,5)</f>
        <v>5</v>
      </c>
      <c r="AE121" s="82">
        <f>IF(Consultas!AI121&gt;(Consultas!F121*2),-10,0)</f>
        <v>0</v>
      </c>
      <c r="AF121" s="82">
        <f>IF(Consultas!AD121&gt;1,(IF(Consultas!AI121&gt;(Consultas!AD121),-20,4)))</f>
        <v>4</v>
      </c>
      <c r="AG121" s="82">
        <f>IF(Consultas!AG121='Parâmetros'!$E$1,0,-6)</f>
        <v>0</v>
      </c>
      <c r="AH121" s="82">
        <f>IF(Consultas!AF121='Parâmetros'!$E$1,1,-5)</f>
        <v>1</v>
      </c>
      <c r="AI121" s="82">
        <f>IF(Consultas!AJ121&gt;700,8,IF(Consultas!AJ121&gt;500,4,IF(Consultas!AJ121&gt;200,-4,IF(Consultas!AJ121&gt;1,-15,-20))))</f>
        <v>4</v>
      </c>
      <c r="AJ121" s="82">
        <f>IF(Consultas!AD121='Parâmetros'!$E$10,0,IF(Consultas!AD121&gt;'Parâmetros'!$A$30,12,IF(Consultas!AD121&gt;'Parâmetros'!$A$31,6,IF(Consultas!AD121&gt;'Parâmetros'!$A$32,0,IF(Consultas!AD121&gt;'Parâmetros'!$A$33,0,IF(Consultas!AD121&gt;'Parâmetros'!$A$34,-3,IF(Consultas!AD121&gt;'Parâmetros'!$A$35,-7,-1)))))))</f>
        <v>12</v>
      </c>
      <c r="AK121" s="82">
        <f>IF(Consultas!AO121='Parâmetros'!$D$1,3,-3)</f>
        <v>-3</v>
      </c>
      <c r="AL121" s="82">
        <f>IF(Consultas!AP121='Parâmetros'!$D$1,5,-3)</f>
        <v>-3</v>
      </c>
      <c r="AM121" s="82">
        <f>IF(Consultas!AL121="N",-6,0)</f>
        <v>0</v>
      </c>
      <c r="AN121" s="82">
        <f>IF(Consultas!AM121="N",-10,0)</f>
        <v>0</v>
      </c>
      <c r="AO121" s="82">
        <f>IF(Consultas!AN121="S",4,-2)</f>
        <v>-2</v>
      </c>
      <c r="AP121" s="39"/>
      <c r="AQ121" s="165">
        <f>IF(Consultas!F121&gt;1,(SUM(F121:AO121)),"N/A")</f>
        <v>50</v>
      </c>
      <c r="AR121" s="78" t="str">
        <f>IF((Consultas!AD121&gt;'Parâmetros'!$A$31),"X",AJ121+Y121+V121+AC121)</f>
        <v>X</v>
      </c>
      <c r="AS121" s="78" t="str">
        <f>IF((Consultas!AD121&gt;'Parâmetros'!$A$31),"X",(H121+I121+J121+Q121+T121+Y121+Z121+AJ121+AN121))</f>
        <v>X</v>
      </c>
      <c r="AT121" s="78">
        <f>IF((Consultas!AD121&lt;'Parâmetros'!$A$31),"X",(AD121+AC121+AB121))</f>
        <v>14</v>
      </c>
      <c r="AU121" s="78">
        <f t="shared" si="1"/>
        <v>14</v>
      </c>
      <c r="AV121" s="82" t="str">
        <f>IF(AQ121="N/A","N/A",IF(AQ121&gt;5,'Parâmetros'!$A$15,(IF(AU121=AR121,'Parâmetros'!$A$17,IF(AU121=AS121,'Parâmetros'!$A$16,'Parâmetros'!$A$14)))))</f>
        <v>SEM-RISCO</v>
      </c>
      <c r="AW121" s="86" t="str">
        <f>IF(AQ121="N/A","N/A",IF(AV121='Parâmetros'!$A$15,'Parâmetros'!$C$15,(IF(AV121='Parâmetros'!$A$17,'Parâmetros'!$C$17,IF(AV121='Parâmetros'!$A$16,'Parâmetros'!$C$16,IF(AV121='Parâmetros'!$A$14,'Parâmetros'!$C$12))))))</f>
        <v>LIBERADO</v>
      </c>
      <c r="AX121" s="82" t="str">
        <f>IF(Consultas!F121&gt;1,(IF(Consultas!F121&gt;5000,"SOLICITAR PED COMPRA","N/A")))</f>
        <v>N/A</v>
      </c>
      <c r="AY121" s="167" t="str">
        <f>IF(AND(Consultas!M121&lt;&gt;"S", Consultas!H121="S"), "CHECAGEM REVERSA", "N/A")</f>
        <v>N/A</v>
      </c>
      <c r="AZ121" s="167" t="str">
        <f>IF(Consultas!U121="N","PRECISA CORRIGIR END DIVERGENTE","N/A")</f>
        <v>N/A</v>
      </c>
    </row>
    <row r="122" ht="12.0" customHeight="1">
      <c r="A122" s="39" t="s">
        <v>90</v>
      </c>
      <c r="B122" s="82">
        <f>Consultas!B122</f>
        <v>282</v>
      </c>
      <c r="C122" s="82" t="str">
        <f>Consultas!D122</f>
        <v>Metalpleno</v>
      </c>
      <c r="D122" s="96" t="str">
        <f>Consultas!E122</f>
        <v>144662</v>
      </c>
      <c r="E122" s="104">
        <f>IF(Consultas!AB122&gt;0,YEAR('Parâmetros'!$B$1)-YEAR(Consultas!AB122),"NA")</f>
        <v>21</v>
      </c>
      <c r="F122" s="82">
        <f>IF(Consultas!F122&gt;'Parâmetros'!$B$2,-8,0)</f>
        <v>0</v>
      </c>
      <c r="G122" s="82">
        <f>IF(Consultas!H122='Parâmetros'!$E$1,100,0)</f>
        <v>0</v>
      </c>
      <c r="H122" s="82">
        <f>IF(Consultas!I122='Parâmetros'!$E$1,-4,12)</f>
        <v>-4</v>
      </c>
      <c r="I122" s="82">
        <f>IF(Consultas!J122='Parâmetros'!$E$1,1,-13)</f>
        <v>1</v>
      </c>
      <c r="J122" s="82">
        <f>IF(Consultas!K122='Parâmetros'!$E$1,2,-5)</f>
        <v>2</v>
      </c>
      <c r="K122" s="82" t="str">
        <f>IF(Consultas!L122='Parâmetros'!$D$1,"SOLIC CONTRATO DE ENTREGA","N/A")</f>
        <v>SOLIC CONTRATO DE ENTREGA</v>
      </c>
      <c r="L122" s="82">
        <f>IF(Consultas!R122='Parâmetros'!$E$1,1,-3)</f>
        <v>1</v>
      </c>
      <c r="M122" s="82">
        <f>IF(Consultas!S122&gt;1,(IF(Consultas!S122='Parâmetros'!$E$1,-3,9)))</f>
        <v>9</v>
      </c>
      <c r="N122" s="82">
        <f>IF(Consultas!T122="S",23,0)</f>
        <v>0</v>
      </c>
      <c r="O122" s="82">
        <f>IF(Consultas!U122='Parâmetros'!$E$1,-3,3)</f>
        <v>3</v>
      </c>
      <c r="P122" s="82">
        <f>IF(Consultas!V122='Parâmetros'!$E$1,-100,2)</f>
        <v>2</v>
      </c>
      <c r="Q122" s="82">
        <f>IF(Consultas!M122='Parâmetros'!$D$1,2,-9)</f>
        <v>2</v>
      </c>
      <c r="R122" s="82">
        <f>IF(Consultas!N122="RJ",-12,0)</f>
        <v>0</v>
      </c>
      <c r="S122" s="82">
        <f>IF(Consultas!O122="-",-3,IF(Consultas!O122=0,-6,IF(Consultas!O122=5,0,IF(Consultas!O122=10,6))))</f>
        <v>-3</v>
      </c>
      <c r="T122" s="82">
        <f>IF(Consultas!M122="S",0,(IF(Consultas!P122="S",6,0)))</f>
        <v>0</v>
      </c>
      <c r="U122" s="82">
        <f>IF(Consultas!Q122&gt;97,9,IF(Consultas!Q122&gt;75,0,-7))</f>
        <v>9</v>
      </c>
      <c r="V122" s="82">
        <f>IF(Consultas!W122='Parâmetros'!$E$1,1,-5)</f>
        <v>-5</v>
      </c>
      <c r="W122" s="82">
        <f>IF(Consultas!X122="S",3,-3)</f>
        <v>3</v>
      </c>
      <c r="X122" s="82">
        <f>IF(Consultas!Y122="S",0,-7)</f>
        <v>0</v>
      </c>
      <c r="Y122" s="82">
        <f>IF(Consultas!Z122='Parâmetros'!$E$1,2,-8)</f>
        <v>2</v>
      </c>
      <c r="Z122" s="82">
        <f>IF(Consultas!AA122='Parâmetros'!$E$1,-15,1)</f>
        <v>1</v>
      </c>
      <c r="AA122" s="147" t="s">
        <v>140</v>
      </c>
      <c r="AB122" s="82">
        <f>IF(E122="NA","NA",IF(E122&gt;'Parâmetros'!$A$9,8,IF(E122&gt;'Parâmetros'!$A$8,4,IF(E122&gt;'Parâmetros'!$A$7,0,-6))))</f>
        <v>4</v>
      </c>
      <c r="AC122" s="82">
        <f>IF(Consultas!AC122='Parâmetros'!$E$1,0,5)</f>
        <v>5</v>
      </c>
      <c r="AD122" s="82">
        <f>IF(Consultas!AH122='Parâmetros'!$D$1,-10,5)</f>
        <v>5</v>
      </c>
      <c r="AE122" s="82">
        <f>IF(Consultas!AI122&gt;(Consultas!F122*2),-10,0)</f>
        <v>0</v>
      </c>
      <c r="AF122" s="82">
        <f>IF(Consultas!AD122&gt;1,(IF(Consultas!AI122&gt;(Consultas!AD122),-20,4)))</f>
        <v>4</v>
      </c>
      <c r="AG122" s="82">
        <f>IF(Consultas!AG122='Parâmetros'!$E$1,0,-6)</f>
        <v>0</v>
      </c>
      <c r="AH122" s="82">
        <f>IF(Consultas!AF122='Parâmetros'!$E$1,1,-5)</f>
        <v>1</v>
      </c>
      <c r="AI122" s="82">
        <f>IF(Consultas!AJ122&gt;700,8,IF(Consultas!AJ122&gt;500,4,IF(Consultas!AJ122&gt;200,-4,IF(Consultas!AJ122&gt;1,-15,-20))))</f>
        <v>4</v>
      </c>
      <c r="AJ122" s="82">
        <f>IF(Consultas!AD122='Parâmetros'!$E$10,0,IF(Consultas!AD122&gt;'Parâmetros'!$A$30,12,IF(Consultas!AD122&gt;'Parâmetros'!$A$31,6,IF(Consultas!AD122&gt;'Parâmetros'!$A$32,0,IF(Consultas!AD122&gt;'Parâmetros'!$A$33,0,IF(Consultas!AD122&gt;'Parâmetros'!$A$34,-3,IF(Consultas!AD122&gt;'Parâmetros'!$A$35,-7,-1)))))))</f>
        <v>12</v>
      </c>
      <c r="AK122" s="82">
        <f>IF(Consultas!AO122='Parâmetros'!$D$1,3,-3)</f>
        <v>-3</v>
      </c>
      <c r="AL122" s="82">
        <f>IF(Consultas!AP122='Parâmetros'!$D$1,5,-3)</f>
        <v>-3</v>
      </c>
      <c r="AM122" s="82">
        <f>IF(Consultas!AL122="N",-6,0)</f>
        <v>0</v>
      </c>
      <c r="AN122" s="82">
        <f>IF(Consultas!AM122="N",-10,0)</f>
        <v>0</v>
      </c>
      <c r="AO122" s="82">
        <f>IF(Consultas!AN122="S",4,-2)</f>
        <v>-2</v>
      </c>
      <c r="AP122" s="39"/>
      <c r="AQ122" s="165">
        <f>IF(Consultas!F122&gt;1,(SUM(F122:AO122)),"N/A")</f>
        <v>50</v>
      </c>
      <c r="AR122" s="78" t="str">
        <f>IF((Consultas!AD122&gt;'Parâmetros'!$A$31),"X",AJ122+Y122+V122+AC122)</f>
        <v>X</v>
      </c>
      <c r="AS122" s="78" t="str">
        <f>IF((Consultas!AD122&gt;'Parâmetros'!$A$31),"X",(H122+I122+J122+Q122+T122+Y122+Z122+AJ122+AN122))</f>
        <v>X</v>
      </c>
      <c r="AT122" s="78">
        <f>IF((Consultas!AD122&lt;'Parâmetros'!$A$31),"X",(AD122+AC122+AB122))</f>
        <v>14</v>
      </c>
      <c r="AU122" s="78">
        <f t="shared" si="1"/>
        <v>14</v>
      </c>
      <c r="AV122" s="82" t="str">
        <f>IF(AQ122="N/A","N/A",IF(AQ122&gt;5,'Parâmetros'!$A$15,(IF(AU122=AR122,'Parâmetros'!$A$17,IF(AU122=AS122,'Parâmetros'!$A$16,'Parâmetros'!$A$14)))))</f>
        <v>SEM-RISCO</v>
      </c>
      <c r="AW122" s="86" t="str">
        <f>IF(AQ122="N/A","N/A",IF(AV122='Parâmetros'!$A$15,'Parâmetros'!$C$15,(IF(AV122='Parâmetros'!$A$17,'Parâmetros'!$C$17,IF(AV122='Parâmetros'!$A$16,'Parâmetros'!$C$16,IF(AV122='Parâmetros'!$A$14,'Parâmetros'!$C$12))))))</f>
        <v>LIBERADO</v>
      </c>
      <c r="AX122" s="82" t="str">
        <f>IF(Consultas!F122&gt;1,(IF(Consultas!F122&gt;5000,"SOLICITAR PED COMPRA","N/A")))</f>
        <v>N/A</v>
      </c>
      <c r="AY122" s="167" t="str">
        <f>IF(AND(Consultas!M122&lt;&gt;"S", Consultas!H122="S"), "CHECAGEM REVERSA", "N/A")</f>
        <v>N/A</v>
      </c>
      <c r="AZ122" s="167" t="str">
        <f>IF(Consultas!U122="N","PRECISA CORRIGIR END DIVERGENTE","N/A")</f>
        <v>N/A</v>
      </c>
    </row>
    <row r="123" ht="12.0" customHeight="1">
      <c r="A123" s="39" t="s">
        <v>90</v>
      </c>
      <c r="B123" s="82">
        <f>Consultas!B123</f>
        <v>652</v>
      </c>
      <c r="C123" s="82" t="str">
        <f>Consultas!D123</f>
        <v>Oaco</v>
      </c>
      <c r="D123" s="96" t="str">
        <f>Consultas!E123</f>
        <v>144663</v>
      </c>
      <c r="E123" s="104">
        <f>IF(Consultas!AB123&gt;0,YEAR('Parâmetros'!$B$1)-YEAR(Consultas!AB123),"NA")</f>
        <v>19</v>
      </c>
      <c r="F123" s="82">
        <f>IF(Consultas!F123&gt;'Parâmetros'!$B$2,-8,0)</f>
        <v>0</v>
      </c>
      <c r="G123" s="82">
        <f>IF(Consultas!H123='Parâmetros'!$E$1,100,0)</f>
        <v>0</v>
      </c>
      <c r="H123" s="82">
        <f>IF(Consultas!I123='Parâmetros'!$E$1,-4,12)</f>
        <v>-4</v>
      </c>
      <c r="I123" s="82">
        <f>IF(Consultas!J123='Parâmetros'!$E$1,1,-13)</f>
        <v>1</v>
      </c>
      <c r="J123" s="82">
        <f>IF(Consultas!K123='Parâmetros'!$E$1,2,-5)</f>
        <v>2</v>
      </c>
      <c r="K123" s="82" t="str">
        <f>IF(Consultas!L123='Parâmetros'!$D$1,"SOLIC CONTRATO DE ENTREGA","N/A")</f>
        <v>SOLIC CONTRATO DE ENTREGA</v>
      </c>
      <c r="L123" s="82">
        <f>IF(Consultas!R123='Parâmetros'!$E$1,1,-3)</f>
        <v>1</v>
      </c>
      <c r="M123" s="82">
        <f>IF(Consultas!S123&gt;1,(IF(Consultas!S123='Parâmetros'!$E$1,-3,9)))</f>
        <v>9</v>
      </c>
      <c r="N123" s="82">
        <f>IF(Consultas!T123="S",23,0)</f>
        <v>0</v>
      </c>
      <c r="O123" s="82">
        <f>IF(Consultas!U123='Parâmetros'!$E$1,-3,3)</f>
        <v>3</v>
      </c>
      <c r="P123" s="82">
        <f>IF(Consultas!V123='Parâmetros'!$E$1,-100,2)</f>
        <v>2</v>
      </c>
      <c r="Q123" s="82">
        <f>IF(Consultas!M123='Parâmetros'!$D$1,2,-9)</f>
        <v>2</v>
      </c>
      <c r="R123" s="82">
        <f>IF(Consultas!N123="RJ",-12,0)</f>
        <v>0</v>
      </c>
      <c r="S123" s="82">
        <f>IF(Consultas!O123="-",-3,IF(Consultas!O123=0,-6,IF(Consultas!O123=5,0,IF(Consultas!O123=10,6))))</f>
        <v>0</v>
      </c>
      <c r="T123" s="82">
        <f>IF(Consultas!M123="S",0,(IF(Consultas!P123="S",6,0)))</f>
        <v>0</v>
      </c>
      <c r="U123" s="82">
        <f>IF(Consultas!Q123&gt;97,9,IF(Consultas!Q123&gt;75,0,-7))</f>
        <v>9</v>
      </c>
      <c r="V123" s="82">
        <f>IF(Consultas!W123='Parâmetros'!$E$1,1,-5)</f>
        <v>1</v>
      </c>
      <c r="W123" s="82">
        <f>IF(Consultas!X123="S",3,-3)</f>
        <v>3</v>
      </c>
      <c r="X123" s="82">
        <f>IF(Consultas!Y123="S",0,-7)</f>
        <v>0</v>
      </c>
      <c r="Y123" s="82">
        <f>IF(Consultas!Z123='Parâmetros'!$E$1,2,-8)</f>
        <v>2</v>
      </c>
      <c r="Z123" s="82">
        <f>IF(Consultas!AA123='Parâmetros'!$E$1,-15,1)</f>
        <v>1</v>
      </c>
      <c r="AA123" s="147" t="s">
        <v>140</v>
      </c>
      <c r="AB123" s="82">
        <f>IF(E123="NA","NA",IF(E123&gt;'Parâmetros'!$A$9,8,IF(E123&gt;'Parâmetros'!$A$8,4,IF(E123&gt;'Parâmetros'!$A$7,0,-6))))</f>
        <v>4</v>
      </c>
      <c r="AC123" s="82">
        <f>IF(Consultas!AC123='Parâmetros'!$E$1,0,5)</f>
        <v>5</v>
      </c>
      <c r="AD123" s="82">
        <f>IF(Consultas!AH123='Parâmetros'!$D$1,-10,5)</f>
        <v>-10</v>
      </c>
      <c r="AE123" s="82">
        <f>IF(Consultas!AI123&gt;(Consultas!F123*2),-10,0)</f>
        <v>-10</v>
      </c>
      <c r="AF123" s="82">
        <f>IF(Consultas!AD123&gt;1,(IF(Consultas!AI123&gt;(Consultas!AD123),-20,4)))</f>
        <v>4</v>
      </c>
      <c r="AG123" s="82">
        <f>IF(Consultas!AG123='Parâmetros'!$E$1,0,-6)</f>
        <v>0</v>
      </c>
      <c r="AH123" s="82">
        <f>IF(Consultas!AF123='Parâmetros'!$E$1,1,-5)</f>
        <v>-5</v>
      </c>
      <c r="AI123" s="82">
        <f>IF(Consultas!AJ123&gt;700,8,IF(Consultas!AJ123&gt;500,4,IF(Consultas!AJ123&gt;200,-4,IF(Consultas!AJ123&gt;1,-15,-20))))</f>
        <v>-4</v>
      </c>
      <c r="AJ123" s="82">
        <f>IF(Consultas!AD123='Parâmetros'!$E$10,0,IF(Consultas!AD123&gt;'Parâmetros'!$A$30,12,IF(Consultas!AD123&gt;'Parâmetros'!$A$31,6,IF(Consultas!AD123&gt;'Parâmetros'!$A$32,0,IF(Consultas!AD123&gt;'Parâmetros'!$A$33,0,IF(Consultas!AD123&gt;'Parâmetros'!$A$34,-3,IF(Consultas!AD123&gt;'Parâmetros'!$A$35,-7,-1)))))))</f>
        <v>12</v>
      </c>
      <c r="AK123" s="82">
        <f>IF(Consultas!AO123='Parâmetros'!$D$1,3,-3)</f>
        <v>-3</v>
      </c>
      <c r="AL123" s="82">
        <f>IF(Consultas!AP123='Parâmetros'!$D$1,5,-3)</f>
        <v>-3</v>
      </c>
      <c r="AM123" s="82">
        <f>IF(Consultas!AL123="N",-6,0)</f>
        <v>0</v>
      </c>
      <c r="AN123" s="82">
        <f>IF(Consultas!AM123="N",-10,0)</f>
        <v>0</v>
      </c>
      <c r="AO123" s="82">
        <f>IF(Consultas!AN123="S",4,-2)</f>
        <v>-2</v>
      </c>
      <c r="AP123" s="39"/>
      <c r="AQ123" s="165">
        <f>IF(Consultas!F123&gt;1,(SUM(F123:AO123)),"N/A")</f>
        <v>20</v>
      </c>
      <c r="AR123" s="78" t="str">
        <f>IF((Consultas!AD123&gt;'Parâmetros'!$A$31),"X",AJ123+Y123+V123+AC123)</f>
        <v>X</v>
      </c>
      <c r="AS123" s="78" t="str">
        <f>IF((Consultas!AD123&gt;'Parâmetros'!$A$31),"X",(H123+I123+J123+Q123+T123+Y123+Z123+AJ123+AN123))</f>
        <v>X</v>
      </c>
      <c r="AT123" s="78">
        <f>IF((Consultas!AD123&lt;'Parâmetros'!$A$31),"X",(AD123+AC123+AB123))</f>
        <v>-1</v>
      </c>
      <c r="AU123" s="78">
        <f t="shared" si="1"/>
        <v>-1</v>
      </c>
      <c r="AV123" s="82" t="str">
        <f>IF(AQ123="N/A","N/A",IF(AQ123&gt;5,'Parâmetros'!$A$15,(IF(AU123=AR123,'Parâmetros'!$A$17,IF(AU123=AS123,'Parâmetros'!$A$16,'Parâmetros'!$A$14)))))</f>
        <v>SEM-RISCO</v>
      </c>
      <c r="AW123" s="86" t="str">
        <f>IF(AQ123="N/A","N/A",IF(AV123='Parâmetros'!$A$15,'Parâmetros'!$C$15,(IF(AV123='Parâmetros'!$A$17,'Parâmetros'!$C$17,IF(AV123='Parâmetros'!$A$16,'Parâmetros'!$C$16,IF(AV123='Parâmetros'!$A$14,'Parâmetros'!$C$12))))))</f>
        <v>LIBERADO</v>
      </c>
      <c r="AX123" s="82" t="str">
        <f>IF(Consultas!F123&gt;1,(IF(Consultas!F123&gt;5000,"SOLICITAR PED COMPRA","N/A")))</f>
        <v>SOLICITAR PED COMPRA</v>
      </c>
      <c r="AY123" s="167" t="str">
        <f>IF(AND(Consultas!M123&lt;&gt;"S", Consultas!H123="S"), "CHECAGEM REVERSA", "N/A")</f>
        <v>N/A</v>
      </c>
      <c r="AZ123" s="167" t="str">
        <f>IF(Consultas!U123="N","PRECISA CORRIGIR END DIVERGENTE","N/A")</f>
        <v>N/A</v>
      </c>
    </row>
    <row r="124" ht="12.0" customHeight="1">
      <c r="A124" s="39" t="s">
        <v>90</v>
      </c>
      <c r="B124" s="82">
        <f>Consultas!B124</f>
        <v>1878</v>
      </c>
      <c r="C124" s="82" t="str">
        <f>Consultas!D124</f>
        <v>Metalpleno</v>
      </c>
      <c r="D124" s="96" t="str">
        <f>Consultas!E124</f>
        <v>011678</v>
      </c>
      <c r="E124" s="104">
        <f>IF(Consultas!AB124&gt;0,YEAR('Parâmetros'!$B$1)-YEAR(Consultas!AB124),"NA")</f>
        <v>59</v>
      </c>
      <c r="F124" s="82">
        <f>IF(Consultas!F124&gt;'Parâmetros'!$B$2,-8,0)</f>
        <v>0</v>
      </c>
      <c r="G124" s="82">
        <f>IF(Consultas!H124='Parâmetros'!$E$1,100,0)</f>
        <v>0</v>
      </c>
      <c r="H124" s="82">
        <f>IF(Consultas!I124='Parâmetros'!$E$1,-4,12)</f>
        <v>-4</v>
      </c>
      <c r="I124" s="82">
        <f>IF(Consultas!J124='Parâmetros'!$E$1,1,-13)</f>
        <v>1</v>
      </c>
      <c r="J124" s="82">
        <f>IF(Consultas!K124='Parâmetros'!$E$1,2,-5)</f>
        <v>2</v>
      </c>
      <c r="K124" s="82" t="str">
        <f>IF(Consultas!L124='Parâmetros'!$D$1,"SOLIC CONTRATO DE ENTREGA","N/A")</f>
        <v>N/A</v>
      </c>
      <c r="L124" s="82">
        <f>IF(Consultas!R124='Parâmetros'!$E$1,1,-3)</f>
        <v>1</v>
      </c>
      <c r="M124" s="82">
        <f>IF(Consultas!S124&gt;1,(IF(Consultas!S124='Parâmetros'!$E$1,-3,9)))</f>
        <v>9</v>
      </c>
      <c r="N124" s="82">
        <f>IF(Consultas!T124="S",23,0)</f>
        <v>23</v>
      </c>
      <c r="O124" s="82">
        <f>IF(Consultas!U124='Parâmetros'!$E$1,-3,3)</f>
        <v>3</v>
      </c>
      <c r="P124" s="82">
        <f>IF(Consultas!V124='Parâmetros'!$E$1,-100,2)</f>
        <v>2</v>
      </c>
      <c r="Q124" s="82">
        <f>IF(Consultas!M124='Parâmetros'!$D$1,2,-9)</f>
        <v>-9</v>
      </c>
      <c r="R124" s="82">
        <f>IF(Consultas!N124="RJ",-12,0)</f>
        <v>0</v>
      </c>
      <c r="S124" s="82">
        <f>IF(Consultas!O124="-",-3,IF(Consultas!O124=0,-6,IF(Consultas!O124=5,0,IF(Consultas!O124=10,6))))</f>
        <v>-6</v>
      </c>
      <c r="T124" s="82">
        <f>IF(Consultas!M124="S",0,(IF(Consultas!P124="S",6,0)))</f>
        <v>0</v>
      </c>
      <c r="U124" s="82">
        <f>IF(Consultas!Q124&gt;97,9,IF(Consultas!Q124&gt;75,0,-7))</f>
        <v>9</v>
      </c>
      <c r="V124" s="82">
        <f>IF(Consultas!W124='Parâmetros'!$E$1,1,-5)</f>
        <v>1</v>
      </c>
      <c r="W124" s="82">
        <f>IF(Consultas!X124="S",3,-3)</f>
        <v>3</v>
      </c>
      <c r="X124" s="82">
        <f>IF(Consultas!Y124="S",0,-7)</f>
        <v>0</v>
      </c>
      <c r="Y124" s="82">
        <f>IF(Consultas!Z124='Parâmetros'!$E$1,2,-8)</f>
        <v>2</v>
      </c>
      <c r="Z124" s="82">
        <f>IF(Consultas!AA124='Parâmetros'!$E$1,-15,1)</f>
        <v>1</v>
      </c>
      <c r="AA124" s="147" t="s">
        <v>140</v>
      </c>
      <c r="AB124" s="82">
        <f>IF(E124="NA","NA",IF(E124&gt;'Parâmetros'!$A$9,8,IF(E124&gt;'Parâmetros'!$A$8,4,IF(E124&gt;'Parâmetros'!$A$7,0,-6))))</f>
        <v>8</v>
      </c>
      <c r="AC124" s="82">
        <f>IF(Consultas!AC124='Parâmetros'!$E$1,0,5)</f>
        <v>0</v>
      </c>
      <c r="AD124" s="82">
        <f>IF(Consultas!AH124='Parâmetros'!$D$1,-10,5)</f>
        <v>5</v>
      </c>
      <c r="AE124" s="82">
        <f>IF(Consultas!AI124&gt;(Consultas!F124*2),-10,0)</f>
        <v>-10</v>
      </c>
      <c r="AF124" s="82" t="b">
        <f>IF(Consultas!AD124&gt;1,(IF(Consultas!AI124&gt;(Consultas!AD124),-20,4)))</f>
        <v>0</v>
      </c>
      <c r="AG124" s="82">
        <f>IF(Consultas!AG124='Parâmetros'!$E$1,0,-6)</f>
        <v>0</v>
      </c>
      <c r="AH124" s="82">
        <f>IF(Consultas!AF124='Parâmetros'!$E$1,1,-5)</f>
        <v>-5</v>
      </c>
      <c r="AI124" s="82">
        <f>IF(Consultas!AJ124&gt;700,8,IF(Consultas!AJ124&gt;500,4,IF(Consultas!AJ124&gt;200,-4,IF(Consultas!AJ124&gt;1,-15,-20))))</f>
        <v>4</v>
      </c>
      <c r="AJ124" s="82">
        <f>IF(Consultas!AD124='Parâmetros'!$E$10,0,IF(Consultas!AD124&gt;'Parâmetros'!$A$30,12,IF(Consultas!AD124&gt;'Parâmetros'!$A$31,6,IF(Consultas!AD124&gt;'Parâmetros'!$A$32,0,IF(Consultas!AD124&gt;'Parâmetros'!$A$33,0,IF(Consultas!AD124&gt;'Parâmetros'!$A$34,-3,IF(Consultas!AD124&gt;'Parâmetros'!$A$35,-7,-1)))))))</f>
        <v>-1</v>
      </c>
      <c r="AK124" s="82">
        <f>IF(Consultas!AO124='Parâmetros'!$D$1,3,-3)</f>
        <v>-3</v>
      </c>
      <c r="AL124" s="82">
        <f>IF(Consultas!AP124='Parâmetros'!$D$1,5,-3)</f>
        <v>-3</v>
      </c>
      <c r="AM124" s="82">
        <f>IF(Consultas!AL124="N",-6,0)</f>
        <v>0</v>
      </c>
      <c r="AN124" s="82">
        <f>IF(Consultas!AM124="N",-10,0)</f>
        <v>0</v>
      </c>
      <c r="AO124" s="82">
        <f>IF(Consultas!AN124="S",4,-2)</f>
        <v>-2</v>
      </c>
      <c r="AP124" s="39"/>
      <c r="AQ124" s="165">
        <f>IF(Consultas!F124&gt;1,(SUM(F124:AO124)),"N/A")</f>
        <v>31</v>
      </c>
      <c r="AR124" s="78">
        <f>IF((Consultas!AD124&gt;'Parâmetros'!$A$31),"X",AJ124+Y124+V124+AC124)</f>
        <v>2</v>
      </c>
      <c r="AS124" s="78">
        <f>IF((Consultas!AD124&gt;'Parâmetros'!$A$31),"X",(H124+I124+J124+Q124+T124+Y124+Z124+AJ124+AN124))</f>
        <v>-8</v>
      </c>
      <c r="AT124" s="78" t="str">
        <f>IF((Consultas!AD124&lt;'Parâmetros'!$A$31),"X",(AD124+AC124+AB124))</f>
        <v>X</v>
      </c>
      <c r="AU124" s="78">
        <f t="shared" si="1"/>
        <v>-8</v>
      </c>
      <c r="AV124" s="82" t="str">
        <f>IF(AQ124="N/A","N/A",IF(AQ124&gt;5,'Parâmetros'!$A$15,(IF(AU124=AR124,'Parâmetros'!$A$17,IF(AU124=AS124,'Parâmetros'!$A$16,'Parâmetros'!$A$14)))))</f>
        <v>SEM-RISCO</v>
      </c>
      <c r="AW124" s="86" t="str">
        <f>IF(AQ124="N/A","N/A",IF(AV124='Parâmetros'!$A$15,'Parâmetros'!$C$15,(IF(AV124='Parâmetros'!$A$17,'Parâmetros'!$C$17,IF(AV124='Parâmetros'!$A$16,'Parâmetros'!$C$16,IF(AV124='Parâmetros'!$A$14,'Parâmetros'!$C$12))))))</f>
        <v>LIBERADO</v>
      </c>
      <c r="AX124" s="82" t="str">
        <f>IF(Consultas!F124&gt;1,(IF(Consultas!F124&gt;5000,"SOLICITAR PED COMPRA","N/A")))</f>
        <v>N/A</v>
      </c>
      <c r="AY124" s="167" t="str">
        <f>IF(AND(Consultas!M124&lt;&gt;"S", Consultas!H124="S"), "CHECAGEM REVERSA", "N/A")</f>
        <v>CHECAGEM REVERSA</v>
      </c>
      <c r="AZ124" s="167" t="str">
        <f>IF(Consultas!U124="N","PRECISA CORRIGIR END DIVERGENTE","N/A")</f>
        <v>N/A</v>
      </c>
    </row>
    <row r="125" ht="12.0" customHeight="1">
      <c r="A125" s="39" t="s">
        <v>90</v>
      </c>
      <c r="B125" s="82">
        <f>Consultas!B125</f>
        <v>653</v>
      </c>
      <c r="C125" s="82" t="str">
        <f>Consultas!D125</f>
        <v>Oaco</v>
      </c>
      <c r="D125" s="96" t="str">
        <f>Consultas!E125</f>
        <v>144664</v>
      </c>
      <c r="E125" s="104">
        <f>IF(Consultas!AB125&gt;0,YEAR('Parâmetros'!$B$1)-YEAR(Consultas!AB125),"NA")</f>
        <v>3</v>
      </c>
      <c r="F125" s="82">
        <f>IF(Consultas!F125&gt;'Parâmetros'!$B$2,-8,0)</f>
        <v>0</v>
      </c>
      <c r="G125" s="82">
        <f>IF(Consultas!H125='Parâmetros'!$E$1,100,0)</f>
        <v>0</v>
      </c>
      <c r="H125" s="82">
        <f>IF(Consultas!I125='Parâmetros'!$E$1,-4,12)</f>
        <v>12</v>
      </c>
      <c r="I125" s="82">
        <f>IF(Consultas!J125='Parâmetros'!$E$1,1,-13)</f>
        <v>1</v>
      </c>
      <c r="J125" s="82">
        <f>IF(Consultas!K125='Parâmetros'!$E$1,2,-5)</f>
        <v>2</v>
      </c>
      <c r="K125" s="82" t="str">
        <f>IF(Consultas!L125='Parâmetros'!$D$1,"SOLIC CONTRATO DE ENTREGA","N/A")</f>
        <v>SOLIC CONTRATO DE ENTREGA</v>
      </c>
      <c r="L125" s="82">
        <f>IF(Consultas!R125='Parâmetros'!$E$1,1,-3)</f>
        <v>1</v>
      </c>
      <c r="M125" s="82">
        <f>IF(Consultas!S125&gt;1,(IF(Consultas!S125='Parâmetros'!$E$1,-3,9)))</f>
        <v>-3</v>
      </c>
      <c r="N125" s="82">
        <f>IF(Consultas!T125="S",23,0)</f>
        <v>0</v>
      </c>
      <c r="O125" s="82">
        <f>IF(Consultas!U125='Parâmetros'!$E$1,-3,3)</f>
        <v>3</v>
      </c>
      <c r="P125" s="82">
        <f>IF(Consultas!V125='Parâmetros'!$E$1,-100,2)</f>
        <v>2</v>
      </c>
      <c r="Q125" s="82">
        <f>IF(Consultas!M125='Parâmetros'!$D$1,2,-9)</f>
        <v>2</v>
      </c>
      <c r="R125" s="82">
        <f>IF(Consultas!N125="RJ",-12,0)</f>
        <v>0</v>
      </c>
      <c r="S125" s="82">
        <f>IF(Consultas!O125="-",-3,IF(Consultas!O125=0,-6,IF(Consultas!O125=5,0,IF(Consultas!O125=10,6))))</f>
        <v>-3</v>
      </c>
      <c r="T125" s="82">
        <f>IF(Consultas!M125="S",0,(IF(Consultas!P125="S",6,0)))</f>
        <v>0</v>
      </c>
      <c r="U125" s="82">
        <f>IF(Consultas!Q125&gt;97,9,IF(Consultas!Q125&gt;75,0,-7))</f>
        <v>9</v>
      </c>
      <c r="V125" s="82">
        <f>IF(Consultas!W125='Parâmetros'!$E$1,1,-5)</f>
        <v>-5</v>
      </c>
      <c r="W125" s="82">
        <f>IF(Consultas!X125="S",3,-3)</f>
        <v>3</v>
      </c>
      <c r="X125" s="82">
        <f>IF(Consultas!Y125="S",0,-7)</f>
        <v>0</v>
      </c>
      <c r="Y125" s="82">
        <f>IF(Consultas!Z125='Parâmetros'!$E$1,2,-8)</f>
        <v>2</v>
      </c>
      <c r="Z125" s="82">
        <f>IF(Consultas!AA125='Parâmetros'!$E$1,-15,1)</f>
        <v>1</v>
      </c>
      <c r="AA125" s="147" t="s">
        <v>140</v>
      </c>
      <c r="AB125" s="82">
        <f>IF(E125="NA","NA",IF(E125&gt;'Parâmetros'!$A$9,8,IF(E125&gt;'Parâmetros'!$A$8,4,IF(E125&gt;'Parâmetros'!$A$7,0,-6))))</f>
        <v>-6</v>
      </c>
      <c r="AC125" s="82">
        <f>IF(Consultas!AC125='Parâmetros'!$E$1,0,5)</f>
        <v>0</v>
      </c>
      <c r="AD125" s="82">
        <f>IF(Consultas!AH125='Parâmetros'!$D$1,-10,5)</f>
        <v>5</v>
      </c>
      <c r="AE125" s="82">
        <f>IF(Consultas!AI125&gt;(Consultas!F125*2),-10,0)</f>
        <v>0</v>
      </c>
      <c r="AF125" s="82">
        <f>IF(Consultas!AD125&gt;1,(IF(Consultas!AI125&gt;(Consultas!AD125),-20,4)))</f>
        <v>4</v>
      </c>
      <c r="AG125" s="82">
        <f>IF(Consultas!AG125='Parâmetros'!$E$1,0,-6)</f>
        <v>0</v>
      </c>
      <c r="AH125" s="82">
        <f>IF(Consultas!AF125='Parâmetros'!$E$1,1,-5)</f>
        <v>1</v>
      </c>
      <c r="AI125" s="82">
        <f>IF(Consultas!AJ125&gt;700,8,IF(Consultas!AJ125&gt;500,4,IF(Consultas!AJ125&gt;200,-4,IF(Consultas!AJ125&gt;1,-15,-20))))</f>
        <v>-20</v>
      </c>
      <c r="AJ125" s="82">
        <f>IF(Consultas!AD125='Parâmetros'!$E$10,0,IF(Consultas!AD125&gt;'Parâmetros'!$A$30,12,IF(Consultas!AD125&gt;'Parâmetros'!$A$31,6,IF(Consultas!AD125&gt;'Parâmetros'!$A$32,0,IF(Consultas!AD125&gt;'Parâmetros'!$A$33,0,IF(Consultas!AD125&gt;'Parâmetros'!$A$34,-3,IF(Consultas!AD125&gt;'Parâmetros'!$A$35,-7,-1)))))))</f>
        <v>12</v>
      </c>
      <c r="AK125" s="82">
        <f>IF(Consultas!AO125='Parâmetros'!$D$1,3,-3)</f>
        <v>-3</v>
      </c>
      <c r="AL125" s="82">
        <f>IF(Consultas!AP125='Parâmetros'!$D$1,5,-3)</f>
        <v>-3</v>
      </c>
      <c r="AM125" s="82">
        <f>IF(Consultas!AL125="N",-6,0)</f>
        <v>0</v>
      </c>
      <c r="AN125" s="82">
        <f>IF(Consultas!AM125="N",-10,0)</f>
        <v>0</v>
      </c>
      <c r="AO125" s="82">
        <f>IF(Consultas!AN125="S",4,-2)</f>
        <v>-2</v>
      </c>
      <c r="AP125" s="39"/>
      <c r="AQ125" s="165">
        <f>IF(Consultas!F125&gt;1,(SUM(F125:AO125)),"N/A")</f>
        <v>15</v>
      </c>
      <c r="AR125" s="78" t="str">
        <f>IF((Consultas!AD125&gt;'Parâmetros'!$A$31),"X",AJ125+Y125+V125+AC125)</f>
        <v>X</v>
      </c>
      <c r="AS125" s="78" t="str">
        <f>IF((Consultas!AD125&gt;'Parâmetros'!$A$31),"X",(H125+I125+J125+Q125+T125+Y125+Z125+AJ125+AN125))</f>
        <v>X</v>
      </c>
      <c r="AT125" s="78">
        <f>IF((Consultas!AD125&lt;'Parâmetros'!$A$31),"X",(AD125+AC125+AB125))</f>
        <v>-1</v>
      </c>
      <c r="AU125" s="78">
        <f t="shared" si="1"/>
        <v>-1</v>
      </c>
      <c r="AV125" s="82" t="str">
        <f>IF(AQ125="N/A","N/A",IF(AQ125&gt;5,'Parâmetros'!$A$15,(IF(AU125=AR125,'Parâmetros'!$A$17,IF(AU125=AS125,'Parâmetros'!$A$16,'Parâmetros'!$A$14)))))</f>
        <v>SEM-RISCO</v>
      </c>
      <c r="AW125" s="86" t="str">
        <f>IF(AQ125="N/A","N/A",IF(AV125='Parâmetros'!$A$15,'Parâmetros'!$C$15,(IF(AV125='Parâmetros'!$A$17,'Parâmetros'!$C$17,IF(AV125='Parâmetros'!$A$16,'Parâmetros'!$C$16,IF(AV125='Parâmetros'!$A$14,'Parâmetros'!$C$12))))))</f>
        <v>LIBERADO</v>
      </c>
      <c r="AX125" s="82" t="str">
        <f>IF(Consultas!F125&gt;1,(IF(Consultas!F125&gt;5000,"SOLICITAR PED COMPRA","N/A")))</f>
        <v>N/A</v>
      </c>
      <c r="AY125" s="167" t="str">
        <f>IF(AND(Consultas!M125&lt;&gt;"S", Consultas!H125="S"), "CHECAGEM REVERSA", "N/A")</f>
        <v>N/A</v>
      </c>
      <c r="AZ125" s="167" t="str">
        <f>IF(Consultas!U125="N","PRECISA CORRIGIR END DIVERGENTE","N/A")</f>
        <v>N/A</v>
      </c>
    </row>
    <row r="126" ht="12.0" customHeight="1">
      <c r="A126" s="39" t="s">
        <v>90</v>
      </c>
      <c r="B126" s="82">
        <f>Consultas!B126</f>
        <v>286</v>
      </c>
      <c r="C126" s="82" t="str">
        <f>Consultas!D126</f>
        <v>Metalpleno</v>
      </c>
      <c r="D126" s="96" t="str">
        <f>Consultas!E126</f>
        <v>144490</v>
      </c>
      <c r="E126" s="104">
        <f>IF(Consultas!AB126&gt;0,YEAR('Parâmetros'!$B$1)-YEAR(Consultas!AB126),"NA")</f>
        <v>44</v>
      </c>
      <c r="F126" s="82">
        <f>IF(Consultas!F126&gt;'Parâmetros'!$B$2,-8,0)</f>
        <v>0</v>
      </c>
      <c r="G126" s="82">
        <f>IF(Consultas!H126='Parâmetros'!$E$1,100,0)</f>
        <v>0</v>
      </c>
      <c r="H126" s="82">
        <f>IF(Consultas!I126='Parâmetros'!$E$1,-4,12)</f>
        <v>-4</v>
      </c>
      <c r="I126" s="82">
        <f>IF(Consultas!J126='Parâmetros'!$E$1,1,-13)</f>
        <v>1</v>
      </c>
      <c r="J126" s="82">
        <f>IF(Consultas!K126='Parâmetros'!$E$1,2,-5)</f>
        <v>2</v>
      </c>
      <c r="K126" s="82" t="str">
        <f>IF(Consultas!L126='Parâmetros'!$D$1,"SOLIC CONTRATO DE ENTREGA","N/A")</f>
        <v>N/A</v>
      </c>
      <c r="L126" s="82">
        <f>IF(Consultas!R126='Parâmetros'!$E$1,1,-3)</f>
        <v>-3</v>
      </c>
      <c r="M126" s="82">
        <f>IF(Consultas!S126&gt;1,(IF(Consultas!S126='Parâmetros'!$E$1,-3,9)))</f>
        <v>9</v>
      </c>
      <c r="N126" s="82">
        <f>IF(Consultas!T126="S",23,0)</f>
        <v>0</v>
      </c>
      <c r="O126" s="82">
        <f>IF(Consultas!U126='Parâmetros'!$E$1,-3,3)</f>
        <v>3</v>
      </c>
      <c r="P126" s="82">
        <f>IF(Consultas!V126='Parâmetros'!$E$1,-100,2)</f>
        <v>2</v>
      </c>
      <c r="Q126" s="82">
        <f>IF(Consultas!M126='Parâmetros'!$D$1,2,-9)</f>
        <v>-9</v>
      </c>
      <c r="R126" s="82">
        <f>IF(Consultas!N126="RJ",-12,0)</f>
        <v>0</v>
      </c>
      <c r="S126" s="82">
        <f>IF(Consultas!O126="-",-3,IF(Consultas!O126=0,-6,IF(Consultas!O126=5,0,IF(Consultas!O126=10,6))))</f>
        <v>-6</v>
      </c>
      <c r="T126" s="82">
        <f>IF(Consultas!M126="S",0,(IF(Consultas!P126="S",6,0)))</f>
        <v>6</v>
      </c>
      <c r="U126" s="82">
        <f>IF(Consultas!Q126&gt;97,9,IF(Consultas!Q126&gt;75,0,-7))</f>
        <v>9</v>
      </c>
      <c r="V126" s="82">
        <f>IF(Consultas!W126='Parâmetros'!$E$1,1,-5)</f>
        <v>1</v>
      </c>
      <c r="W126" s="82">
        <f>IF(Consultas!X126="S",3,-3)</f>
        <v>3</v>
      </c>
      <c r="X126" s="82">
        <f>IF(Consultas!Y126="S",0,-7)</f>
        <v>0</v>
      </c>
      <c r="Y126" s="82">
        <f>IF(Consultas!Z126='Parâmetros'!$E$1,2,-8)</f>
        <v>2</v>
      </c>
      <c r="Z126" s="82">
        <f>IF(Consultas!AA126='Parâmetros'!$E$1,-15,1)</f>
        <v>1</v>
      </c>
      <c r="AA126" s="147" t="s">
        <v>140</v>
      </c>
      <c r="AB126" s="82">
        <f>IF(E126="NA","NA",IF(E126&gt;'Parâmetros'!$A$9,8,IF(E126&gt;'Parâmetros'!$A$8,4,IF(E126&gt;'Parâmetros'!$A$7,0,-6))))</f>
        <v>8</v>
      </c>
      <c r="AC126" s="82">
        <f>IF(Consultas!AC126='Parâmetros'!$E$1,0,5)</f>
        <v>5</v>
      </c>
      <c r="AD126" s="82">
        <f>IF(Consultas!AH126='Parâmetros'!$D$1,-10,5)</f>
        <v>5</v>
      </c>
      <c r="AE126" s="82">
        <f>IF(Consultas!AI126&gt;(Consultas!F126*2),-10,0)</f>
        <v>-10</v>
      </c>
      <c r="AF126" s="82">
        <f>IF(Consultas!AD126&gt;1,(IF(Consultas!AI126&gt;(Consultas!AD126),-20,4)))</f>
        <v>4</v>
      </c>
      <c r="AG126" s="82">
        <f>IF(Consultas!AG126='Parâmetros'!$E$1,0,-6)</f>
        <v>0</v>
      </c>
      <c r="AH126" s="82">
        <f>IF(Consultas!AF126='Parâmetros'!$E$1,1,-5)</f>
        <v>-5</v>
      </c>
      <c r="AI126" s="82">
        <f>IF(Consultas!AJ126&gt;700,8,IF(Consultas!AJ126&gt;500,4,IF(Consultas!AJ126&gt;200,-4,IF(Consultas!AJ126&gt;1,-15,-20))))</f>
        <v>-20</v>
      </c>
      <c r="AJ126" s="82">
        <f>IF(Consultas!AD126='Parâmetros'!$E$10,0,IF(Consultas!AD126&gt;'Parâmetros'!$A$30,12,IF(Consultas!AD126&gt;'Parâmetros'!$A$31,6,IF(Consultas!AD126&gt;'Parâmetros'!$A$32,0,IF(Consultas!AD126&gt;'Parâmetros'!$A$33,0,IF(Consultas!AD126&gt;'Parâmetros'!$A$34,-3,IF(Consultas!AD126&gt;'Parâmetros'!$A$35,-7,-1)))))))</f>
        <v>12</v>
      </c>
      <c r="AK126" s="82">
        <f>IF(Consultas!AO126='Parâmetros'!$D$1,3,-3)</f>
        <v>-3</v>
      </c>
      <c r="AL126" s="82">
        <f>IF(Consultas!AP126='Parâmetros'!$D$1,5,-3)</f>
        <v>-3</v>
      </c>
      <c r="AM126" s="82">
        <f>IF(Consultas!AL126="N",-6,0)</f>
        <v>0</v>
      </c>
      <c r="AN126" s="82">
        <f>IF(Consultas!AM126="N",-10,0)</f>
        <v>0</v>
      </c>
      <c r="AO126" s="82">
        <f>IF(Consultas!AN126="S",4,-2)</f>
        <v>-2</v>
      </c>
      <c r="AP126" s="39"/>
      <c r="AQ126" s="165">
        <f>IF(Consultas!F126&gt;1,(SUM(F126:AO126)),"N/A")</f>
        <v>8</v>
      </c>
      <c r="AR126" s="78" t="str">
        <f>IF((Consultas!AD126&gt;'Parâmetros'!$A$31),"X",AJ126+Y126+V126+AC126)</f>
        <v>X</v>
      </c>
      <c r="AS126" s="78" t="str">
        <f>IF((Consultas!AD126&gt;'Parâmetros'!$A$31),"X",(H126+I126+J126+Q126+T126+Y126+Z126+AJ126+AN126))</f>
        <v>X</v>
      </c>
      <c r="AT126" s="78">
        <f>IF((Consultas!AD126&lt;'Parâmetros'!$A$31),"X",(AD126+AC126+AB126))</f>
        <v>18</v>
      </c>
      <c r="AU126" s="78">
        <f t="shared" si="1"/>
        <v>18</v>
      </c>
      <c r="AV126" s="82" t="str">
        <f>IF(AQ126="N/A","N/A",IF(AQ126&gt;5,'Parâmetros'!$A$15,(IF(AU126=AR126,'Parâmetros'!$A$17,IF(AU126=AS126,'Parâmetros'!$A$16,'Parâmetros'!$A$14)))))</f>
        <v>SEM-RISCO</v>
      </c>
      <c r="AW126" s="86" t="str">
        <f>IF(AQ126="N/A","N/A",IF(AV126='Parâmetros'!$A$15,'Parâmetros'!$C$15,(IF(AV126='Parâmetros'!$A$17,'Parâmetros'!$C$17,IF(AV126='Parâmetros'!$A$16,'Parâmetros'!$C$16,IF(AV126='Parâmetros'!$A$14,'Parâmetros'!$C$12))))))</f>
        <v>LIBERADO</v>
      </c>
      <c r="AX126" s="82" t="str">
        <f>IF(Consultas!F126&gt;1,(IF(Consultas!F126&gt;5000,"SOLICITAR PED COMPRA","N/A")))</f>
        <v>N/A</v>
      </c>
      <c r="AY126" s="167" t="str">
        <f>IF(AND(Consultas!M126&lt;&gt;"S", Consultas!H126="S"), "CHECAGEM REVERSA", "N/A")</f>
        <v>CHECAGEM REVERSA</v>
      </c>
      <c r="AZ126" s="167" t="str">
        <f>IF(Consultas!U126="N","PRECISA CORRIGIR END DIVERGENTE","N/A")</f>
        <v>N/A</v>
      </c>
    </row>
    <row r="127" ht="12.0" customHeight="1">
      <c r="A127" s="39" t="s">
        <v>90</v>
      </c>
      <c r="B127" s="82">
        <f>Consultas!B127</f>
        <v>287</v>
      </c>
      <c r="C127" s="82" t="str">
        <f>Consultas!D127</f>
        <v>Metalpleno</v>
      </c>
      <c r="D127" s="96" t="str">
        <f>Consultas!E127</f>
        <v>144490</v>
      </c>
      <c r="E127" s="104">
        <f>IF(Consultas!AB127&gt;0,YEAR('Parâmetros'!$B$1)-YEAR(Consultas!AB127),"NA")</f>
        <v>44</v>
      </c>
      <c r="F127" s="82">
        <f>IF(Consultas!F127&gt;'Parâmetros'!$B$2,-8,0)</f>
        <v>0</v>
      </c>
      <c r="G127" s="82">
        <f>IF(Consultas!H127='Parâmetros'!$E$1,100,0)</f>
        <v>0</v>
      </c>
      <c r="H127" s="82">
        <f>IF(Consultas!I127='Parâmetros'!$E$1,-4,12)</f>
        <v>-4</v>
      </c>
      <c r="I127" s="82">
        <f>IF(Consultas!J127='Parâmetros'!$E$1,1,-13)</f>
        <v>1</v>
      </c>
      <c r="J127" s="82">
        <f>IF(Consultas!K127='Parâmetros'!$E$1,2,-5)</f>
        <v>2</v>
      </c>
      <c r="K127" s="82" t="str">
        <f>IF(Consultas!L127='Parâmetros'!$D$1,"SOLIC CONTRATO DE ENTREGA","N/A")</f>
        <v>N/A</v>
      </c>
      <c r="L127" s="82">
        <f>IF(Consultas!R127='Parâmetros'!$E$1,1,-3)</f>
        <v>-3</v>
      </c>
      <c r="M127" s="82">
        <f>IF(Consultas!S127&gt;1,(IF(Consultas!S127='Parâmetros'!$E$1,-3,9)))</f>
        <v>9</v>
      </c>
      <c r="N127" s="82">
        <f>IF(Consultas!T127="S",23,0)</f>
        <v>0</v>
      </c>
      <c r="O127" s="82">
        <f>IF(Consultas!U127='Parâmetros'!$E$1,-3,3)</f>
        <v>3</v>
      </c>
      <c r="P127" s="82">
        <f>IF(Consultas!V127='Parâmetros'!$E$1,-100,2)</f>
        <v>2</v>
      </c>
      <c r="Q127" s="82">
        <f>IF(Consultas!M127='Parâmetros'!$D$1,2,-9)</f>
        <v>-9</v>
      </c>
      <c r="R127" s="82">
        <f>IF(Consultas!N127="RJ",-12,0)</f>
        <v>0</v>
      </c>
      <c r="S127" s="82">
        <f>IF(Consultas!O127="-",-3,IF(Consultas!O127=0,-6,IF(Consultas!O127=5,0,IF(Consultas!O127=10,6))))</f>
        <v>-6</v>
      </c>
      <c r="T127" s="82">
        <f>IF(Consultas!M127="S",0,(IF(Consultas!P127="S",6,0)))</f>
        <v>6</v>
      </c>
      <c r="U127" s="82">
        <f>IF(Consultas!Q127&gt;97,9,IF(Consultas!Q127&gt;75,0,-7))</f>
        <v>9</v>
      </c>
      <c r="V127" s="82">
        <f>IF(Consultas!W127='Parâmetros'!$E$1,1,-5)</f>
        <v>1</v>
      </c>
      <c r="W127" s="82">
        <f>IF(Consultas!X127="S",3,-3)</f>
        <v>3</v>
      </c>
      <c r="X127" s="82">
        <f>IF(Consultas!Y127="S",0,-7)</f>
        <v>0</v>
      </c>
      <c r="Y127" s="82">
        <f>IF(Consultas!Z127='Parâmetros'!$E$1,2,-8)</f>
        <v>2</v>
      </c>
      <c r="Z127" s="82">
        <f>IF(Consultas!AA127='Parâmetros'!$E$1,-15,1)</f>
        <v>1</v>
      </c>
      <c r="AA127" s="147" t="s">
        <v>140</v>
      </c>
      <c r="AB127" s="82">
        <f>IF(E127="NA","NA",IF(E127&gt;'Parâmetros'!$A$9,8,IF(E127&gt;'Parâmetros'!$A$8,4,IF(E127&gt;'Parâmetros'!$A$7,0,-6))))</f>
        <v>8</v>
      </c>
      <c r="AC127" s="82">
        <f>IF(Consultas!AC127='Parâmetros'!$E$1,0,5)</f>
        <v>5</v>
      </c>
      <c r="AD127" s="82">
        <f>IF(Consultas!AH127='Parâmetros'!$D$1,-10,5)</f>
        <v>5</v>
      </c>
      <c r="AE127" s="82">
        <f>IF(Consultas!AI127&gt;(Consultas!F127*2),-10,0)</f>
        <v>-10</v>
      </c>
      <c r="AF127" s="82">
        <f>IF(Consultas!AD127&gt;1,(IF(Consultas!AI127&gt;(Consultas!AD127),-20,4)))</f>
        <v>4</v>
      </c>
      <c r="AG127" s="82">
        <f>IF(Consultas!AG127='Parâmetros'!$E$1,0,-6)</f>
        <v>0</v>
      </c>
      <c r="AH127" s="82">
        <f>IF(Consultas!AF127='Parâmetros'!$E$1,1,-5)</f>
        <v>-5</v>
      </c>
      <c r="AI127" s="82">
        <f>IF(Consultas!AJ127&gt;700,8,IF(Consultas!AJ127&gt;500,4,IF(Consultas!AJ127&gt;200,-4,IF(Consultas!AJ127&gt;1,-15,-20))))</f>
        <v>-20</v>
      </c>
      <c r="AJ127" s="82">
        <f>IF(Consultas!AD127='Parâmetros'!$E$10,0,IF(Consultas!AD127&gt;'Parâmetros'!$A$30,12,IF(Consultas!AD127&gt;'Parâmetros'!$A$31,6,IF(Consultas!AD127&gt;'Parâmetros'!$A$32,0,IF(Consultas!AD127&gt;'Parâmetros'!$A$33,0,IF(Consultas!AD127&gt;'Parâmetros'!$A$34,-3,IF(Consultas!AD127&gt;'Parâmetros'!$A$35,-7,-1)))))))</f>
        <v>12</v>
      </c>
      <c r="AK127" s="82">
        <f>IF(Consultas!AO127='Parâmetros'!$D$1,3,-3)</f>
        <v>-3</v>
      </c>
      <c r="AL127" s="82">
        <f>IF(Consultas!AP127='Parâmetros'!$D$1,5,-3)</f>
        <v>-3</v>
      </c>
      <c r="AM127" s="82">
        <f>IF(Consultas!AL127="N",-6,0)</f>
        <v>0</v>
      </c>
      <c r="AN127" s="82">
        <f>IF(Consultas!AM127="N",-10,0)</f>
        <v>0</v>
      </c>
      <c r="AO127" s="82">
        <f>IF(Consultas!AN127="S",4,-2)</f>
        <v>-2</v>
      </c>
      <c r="AP127" s="39"/>
      <c r="AQ127" s="165">
        <f>IF(Consultas!F127&gt;1,(SUM(F127:AO127)),"N/A")</f>
        <v>8</v>
      </c>
      <c r="AR127" s="78" t="str">
        <f>IF((Consultas!AD127&gt;'Parâmetros'!$A$31),"X",AJ127+Y127+V127+AC127)</f>
        <v>X</v>
      </c>
      <c r="AS127" s="78" t="str">
        <f>IF((Consultas!AD127&gt;'Parâmetros'!$A$31),"X",(H127+I127+J127+Q127+T127+Y127+Z127+AJ127+AN127))</f>
        <v>X</v>
      </c>
      <c r="AT127" s="78">
        <f>IF((Consultas!AD127&lt;'Parâmetros'!$A$31),"X",(AD127+AC127+AB127))</f>
        <v>18</v>
      </c>
      <c r="AU127" s="78">
        <f t="shared" si="1"/>
        <v>18</v>
      </c>
      <c r="AV127" s="82" t="str">
        <f>IF(AQ127="N/A","N/A",IF(AQ127&gt;5,'Parâmetros'!$A$15,(IF(AU127=AR127,'Parâmetros'!$A$17,IF(AU127=AS127,'Parâmetros'!$A$16,'Parâmetros'!$A$14)))))</f>
        <v>SEM-RISCO</v>
      </c>
      <c r="AW127" s="86" t="str">
        <f>IF(AQ127="N/A","N/A",IF(AV127='Parâmetros'!$A$15,'Parâmetros'!$C$15,(IF(AV127='Parâmetros'!$A$17,'Parâmetros'!$C$17,IF(AV127='Parâmetros'!$A$16,'Parâmetros'!$C$16,IF(AV127='Parâmetros'!$A$14,'Parâmetros'!$C$12))))))</f>
        <v>LIBERADO</v>
      </c>
      <c r="AX127" s="82" t="str">
        <f>IF(Consultas!F127&gt;1,(IF(Consultas!F127&gt;5000,"SOLICITAR PED COMPRA","N/A")))</f>
        <v>N/A</v>
      </c>
      <c r="AY127" s="167" t="str">
        <f>IF(AND(Consultas!M127&lt;&gt;"S", Consultas!H127="S"), "CHECAGEM REVERSA", "N/A")</f>
        <v>CHECAGEM REVERSA</v>
      </c>
      <c r="AZ127" s="167" t="str">
        <f>IF(Consultas!U127="N","PRECISA CORRIGIR END DIVERGENTE","N/A")</f>
        <v>N/A</v>
      </c>
    </row>
    <row r="128" ht="12.0" customHeight="1">
      <c r="A128" s="39" t="s">
        <v>90</v>
      </c>
      <c r="B128" s="82">
        <f>Consultas!B128</f>
        <v>661</v>
      </c>
      <c r="C128" s="82" t="str">
        <f>Consultas!D128</f>
        <v>Oaco</v>
      </c>
      <c r="D128" s="96" t="str">
        <f>Consultas!E128</f>
        <v>144669</v>
      </c>
      <c r="E128" s="104">
        <f>IF(Consultas!AB128&gt;0,YEAR('Parâmetros'!$B$1)-YEAR(Consultas!AB128),"NA")</f>
        <v>37</v>
      </c>
      <c r="F128" s="82">
        <f>IF(Consultas!F128&gt;'Parâmetros'!$B$2,-8,0)</f>
        <v>0</v>
      </c>
      <c r="G128" s="82">
        <f>IF(Consultas!H128='Parâmetros'!$E$1,100,0)</f>
        <v>0</v>
      </c>
      <c r="H128" s="82">
        <f>IF(Consultas!I128='Parâmetros'!$E$1,-4,12)</f>
        <v>-4</v>
      </c>
      <c r="I128" s="82">
        <f>IF(Consultas!J128='Parâmetros'!$E$1,1,-13)</f>
        <v>1</v>
      </c>
      <c r="J128" s="82">
        <f>IF(Consultas!K128='Parâmetros'!$E$1,2,-5)</f>
        <v>2</v>
      </c>
      <c r="K128" s="82" t="str">
        <f>IF(Consultas!L128='Parâmetros'!$D$1,"SOLIC CONTRATO DE ENTREGA","N/A")</f>
        <v>SOLIC CONTRATO DE ENTREGA</v>
      </c>
      <c r="L128" s="82">
        <f>IF(Consultas!R128='Parâmetros'!$E$1,1,-3)</f>
        <v>1</v>
      </c>
      <c r="M128" s="82">
        <f>IF(Consultas!S128&gt;1,(IF(Consultas!S128='Parâmetros'!$E$1,-3,9)))</f>
        <v>-3</v>
      </c>
      <c r="N128" s="82">
        <f>IF(Consultas!T128="S",23,0)</f>
        <v>0</v>
      </c>
      <c r="O128" s="82">
        <f>IF(Consultas!U128='Parâmetros'!$E$1,-3,3)</f>
        <v>3</v>
      </c>
      <c r="P128" s="82">
        <f>IF(Consultas!V128='Parâmetros'!$E$1,-100,2)</f>
        <v>2</v>
      </c>
      <c r="Q128" s="82">
        <f>IF(Consultas!M128='Parâmetros'!$D$1,2,-9)</f>
        <v>2</v>
      </c>
      <c r="R128" s="82">
        <f>IF(Consultas!N128="RJ",-12,0)</f>
        <v>0</v>
      </c>
      <c r="S128" s="82">
        <f>IF(Consultas!O128="-",-3,IF(Consultas!O128=0,-6,IF(Consultas!O128=5,0,IF(Consultas!O128=10,6))))</f>
        <v>-3</v>
      </c>
      <c r="T128" s="82">
        <f>IF(Consultas!M128="S",0,(IF(Consultas!P128="S",6,0)))</f>
        <v>0</v>
      </c>
      <c r="U128" s="82">
        <f>IF(Consultas!Q128&gt;97,9,IF(Consultas!Q128&gt;75,0,-7))</f>
        <v>9</v>
      </c>
      <c r="V128" s="82">
        <f>IF(Consultas!W128='Parâmetros'!$E$1,1,-5)</f>
        <v>-5</v>
      </c>
      <c r="W128" s="82">
        <f>IF(Consultas!X128="S",3,-3)</f>
        <v>3</v>
      </c>
      <c r="X128" s="82">
        <f>IF(Consultas!Y128="S",0,-7)</f>
        <v>0</v>
      </c>
      <c r="Y128" s="82">
        <f>IF(Consultas!Z128='Parâmetros'!$E$1,2,-8)</f>
        <v>2</v>
      </c>
      <c r="Z128" s="82">
        <f>IF(Consultas!AA128='Parâmetros'!$E$1,-15,1)</f>
        <v>1</v>
      </c>
      <c r="AA128" s="147" t="s">
        <v>140</v>
      </c>
      <c r="AB128" s="82">
        <f>IF(E128="NA","NA",IF(E128&gt;'Parâmetros'!$A$9,8,IF(E128&gt;'Parâmetros'!$A$8,4,IF(E128&gt;'Parâmetros'!$A$7,0,-6))))</f>
        <v>8</v>
      </c>
      <c r="AC128" s="82">
        <f>IF(Consultas!AC128='Parâmetros'!$E$1,0,5)</f>
        <v>5</v>
      </c>
      <c r="AD128" s="82">
        <f>IF(Consultas!AH128='Parâmetros'!$D$1,-10,5)</f>
        <v>-10</v>
      </c>
      <c r="AE128" s="82">
        <f>IF(Consultas!AI128&gt;(Consultas!F128*2),-10,0)</f>
        <v>-10</v>
      </c>
      <c r="AF128" s="82">
        <f>IF(Consultas!AD128&gt;1,(IF(Consultas!AI128&gt;(Consultas!AD128),-20,4)))</f>
        <v>4</v>
      </c>
      <c r="AG128" s="82">
        <f>IF(Consultas!AG128='Parâmetros'!$E$1,0,-6)</f>
        <v>0</v>
      </c>
      <c r="AH128" s="82">
        <f>IF(Consultas!AF128='Parâmetros'!$E$1,1,-5)</f>
        <v>-5</v>
      </c>
      <c r="AI128" s="82">
        <f>IF(Consultas!AJ128&gt;700,8,IF(Consultas!AJ128&gt;500,4,IF(Consultas!AJ128&gt;200,-4,IF(Consultas!AJ128&gt;1,-15,-20))))</f>
        <v>8</v>
      </c>
      <c r="AJ128" s="82">
        <f>IF(Consultas!AD128='Parâmetros'!$E$10,0,IF(Consultas!AD128&gt;'Parâmetros'!$A$30,12,IF(Consultas!AD128&gt;'Parâmetros'!$A$31,6,IF(Consultas!AD128&gt;'Parâmetros'!$A$32,0,IF(Consultas!AD128&gt;'Parâmetros'!$A$33,0,IF(Consultas!AD128&gt;'Parâmetros'!$A$34,-3,IF(Consultas!AD128&gt;'Parâmetros'!$A$35,-7,-1)))))))</f>
        <v>12</v>
      </c>
      <c r="AK128" s="82">
        <f>IF(Consultas!AO128='Parâmetros'!$D$1,3,-3)</f>
        <v>-3</v>
      </c>
      <c r="AL128" s="82">
        <f>IF(Consultas!AP128='Parâmetros'!$D$1,5,-3)</f>
        <v>-3</v>
      </c>
      <c r="AM128" s="82">
        <f>IF(Consultas!AL128="N",-6,0)</f>
        <v>0</v>
      </c>
      <c r="AN128" s="82">
        <f>IF(Consultas!AM128="N",-10,0)</f>
        <v>0</v>
      </c>
      <c r="AO128" s="82">
        <f>IF(Consultas!AN128="S",4,-2)</f>
        <v>-2</v>
      </c>
      <c r="AP128" s="39"/>
      <c r="AQ128" s="165">
        <f>IF(Consultas!F128&gt;1,(SUM(F128:AO128)),"N/A")</f>
        <v>15</v>
      </c>
      <c r="AR128" s="78" t="str">
        <f>IF((Consultas!AD128&gt;'Parâmetros'!$A$31),"X",AJ128+Y128+V128+AC128)</f>
        <v>X</v>
      </c>
      <c r="AS128" s="78" t="str">
        <f>IF((Consultas!AD128&gt;'Parâmetros'!$A$31),"X",(H128+I128+J128+Q128+T128+Y128+Z128+AJ128+AN128))</f>
        <v>X</v>
      </c>
      <c r="AT128" s="78">
        <f>IF((Consultas!AD128&lt;'Parâmetros'!$A$31),"X",(AD128+AC128+AB128))</f>
        <v>3</v>
      </c>
      <c r="AU128" s="78">
        <f t="shared" si="1"/>
        <v>3</v>
      </c>
      <c r="AV128" s="82" t="str">
        <f>IF(AQ128="N/A","N/A",IF(AQ128&gt;5,'Parâmetros'!$A$15,(IF(AU128=AR128,'Parâmetros'!$A$17,IF(AU128=AS128,'Parâmetros'!$A$16,'Parâmetros'!$A$14)))))</f>
        <v>SEM-RISCO</v>
      </c>
      <c r="AW128" s="86" t="str">
        <f>IF(AQ128="N/A","N/A",IF(AV128='Parâmetros'!$A$15,'Parâmetros'!$C$15,(IF(AV128='Parâmetros'!$A$17,'Parâmetros'!$C$17,IF(AV128='Parâmetros'!$A$16,'Parâmetros'!$C$16,IF(AV128='Parâmetros'!$A$14,'Parâmetros'!$C$12))))))</f>
        <v>LIBERADO</v>
      </c>
      <c r="AX128" s="82" t="str">
        <f>IF(Consultas!F128&gt;1,(IF(Consultas!F128&gt;5000,"SOLICITAR PED COMPRA","N/A")))</f>
        <v>N/A</v>
      </c>
      <c r="AY128" s="167" t="str">
        <f>IF(AND(Consultas!M128&lt;&gt;"S", Consultas!H128="S"), "CHECAGEM REVERSA", "N/A")</f>
        <v>N/A</v>
      </c>
      <c r="AZ128" s="167" t="str">
        <f>IF(Consultas!U128="N","PRECISA CORRIGIR END DIVERGENTE","N/A")</f>
        <v>N/A</v>
      </c>
    </row>
    <row r="129" ht="12.0" customHeight="1">
      <c r="A129" s="39" t="s">
        <v>90</v>
      </c>
      <c r="B129" s="82">
        <f>Consultas!B129</f>
        <v>290</v>
      </c>
      <c r="C129" s="82" t="str">
        <f>Consultas!D129</f>
        <v>Metalpleno</v>
      </c>
      <c r="D129" s="96" t="str">
        <f>Consultas!E129</f>
        <v>143505</v>
      </c>
      <c r="E129" s="104">
        <f>IF(Consultas!AB129&gt;0,YEAR('Parâmetros'!$B$1)-YEAR(Consultas!AB129),"NA")</f>
        <v>60</v>
      </c>
      <c r="F129" s="82">
        <f>IF(Consultas!F129&gt;'Parâmetros'!$B$2,-8,0)</f>
        <v>0</v>
      </c>
      <c r="G129" s="82">
        <f>IF(Consultas!H129='Parâmetros'!$E$1,100,0)</f>
        <v>0</v>
      </c>
      <c r="H129" s="82">
        <f>IF(Consultas!I129='Parâmetros'!$E$1,-4,12)</f>
        <v>-4</v>
      </c>
      <c r="I129" s="82">
        <f>IF(Consultas!J129='Parâmetros'!$E$1,1,-13)</f>
        <v>1</v>
      </c>
      <c r="J129" s="82">
        <f>IF(Consultas!K129='Parâmetros'!$E$1,2,-5)</f>
        <v>2</v>
      </c>
      <c r="K129" s="82" t="str">
        <f>IF(Consultas!L129='Parâmetros'!$D$1,"SOLIC CONTRATO DE ENTREGA","N/A")</f>
        <v>SOLIC CONTRATO DE ENTREGA</v>
      </c>
      <c r="L129" s="82">
        <f>IF(Consultas!R129='Parâmetros'!$E$1,1,-3)</f>
        <v>1</v>
      </c>
      <c r="M129" s="82">
        <f>IF(Consultas!S129&gt;1,(IF(Consultas!S129='Parâmetros'!$E$1,-3,9)))</f>
        <v>-3</v>
      </c>
      <c r="N129" s="82">
        <f>IF(Consultas!T129="S",23,0)</f>
        <v>0</v>
      </c>
      <c r="O129" s="82">
        <f>IF(Consultas!U129='Parâmetros'!$E$1,-3,3)</f>
        <v>3</v>
      </c>
      <c r="P129" s="82">
        <f>IF(Consultas!V129='Parâmetros'!$E$1,-100,2)</f>
        <v>2</v>
      </c>
      <c r="Q129" s="82">
        <f>IF(Consultas!M129='Parâmetros'!$D$1,2,-9)</f>
        <v>-9</v>
      </c>
      <c r="R129" s="82">
        <f>IF(Consultas!N129="RJ",-12,0)</f>
        <v>0</v>
      </c>
      <c r="S129" s="82">
        <f>IF(Consultas!O129="-",-3,IF(Consultas!O129=0,-6,IF(Consultas!O129=5,0,IF(Consultas!O129=10,6))))</f>
        <v>0</v>
      </c>
      <c r="T129" s="82">
        <f>IF(Consultas!M129="S",0,(IF(Consultas!P129="S",6,0)))</f>
        <v>0</v>
      </c>
      <c r="U129" s="82">
        <f>IF(Consultas!Q129&gt;97,9,IF(Consultas!Q129&gt;75,0,-7))</f>
        <v>9</v>
      </c>
      <c r="V129" s="82">
        <f>IF(Consultas!W129='Parâmetros'!$E$1,1,-5)</f>
        <v>1</v>
      </c>
      <c r="W129" s="82">
        <f>IF(Consultas!X129="S",3,-3)</f>
        <v>3</v>
      </c>
      <c r="X129" s="82">
        <f>IF(Consultas!Y129="S",0,-7)</f>
        <v>0</v>
      </c>
      <c r="Y129" s="82">
        <f>IF(Consultas!Z129='Parâmetros'!$E$1,2,-8)</f>
        <v>2</v>
      </c>
      <c r="Z129" s="82">
        <f>IF(Consultas!AA129='Parâmetros'!$E$1,-15,1)</f>
        <v>1</v>
      </c>
      <c r="AA129" s="147" t="s">
        <v>140</v>
      </c>
      <c r="AB129" s="82">
        <f>IF(E129="NA","NA",IF(E129&gt;'Parâmetros'!$A$9,8,IF(E129&gt;'Parâmetros'!$A$8,4,IF(E129&gt;'Parâmetros'!$A$7,0,-6))))</f>
        <v>8</v>
      </c>
      <c r="AC129" s="82">
        <f>IF(Consultas!AC129='Parâmetros'!$E$1,0,5)</f>
        <v>0</v>
      </c>
      <c r="AD129" s="82">
        <f>IF(Consultas!AH129='Parâmetros'!$D$1,-10,5)</f>
        <v>5</v>
      </c>
      <c r="AE129" s="82">
        <f>IF(Consultas!AI129&gt;(Consultas!F129*2),-10,0)</f>
        <v>0</v>
      </c>
      <c r="AF129" s="82">
        <f>IF(Consultas!AD129&gt;1,(IF(Consultas!AI129&gt;(Consultas!AD129),-20,4)))</f>
        <v>4</v>
      </c>
      <c r="AG129" s="82">
        <f>IF(Consultas!AG129='Parâmetros'!$E$1,0,-6)</f>
        <v>0</v>
      </c>
      <c r="AH129" s="82">
        <f>IF(Consultas!AF129='Parâmetros'!$E$1,1,-5)</f>
        <v>1</v>
      </c>
      <c r="AI129" s="82">
        <f>IF(Consultas!AJ129&gt;700,8,IF(Consultas!AJ129&gt;500,4,IF(Consultas!AJ129&gt;200,-4,IF(Consultas!AJ129&gt;1,-15,-20))))</f>
        <v>8</v>
      </c>
      <c r="AJ129" s="82">
        <f>IF(Consultas!AD129='Parâmetros'!$E$10,0,IF(Consultas!AD129&gt;'Parâmetros'!$A$30,12,IF(Consultas!AD129&gt;'Parâmetros'!$A$31,6,IF(Consultas!AD129&gt;'Parâmetros'!$A$32,0,IF(Consultas!AD129&gt;'Parâmetros'!$A$33,0,IF(Consultas!AD129&gt;'Parâmetros'!$A$34,-3,IF(Consultas!AD129&gt;'Parâmetros'!$A$35,-7,-1)))))))</f>
        <v>12</v>
      </c>
      <c r="AK129" s="82">
        <f>IF(Consultas!AO129='Parâmetros'!$D$1,3,-3)</f>
        <v>-3</v>
      </c>
      <c r="AL129" s="82">
        <f>IF(Consultas!AP129='Parâmetros'!$D$1,5,-3)</f>
        <v>-3</v>
      </c>
      <c r="AM129" s="82">
        <f>IF(Consultas!AL129="N",-6,0)</f>
        <v>0</v>
      </c>
      <c r="AN129" s="82">
        <f>IF(Consultas!AM129="N",-10,0)</f>
        <v>0</v>
      </c>
      <c r="AO129" s="82">
        <f>IF(Consultas!AN129="S",4,-2)</f>
        <v>-2</v>
      </c>
      <c r="AP129" s="39"/>
      <c r="AQ129" s="165">
        <f>IF(Consultas!F129&gt;1,(SUM(F129:AO129)),"N/A")</f>
        <v>39</v>
      </c>
      <c r="AR129" s="78" t="str">
        <f>IF((Consultas!AD129&gt;'Parâmetros'!$A$31),"X",AJ129+Y129+V129+AC129)</f>
        <v>X</v>
      </c>
      <c r="AS129" s="78" t="str">
        <f>IF((Consultas!AD129&gt;'Parâmetros'!$A$31),"X",(H129+I129+J129+Q129+T129+Y129+Z129+AJ129+AN129))</f>
        <v>X</v>
      </c>
      <c r="AT129" s="78">
        <f>IF((Consultas!AD129&lt;'Parâmetros'!$A$31),"X",(AD129+AC129+AB129))</f>
        <v>13</v>
      </c>
      <c r="AU129" s="78">
        <f t="shared" si="1"/>
        <v>13</v>
      </c>
      <c r="AV129" s="82" t="str">
        <f>IF(AQ129="N/A","N/A",IF(AQ129&gt;5,'Parâmetros'!$A$15,(IF(AU129=AR129,'Parâmetros'!$A$17,IF(AU129=AS129,'Parâmetros'!$A$16,'Parâmetros'!$A$14)))))</f>
        <v>SEM-RISCO</v>
      </c>
      <c r="AW129" s="86" t="str">
        <f>IF(AQ129="N/A","N/A",IF(AV129='Parâmetros'!$A$15,'Parâmetros'!$C$15,(IF(AV129='Parâmetros'!$A$17,'Parâmetros'!$C$17,IF(AV129='Parâmetros'!$A$16,'Parâmetros'!$C$16,IF(AV129='Parâmetros'!$A$14,'Parâmetros'!$C$12))))))</f>
        <v>LIBERADO</v>
      </c>
      <c r="AX129" s="82" t="str">
        <f>IF(Consultas!F129&gt;1,(IF(Consultas!F129&gt;5000,"SOLICITAR PED COMPRA","N/A")))</f>
        <v>SOLICITAR PED COMPRA</v>
      </c>
      <c r="AY129" s="167" t="str">
        <f>IF(AND(Consultas!M129&lt;&gt;"S", Consultas!H129="S"), "CHECAGEM REVERSA", "N/A")</f>
        <v>CHECAGEM REVERSA</v>
      </c>
      <c r="AZ129" s="167" t="str">
        <f>IF(Consultas!U129="N","PRECISA CORRIGIR END DIVERGENTE","N/A")</f>
        <v>N/A</v>
      </c>
    </row>
    <row r="130" ht="12.0" customHeight="1">
      <c r="A130" s="39" t="s">
        <v>90</v>
      </c>
      <c r="B130" s="82">
        <f>Consultas!B130</f>
        <v>293</v>
      </c>
      <c r="C130" s="82" t="str">
        <f>Consultas!D130</f>
        <v>Metalpleno</v>
      </c>
      <c r="D130" s="96" t="str">
        <f>Consultas!E130</f>
        <v>144676</v>
      </c>
      <c r="E130" s="104">
        <f>IF(Consultas!AB130&gt;0,YEAR('Parâmetros'!$B$1)-YEAR(Consultas!AB130),"NA")</f>
        <v>32</v>
      </c>
      <c r="F130" s="82">
        <f>IF(Consultas!F130&gt;'Parâmetros'!$B$2,-8,0)</f>
        <v>0</v>
      </c>
      <c r="G130" s="82">
        <f>IF(Consultas!H130='Parâmetros'!$E$1,100,0)</f>
        <v>0</v>
      </c>
      <c r="H130" s="82">
        <f>IF(Consultas!I130='Parâmetros'!$E$1,-4,12)</f>
        <v>-4</v>
      </c>
      <c r="I130" s="82">
        <f>IF(Consultas!J130='Parâmetros'!$E$1,1,-13)</f>
        <v>1</v>
      </c>
      <c r="J130" s="82">
        <f>IF(Consultas!K130='Parâmetros'!$E$1,2,-5)</f>
        <v>2</v>
      </c>
      <c r="K130" s="82" t="str">
        <f>IF(Consultas!L130='Parâmetros'!$D$1,"SOLIC CONTRATO DE ENTREGA","N/A")</f>
        <v>SOLIC CONTRATO DE ENTREGA</v>
      </c>
      <c r="L130" s="82">
        <f>IF(Consultas!R130='Parâmetros'!$E$1,1,-3)</f>
        <v>1</v>
      </c>
      <c r="M130" s="82">
        <f>IF(Consultas!S130&gt;1,(IF(Consultas!S130='Parâmetros'!$E$1,-3,9)))</f>
        <v>-3</v>
      </c>
      <c r="N130" s="82">
        <f>IF(Consultas!T130="S",23,0)</f>
        <v>0</v>
      </c>
      <c r="O130" s="82">
        <f>IF(Consultas!U130='Parâmetros'!$E$1,-3,3)</f>
        <v>3</v>
      </c>
      <c r="P130" s="82">
        <f>IF(Consultas!V130='Parâmetros'!$E$1,-100,2)</f>
        <v>2</v>
      </c>
      <c r="Q130" s="82">
        <f>IF(Consultas!M130='Parâmetros'!$D$1,2,-9)</f>
        <v>2</v>
      </c>
      <c r="R130" s="82">
        <f>IF(Consultas!N130="RJ",-12,0)</f>
        <v>0</v>
      </c>
      <c r="S130" s="82">
        <f>IF(Consultas!O130="-",-3,IF(Consultas!O130=0,-6,IF(Consultas!O130=5,0,IF(Consultas!O130=10,6))))</f>
        <v>0</v>
      </c>
      <c r="T130" s="82">
        <f>IF(Consultas!M130="S",0,(IF(Consultas!P130="S",6,0)))</f>
        <v>0</v>
      </c>
      <c r="U130" s="82">
        <f>IF(Consultas!Q130&gt;97,9,IF(Consultas!Q130&gt;75,0,-7))</f>
        <v>9</v>
      </c>
      <c r="V130" s="82">
        <f>IF(Consultas!W130='Parâmetros'!$E$1,1,-5)</f>
        <v>1</v>
      </c>
      <c r="W130" s="82">
        <f>IF(Consultas!X130="S",3,-3)</f>
        <v>3</v>
      </c>
      <c r="X130" s="82">
        <f>IF(Consultas!Y130="S",0,-7)</f>
        <v>0</v>
      </c>
      <c r="Y130" s="82">
        <f>IF(Consultas!Z130='Parâmetros'!$E$1,2,-8)</f>
        <v>2</v>
      </c>
      <c r="Z130" s="82">
        <f>IF(Consultas!AA130='Parâmetros'!$E$1,-15,1)</f>
        <v>1</v>
      </c>
      <c r="AA130" s="147" t="s">
        <v>140</v>
      </c>
      <c r="AB130" s="82">
        <f>IF(E130="NA","NA",IF(E130&gt;'Parâmetros'!$A$9,8,IF(E130&gt;'Parâmetros'!$A$8,4,IF(E130&gt;'Parâmetros'!$A$7,0,-6))))</f>
        <v>8</v>
      </c>
      <c r="AC130" s="82">
        <f>IF(Consultas!AC130='Parâmetros'!$E$1,0,5)</f>
        <v>0</v>
      </c>
      <c r="AD130" s="82">
        <f>IF(Consultas!AH130='Parâmetros'!$D$1,-10,5)</f>
        <v>-10</v>
      </c>
      <c r="AE130" s="82">
        <f>IF(Consultas!AI130&gt;(Consultas!F130*2),-10,0)</f>
        <v>0</v>
      </c>
      <c r="AF130" s="82">
        <f>IF(Consultas!AD130&gt;1,(IF(Consultas!AI130&gt;(Consultas!AD130),-20,4)))</f>
        <v>4</v>
      </c>
      <c r="AG130" s="82">
        <f>IF(Consultas!AG130='Parâmetros'!$E$1,0,-6)</f>
        <v>0</v>
      </c>
      <c r="AH130" s="82">
        <f>IF(Consultas!AF130='Parâmetros'!$E$1,1,-5)</f>
        <v>1</v>
      </c>
      <c r="AI130" s="82">
        <f>IF(Consultas!AJ130&gt;700,8,IF(Consultas!AJ130&gt;500,4,IF(Consultas!AJ130&gt;200,-4,IF(Consultas!AJ130&gt;1,-15,-20))))</f>
        <v>-4</v>
      </c>
      <c r="AJ130" s="82">
        <f>IF(Consultas!AD130='Parâmetros'!$E$10,0,IF(Consultas!AD130&gt;'Parâmetros'!$A$30,12,IF(Consultas!AD130&gt;'Parâmetros'!$A$31,6,IF(Consultas!AD130&gt;'Parâmetros'!$A$32,0,IF(Consultas!AD130&gt;'Parâmetros'!$A$33,0,IF(Consultas!AD130&gt;'Parâmetros'!$A$34,-3,IF(Consultas!AD130&gt;'Parâmetros'!$A$35,-7,-1)))))))</f>
        <v>12</v>
      </c>
      <c r="AK130" s="82">
        <f>IF(Consultas!AO130='Parâmetros'!$D$1,3,-3)</f>
        <v>-3</v>
      </c>
      <c r="AL130" s="82">
        <f>IF(Consultas!AP130='Parâmetros'!$D$1,5,-3)</f>
        <v>-3</v>
      </c>
      <c r="AM130" s="82">
        <f>IF(Consultas!AL130="N",-6,0)</f>
        <v>0</v>
      </c>
      <c r="AN130" s="82">
        <f>IF(Consultas!AM130="N",-10,0)</f>
        <v>0</v>
      </c>
      <c r="AO130" s="82">
        <f>IF(Consultas!AN130="S",4,-2)</f>
        <v>-2</v>
      </c>
      <c r="AP130" s="39"/>
      <c r="AQ130" s="165">
        <f>IF(Consultas!F130&gt;1,(SUM(F130:AO130)),"N/A")</f>
        <v>23</v>
      </c>
      <c r="AR130" s="78" t="str">
        <f>IF((Consultas!AD130&gt;'Parâmetros'!$A$31),"X",AJ130+Y130+V130+AC130)</f>
        <v>X</v>
      </c>
      <c r="AS130" s="78" t="str">
        <f>IF((Consultas!AD130&gt;'Parâmetros'!$A$31),"X",(H130+I130+J130+Q130+T130+Y130+Z130+AJ130+AN130))</f>
        <v>X</v>
      </c>
      <c r="AT130" s="78">
        <f>IF((Consultas!AD130&lt;'Parâmetros'!$A$31),"X",(AD130+AC130+AB130))</f>
        <v>-2</v>
      </c>
      <c r="AU130" s="78">
        <f t="shared" si="1"/>
        <v>-2</v>
      </c>
      <c r="AV130" s="82" t="str">
        <f>IF(AQ130="N/A","N/A",IF(AQ130&gt;5,'Parâmetros'!$A$15,(IF(AU130=AR130,'Parâmetros'!$A$17,IF(AU130=AS130,'Parâmetros'!$A$16,'Parâmetros'!$A$14)))))</f>
        <v>SEM-RISCO</v>
      </c>
      <c r="AW130" s="86" t="str">
        <f>IF(AQ130="N/A","N/A",IF(AV130='Parâmetros'!$A$15,'Parâmetros'!$C$15,(IF(AV130='Parâmetros'!$A$17,'Parâmetros'!$C$17,IF(AV130='Parâmetros'!$A$16,'Parâmetros'!$C$16,IF(AV130='Parâmetros'!$A$14,'Parâmetros'!$C$12))))))</f>
        <v>LIBERADO</v>
      </c>
      <c r="AX130" s="82" t="str">
        <f>IF(Consultas!F130&gt;1,(IF(Consultas!F130&gt;5000,"SOLICITAR PED COMPRA","N/A")))</f>
        <v>SOLICITAR PED COMPRA</v>
      </c>
      <c r="AY130" s="167" t="str">
        <f>IF(AND(Consultas!M130&lt;&gt;"S", Consultas!H130="S"), "CHECAGEM REVERSA", "N/A")</f>
        <v>N/A</v>
      </c>
      <c r="AZ130" s="167" t="str">
        <f>IF(Consultas!U130="N","PRECISA CORRIGIR END DIVERGENTE","N/A")</f>
        <v>N/A</v>
      </c>
    </row>
    <row r="131" ht="12.0" customHeight="1">
      <c r="A131" s="39" t="s">
        <v>90</v>
      </c>
      <c r="B131" s="82">
        <f>Consultas!B131</f>
        <v>294</v>
      </c>
      <c r="C131" s="82" t="str">
        <f>Consultas!D131</f>
        <v>Metalpleno</v>
      </c>
      <c r="D131" s="96" t="str">
        <f>Consultas!E131</f>
        <v>144677</v>
      </c>
      <c r="E131" s="104">
        <f>IF(Consultas!AB131&gt;0,YEAR('Parâmetros'!$B$1)-YEAR(Consultas!AB131),"NA")</f>
        <v>4</v>
      </c>
      <c r="F131" s="82">
        <f>IF(Consultas!F131&gt;'Parâmetros'!$B$2,-8,0)</f>
        <v>0</v>
      </c>
      <c r="G131" s="82">
        <f>IF(Consultas!H131='Parâmetros'!$E$1,100,0)</f>
        <v>0</v>
      </c>
      <c r="H131" s="82">
        <f>IF(Consultas!I131='Parâmetros'!$E$1,-4,12)</f>
        <v>-4</v>
      </c>
      <c r="I131" s="82">
        <f>IF(Consultas!J131='Parâmetros'!$E$1,1,-13)</f>
        <v>1</v>
      </c>
      <c r="J131" s="82">
        <f>IF(Consultas!K131='Parâmetros'!$E$1,2,-5)</f>
        <v>2</v>
      </c>
      <c r="K131" s="82" t="str">
        <f>IF(Consultas!L131='Parâmetros'!$D$1,"SOLIC CONTRATO DE ENTREGA","N/A")</f>
        <v>SOLIC CONTRATO DE ENTREGA</v>
      </c>
      <c r="L131" s="82">
        <f>IF(Consultas!R131='Parâmetros'!$E$1,1,-3)</f>
        <v>1</v>
      </c>
      <c r="M131" s="82">
        <f>IF(Consultas!S131&gt;1,(IF(Consultas!S131='Parâmetros'!$E$1,-3,9)))</f>
        <v>-3</v>
      </c>
      <c r="N131" s="82">
        <f>IF(Consultas!T131="S",23,0)</f>
        <v>0</v>
      </c>
      <c r="O131" s="82">
        <f>IF(Consultas!U131='Parâmetros'!$E$1,-3,3)</f>
        <v>3</v>
      </c>
      <c r="P131" s="82">
        <f>IF(Consultas!V131='Parâmetros'!$E$1,-100,2)</f>
        <v>2</v>
      </c>
      <c r="Q131" s="82">
        <f>IF(Consultas!M131='Parâmetros'!$D$1,2,-9)</f>
        <v>-9</v>
      </c>
      <c r="R131" s="82">
        <f>IF(Consultas!N131="RJ",-12,0)</f>
        <v>0</v>
      </c>
      <c r="S131" s="82">
        <f>IF(Consultas!O131="-",-3,IF(Consultas!O131=0,-6,IF(Consultas!O131=5,0,IF(Consultas!O131=10,6))))</f>
        <v>-6</v>
      </c>
      <c r="T131" s="82">
        <f>IF(Consultas!M131="S",0,(IF(Consultas!P131="S",6,0)))</f>
        <v>0</v>
      </c>
      <c r="U131" s="82">
        <f>IF(Consultas!Q131&gt;97,9,IF(Consultas!Q131&gt;75,0,-7))</f>
        <v>9</v>
      </c>
      <c r="V131" s="82">
        <f>IF(Consultas!W131='Parâmetros'!$E$1,1,-5)</f>
        <v>1</v>
      </c>
      <c r="W131" s="82">
        <f>IF(Consultas!X131="S",3,-3)</f>
        <v>3</v>
      </c>
      <c r="X131" s="82">
        <f>IF(Consultas!Y131="S",0,-7)</f>
        <v>0</v>
      </c>
      <c r="Y131" s="82">
        <f>IF(Consultas!Z131='Parâmetros'!$E$1,2,-8)</f>
        <v>2</v>
      </c>
      <c r="Z131" s="82">
        <f>IF(Consultas!AA131='Parâmetros'!$E$1,-15,1)</f>
        <v>1</v>
      </c>
      <c r="AA131" s="147" t="s">
        <v>140</v>
      </c>
      <c r="AB131" s="82">
        <f>IF(E131="NA","NA",IF(E131&gt;'Parâmetros'!$A$9,8,IF(E131&gt;'Parâmetros'!$A$8,4,IF(E131&gt;'Parâmetros'!$A$7,0,-6))))</f>
        <v>-6</v>
      </c>
      <c r="AC131" s="82">
        <f>IF(Consultas!AC131='Parâmetros'!$E$1,0,5)</f>
        <v>0</v>
      </c>
      <c r="AD131" s="82">
        <f>IF(Consultas!AH131='Parâmetros'!$D$1,-10,5)</f>
        <v>5</v>
      </c>
      <c r="AE131" s="82">
        <f>IF(Consultas!AI131&gt;(Consultas!F131*2),-10,0)</f>
        <v>0</v>
      </c>
      <c r="AF131" s="82">
        <f>IF(Consultas!AD131&gt;1,(IF(Consultas!AI131&gt;(Consultas!AD131),-20,4)))</f>
        <v>4</v>
      </c>
      <c r="AG131" s="82">
        <f>IF(Consultas!AG131='Parâmetros'!$E$1,0,-6)</f>
        <v>0</v>
      </c>
      <c r="AH131" s="82">
        <f>IF(Consultas!AF131='Parâmetros'!$E$1,1,-5)</f>
        <v>1</v>
      </c>
      <c r="AI131" s="82">
        <f>IF(Consultas!AJ131&gt;700,8,IF(Consultas!AJ131&gt;500,4,IF(Consultas!AJ131&gt;200,-4,IF(Consultas!AJ131&gt;1,-15,-20))))</f>
        <v>4</v>
      </c>
      <c r="AJ131" s="82">
        <f>IF(Consultas!AD131='Parâmetros'!$E$10,0,IF(Consultas!AD131&gt;'Parâmetros'!$A$30,12,IF(Consultas!AD131&gt;'Parâmetros'!$A$31,6,IF(Consultas!AD131&gt;'Parâmetros'!$A$32,0,IF(Consultas!AD131&gt;'Parâmetros'!$A$33,0,IF(Consultas!AD131&gt;'Parâmetros'!$A$34,-3,IF(Consultas!AD131&gt;'Parâmetros'!$A$35,-7,-1)))))))</f>
        <v>12</v>
      </c>
      <c r="AK131" s="82">
        <f>IF(Consultas!AO131='Parâmetros'!$D$1,3,-3)</f>
        <v>-3</v>
      </c>
      <c r="AL131" s="82">
        <f>IF(Consultas!AP131='Parâmetros'!$D$1,5,-3)</f>
        <v>-3</v>
      </c>
      <c r="AM131" s="82">
        <f>IF(Consultas!AL131="N",-6,0)</f>
        <v>-6</v>
      </c>
      <c r="AN131" s="82">
        <f>IF(Consultas!AM131="N",-10,0)</f>
        <v>-10</v>
      </c>
      <c r="AO131" s="82">
        <f>IF(Consultas!AN131="S",4,-2)</f>
        <v>-2</v>
      </c>
      <c r="AP131" s="39"/>
      <c r="AQ131" s="165">
        <f>IF(Consultas!F131&gt;1,(SUM(F131:AO131)),"N/A")</f>
        <v>-1</v>
      </c>
      <c r="AR131" s="78" t="str">
        <f>IF((Consultas!AD131&gt;'Parâmetros'!$A$31),"X",AJ131+Y131+V131+AC131)</f>
        <v>X</v>
      </c>
      <c r="AS131" s="78" t="str">
        <f>IF((Consultas!AD131&gt;'Parâmetros'!$A$31),"X",(H131+I131+J131+Q131+T131+Y131+Z131+AJ131+AN131))</f>
        <v>X</v>
      </c>
      <c r="AT131" s="78">
        <f>IF((Consultas!AD131&lt;'Parâmetros'!$A$31),"X",(AD131+AC131+AB131))</f>
        <v>-1</v>
      </c>
      <c r="AU131" s="78">
        <f t="shared" si="1"/>
        <v>-1</v>
      </c>
      <c r="AV131" s="78" t="str">
        <f>IF(AQ131="N/A","N/A",IF(AQ131&gt;5,'Parâmetros'!$A$15,(IF(AU131=AR131,'Parâmetros'!$A$17,IF(AU131=AS131,'Parâmetros'!$A$16,'Parâmetros'!$A$14)))))</f>
        <v>GRANDE-OU-FALINDO:</v>
      </c>
      <c r="AW131" s="86" t="str">
        <f>IF(AQ131="N/A","N/A",IF(AV131='Parâmetros'!$A$15,'Parâmetros'!$C$15,(IF(AV131='Parâmetros'!$A$17,'Parâmetros'!$C$17,IF(AV131='Parâmetros'!$A$16,'Parâmetros'!$C$16,IF(AV131='Parâmetros'!$A$14,'Parâmetros'!$C$12))))))</f>
        <v>SE FALINDO SÓ ANTECIPADO | SE GRANDE BUROCR PEGAR CONTATOS FINANCEIRO</v>
      </c>
      <c r="AX131" s="82" t="str">
        <f>IF(Consultas!F131&gt;1,(IF(Consultas!F131&gt;5000,"SOLICITAR PED COMPRA","N/A")))</f>
        <v>SOLICITAR PED COMPRA</v>
      </c>
      <c r="AY131" s="167" t="str">
        <f>IF(AND(Consultas!M131&lt;&gt;"S", Consultas!H131="S"), "CHECAGEM REVERSA", "N/A")</f>
        <v>CHECAGEM REVERSA</v>
      </c>
      <c r="AZ131" s="167" t="str">
        <f>IF(Consultas!U131="N","PRECISA CORRIGIR END DIVERGENTE","N/A")</f>
        <v>N/A</v>
      </c>
    </row>
    <row r="132" ht="12.0" customHeight="1">
      <c r="A132" s="39" t="s">
        <v>90</v>
      </c>
      <c r="B132" s="82">
        <f>Consultas!B132</f>
        <v>672</v>
      </c>
      <c r="C132" s="82" t="str">
        <f>Consultas!D132</f>
        <v>Oaco</v>
      </c>
      <c r="D132" s="96" t="str">
        <f>Consultas!E132</f>
        <v>002884</v>
      </c>
      <c r="E132" s="104">
        <f>IF(Consultas!AB132&gt;0,YEAR('Parâmetros'!$B$1)-YEAR(Consultas!AB132),"NA")</f>
        <v>53</v>
      </c>
      <c r="F132" s="82">
        <f>IF(Consultas!F132&gt;'Parâmetros'!$B$2,-8,0)</f>
        <v>0</v>
      </c>
      <c r="G132" s="82">
        <f>IF(Consultas!H132='Parâmetros'!$E$1,100,0)</f>
        <v>0</v>
      </c>
      <c r="H132" s="82">
        <f>IF(Consultas!I132='Parâmetros'!$E$1,-4,12)</f>
        <v>-4</v>
      </c>
      <c r="I132" s="82">
        <f>IF(Consultas!J132='Parâmetros'!$E$1,1,-13)</f>
        <v>1</v>
      </c>
      <c r="J132" s="82">
        <f>IF(Consultas!K132='Parâmetros'!$E$1,2,-5)</f>
        <v>2</v>
      </c>
      <c r="K132" s="82" t="str">
        <f>IF(Consultas!L132='Parâmetros'!$D$1,"SOLIC CONTRATO DE ENTREGA","N/A")</f>
        <v>SOLIC CONTRATO DE ENTREGA</v>
      </c>
      <c r="L132" s="82">
        <f>IF(Consultas!R132='Parâmetros'!$E$1,1,-3)</f>
        <v>1</v>
      </c>
      <c r="M132" s="82">
        <f>IF(Consultas!S132&gt;1,(IF(Consultas!S132='Parâmetros'!$E$1,-3,9)))</f>
        <v>-3</v>
      </c>
      <c r="N132" s="82">
        <f>IF(Consultas!T132="S",23,0)</f>
        <v>0</v>
      </c>
      <c r="O132" s="82">
        <f>IF(Consultas!U132='Parâmetros'!$E$1,-3,3)</f>
        <v>3</v>
      </c>
      <c r="P132" s="82">
        <f>IF(Consultas!V132='Parâmetros'!$E$1,-100,2)</f>
        <v>2</v>
      </c>
      <c r="Q132" s="82">
        <f>IF(Consultas!M132='Parâmetros'!$D$1,2,-9)</f>
        <v>2</v>
      </c>
      <c r="R132" s="82">
        <f>IF(Consultas!N132="RJ",-12,0)</f>
        <v>0</v>
      </c>
      <c r="S132" s="82">
        <f>IF(Consultas!O132="-",-3,IF(Consultas!O132=0,-6,IF(Consultas!O132=5,0,IF(Consultas!O132=10,6))))</f>
        <v>-3</v>
      </c>
      <c r="T132" s="82">
        <f>IF(Consultas!M132="S",0,(IF(Consultas!P132="S",6,0)))</f>
        <v>0</v>
      </c>
      <c r="U132" s="82">
        <f>IF(Consultas!Q132&gt;97,9,IF(Consultas!Q132&gt;75,0,-7))</f>
        <v>9</v>
      </c>
      <c r="V132" s="82">
        <f>IF(Consultas!W132='Parâmetros'!$E$1,1,-5)</f>
        <v>1</v>
      </c>
      <c r="W132" s="82">
        <f>IF(Consultas!X132="S",3,-3)</f>
        <v>3</v>
      </c>
      <c r="X132" s="82">
        <f>IF(Consultas!Y132="S",0,-7)</f>
        <v>0</v>
      </c>
      <c r="Y132" s="82">
        <f>IF(Consultas!Z132='Parâmetros'!$E$1,2,-8)</f>
        <v>2</v>
      </c>
      <c r="Z132" s="82">
        <f>IF(Consultas!AA132='Parâmetros'!$E$1,-15,1)</f>
        <v>1</v>
      </c>
      <c r="AA132" s="147" t="s">
        <v>140</v>
      </c>
      <c r="AB132" s="82">
        <f>IF(E132="NA","NA",IF(E132&gt;'Parâmetros'!$A$9,8,IF(E132&gt;'Parâmetros'!$A$8,4,IF(E132&gt;'Parâmetros'!$A$7,0,-6))))</f>
        <v>8</v>
      </c>
      <c r="AC132" s="82">
        <f>IF(Consultas!AC132='Parâmetros'!$E$1,0,5)</f>
        <v>0</v>
      </c>
      <c r="AD132" s="82">
        <f>IF(Consultas!AH132='Parâmetros'!$D$1,-10,5)</f>
        <v>-10</v>
      </c>
      <c r="AE132" s="82">
        <f>IF(Consultas!AI132&gt;(Consultas!F132*2),-10,0)</f>
        <v>-10</v>
      </c>
      <c r="AF132" s="82">
        <f>IF(Consultas!AD132&gt;1,(IF(Consultas!AI132&gt;(Consultas!AD132),-20,4)))</f>
        <v>4</v>
      </c>
      <c r="AG132" s="82">
        <f>IF(Consultas!AG132='Parâmetros'!$E$1,0,-6)</f>
        <v>0</v>
      </c>
      <c r="AH132" s="82">
        <f>IF(Consultas!AF132='Parâmetros'!$E$1,1,-5)</f>
        <v>-5</v>
      </c>
      <c r="AI132" s="82">
        <f>IF(Consultas!AJ132&gt;700,8,IF(Consultas!AJ132&gt;500,4,IF(Consultas!AJ132&gt;200,-4,IF(Consultas!AJ132&gt;1,-15,-20))))</f>
        <v>4</v>
      </c>
      <c r="AJ132" s="82">
        <f>IF(Consultas!AD132='Parâmetros'!$E$10,0,IF(Consultas!AD132&gt;'Parâmetros'!$A$30,12,IF(Consultas!AD132&gt;'Parâmetros'!$A$31,6,IF(Consultas!AD132&gt;'Parâmetros'!$A$32,0,IF(Consultas!AD132&gt;'Parâmetros'!$A$33,0,IF(Consultas!AD132&gt;'Parâmetros'!$A$34,-3,IF(Consultas!AD132&gt;'Parâmetros'!$A$35,-7,-1)))))))</f>
        <v>12</v>
      </c>
      <c r="AK132" s="82">
        <f>IF(Consultas!AO132='Parâmetros'!$D$1,3,-3)</f>
        <v>-3</v>
      </c>
      <c r="AL132" s="82">
        <f>IF(Consultas!AP132='Parâmetros'!$D$1,5,-3)</f>
        <v>-3</v>
      </c>
      <c r="AM132" s="82">
        <f>IF(Consultas!AL132="N",-6,0)</f>
        <v>0</v>
      </c>
      <c r="AN132" s="82">
        <f>IF(Consultas!AM132="N",-10,0)</f>
        <v>0</v>
      </c>
      <c r="AO132" s="82">
        <f>IF(Consultas!AN132="S",4,-2)</f>
        <v>-2</v>
      </c>
      <c r="AP132" s="39"/>
      <c r="AQ132" s="165">
        <f>IF(Consultas!F132&gt;1,(SUM(F132:AO132)),"N/A")</f>
        <v>12</v>
      </c>
      <c r="AR132" s="78" t="str">
        <f>IF((Consultas!AD132&gt;'Parâmetros'!$A$31),"X",AJ132+Y132+V132+AC132)</f>
        <v>X</v>
      </c>
      <c r="AS132" s="78" t="str">
        <f>IF((Consultas!AD132&gt;'Parâmetros'!$A$31),"X",(H132+I132+J132+Q132+T132+Y132+Z132+AJ132+AN132))</f>
        <v>X</v>
      </c>
      <c r="AT132" s="78">
        <f>IF((Consultas!AD132&lt;'Parâmetros'!$A$31),"X",(AD132+AC132+AB132))</f>
        <v>-2</v>
      </c>
      <c r="AU132" s="78">
        <f t="shared" si="1"/>
        <v>-2</v>
      </c>
      <c r="AV132" s="82" t="str">
        <f>IF(AQ132="N/A","N/A",IF(AQ132&gt;5,'Parâmetros'!$A$15,(IF(AU132=AR132,'Parâmetros'!$A$17,IF(AU132=AS132,'Parâmetros'!$A$16,'Parâmetros'!$A$14)))))</f>
        <v>SEM-RISCO</v>
      </c>
      <c r="AW132" s="86" t="str">
        <f>IF(AQ132="N/A","N/A",IF(AV132='Parâmetros'!$A$15,'Parâmetros'!$C$15,(IF(AV132='Parâmetros'!$A$17,'Parâmetros'!$C$17,IF(AV132='Parâmetros'!$A$16,'Parâmetros'!$C$16,IF(AV132='Parâmetros'!$A$14,'Parâmetros'!$C$12))))))</f>
        <v>LIBERADO</v>
      </c>
      <c r="AX132" s="82" t="str">
        <f>IF(Consultas!F132&gt;1,(IF(Consultas!F132&gt;5000,"SOLICITAR PED COMPRA","N/A")))</f>
        <v>N/A</v>
      </c>
      <c r="AY132" s="167" t="str">
        <f>IF(AND(Consultas!M132&lt;&gt;"S", Consultas!H132="S"), "CHECAGEM REVERSA", "N/A")</f>
        <v>N/A</v>
      </c>
      <c r="AZ132" s="167" t="str">
        <f>IF(Consultas!U132="N","PRECISA CORRIGIR END DIVERGENTE","N/A")</f>
        <v>N/A</v>
      </c>
    </row>
    <row r="133" ht="12.0" customHeight="1">
      <c r="A133" s="39" t="s">
        <v>90</v>
      </c>
      <c r="B133" s="82">
        <f>Consultas!B133</f>
        <v>298</v>
      </c>
      <c r="C133" s="82" t="str">
        <f>Consultas!D133</f>
        <v>Metalpleno</v>
      </c>
      <c r="D133" s="96" t="str">
        <f>Consultas!E133</f>
        <v>144160</v>
      </c>
      <c r="E133" s="104">
        <f>IF(Consultas!AB133&gt;0,YEAR('Parâmetros'!$B$1)-YEAR(Consultas!AB133),"NA")</f>
        <v>3</v>
      </c>
      <c r="F133" s="82">
        <f>IF(Consultas!F133&gt;'Parâmetros'!$B$2,-8,0)</f>
        <v>-8</v>
      </c>
      <c r="G133" s="82">
        <f>IF(Consultas!H133='Parâmetros'!$E$1,100,0)</f>
        <v>0</v>
      </c>
      <c r="H133" s="82">
        <f>IF(Consultas!I133='Parâmetros'!$E$1,-4,12)</f>
        <v>-4</v>
      </c>
      <c r="I133" s="82">
        <f>IF(Consultas!J133='Parâmetros'!$E$1,1,-13)</f>
        <v>1</v>
      </c>
      <c r="J133" s="82">
        <f>IF(Consultas!K133='Parâmetros'!$E$1,2,-5)</f>
        <v>2</v>
      </c>
      <c r="K133" s="82" t="str">
        <f>IF(Consultas!L133='Parâmetros'!$D$1,"SOLIC CONTRATO DE ENTREGA","N/A")</f>
        <v>SOLIC CONTRATO DE ENTREGA</v>
      </c>
      <c r="L133" s="82">
        <f>IF(Consultas!R133='Parâmetros'!$E$1,1,-3)</f>
        <v>-3</v>
      </c>
      <c r="M133" s="82">
        <f>IF(Consultas!S133&gt;1,(IF(Consultas!S133='Parâmetros'!$E$1,-3,9)))</f>
        <v>9</v>
      </c>
      <c r="N133" s="82">
        <f>IF(Consultas!T133="S",23,0)</f>
        <v>0</v>
      </c>
      <c r="O133" s="82">
        <f>IF(Consultas!U133='Parâmetros'!$E$1,-3,3)</f>
        <v>3</v>
      </c>
      <c r="P133" s="82">
        <f>IF(Consultas!V133='Parâmetros'!$E$1,-100,2)</f>
        <v>2</v>
      </c>
      <c r="Q133" s="82">
        <f>IF(Consultas!M133='Parâmetros'!$D$1,2,-9)</f>
        <v>-9</v>
      </c>
      <c r="R133" s="82">
        <f>IF(Consultas!N133="RJ",-12,0)</f>
        <v>0</v>
      </c>
      <c r="S133" s="82">
        <f>IF(Consultas!O133="-",-3,IF(Consultas!O133=0,-6,IF(Consultas!O133=5,0,IF(Consultas!O133=10,6))))</f>
        <v>-6</v>
      </c>
      <c r="T133" s="82">
        <f>IF(Consultas!M133="S",0,(IF(Consultas!P133="S",6,0)))</f>
        <v>0</v>
      </c>
      <c r="U133" s="82">
        <f>IF(Consultas!Q133&gt;97,9,IF(Consultas!Q133&gt;75,0,-7))</f>
        <v>9</v>
      </c>
      <c r="V133" s="82">
        <f>IF(Consultas!W133='Parâmetros'!$E$1,1,-5)</f>
        <v>1</v>
      </c>
      <c r="W133" s="82">
        <f>IF(Consultas!X133="S",3,-3)</f>
        <v>3</v>
      </c>
      <c r="X133" s="82">
        <f>IF(Consultas!Y133="S",0,-7)</f>
        <v>0</v>
      </c>
      <c r="Y133" s="82">
        <f>IF(Consultas!Z133='Parâmetros'!$E$1,2,-8)</f>
        <v>2</v>
      </c>
      <c r="Z133" s="82">
        <f>IF(Consultas!AA133='Parâmetros'!$E$1,-15,1)</f>
        <v>1</v>
      </c>
      <c r="AA133" s="147" t="s">
        <v>140</v>
      </c>
      <c r="AB133" s="82">
        <f>IF(E133="NA","NA",IF(E133&gt;'Parâmetros'!$A$9,8,IF(E133&gt;'Parâmetros'!$A$8,4,IF(E133&gt;'Parâmetros'!$A$7,0,-6))))</f>
        <v>-6</v>
      </c>
      <c r="AC133" s="82">
        <f>IF(Consultas!AC133='Parâmetros'!$E$1,0,5)</f>
        <v>0</v>
      </c>
      <c r="AD133" s="82">
        <f>IF(Consultas!AH133='Parâmetros'!$D$1,-10,5)</f>
        <v>5</v>
      </c>
      <c r="AE133" s="82">
        <f>IF(Consultas!AI133&gt;(Consultas!F133*2),-10,0)</f>
        <v>0</v>
      </c>
      <c r="AF133" s="82">
        <f>IF(Consultas!AD133&gt;1,(IF(Consultas!AI133&gt;(Consultas!AD133),-20,4)))</f>
        <v>4</v>
      </c>
      <c r="AG133" s="82">
        <f>IF(Consultas!AG133='Parâmetros'!$E$1,0,-6)</f>
        <v>0</v>
      </c>
      <c r="AH133" s="82">
        <f>IF(Consultas!AF133='Parâmetros'!$E$1,1,-5)</f>
        <v>1</v>
      </c>
      <c r="AI133" s="82">
        <f>IF(Consultas!AJ133&gt;700,8,IF(Consultas!AJ133&gt;500,4,IF(Consultas!AJ133&gt;200,-4,IF(Consultas!AJ133&gt;1,-15,-20))))</f>
        <v>4</v>
      </c>
      <c r="AJ133" s="82">
        <f>IF(Consultas!AD133='Parâmetros'!$E$10,0,IF(Consultas!AD133&gt;'Parâmetros'!$A$30,12,IF(Consultas!AD133&gt;'Parâmetros'!$A$31,6,IF(Consultas!AD133&gt;'Parâmetros'!$A$32,0,IF(Consultas!AD133&gt;'Parâmetros'!$A$33,0,IF(Consultas!AD133&gt;'Parâmetros'!$A$34,-3,IF(Consultas!AD133&gt;'Parâmetros'!$A$35,-7,-1)))))))</f>
        <v>12</v>
      </c>
      <c r="AK133" s="82">
        <f>IF(Consultas!AO133='Parâmetros'!$D$1,3,-3)</f>
        <v>-3</v>
      </c>
      <c r="AL133" s="82">
        <f>IF(Consultas!AP133='Parâmetros'!$D$1,5,-3)</f>
        <v>-3</v>
      </c>
      <c r="AM133" s="82">
        <f>IF(Consultas!AL133="N",-6,0)</f>
        <v>0</v>
      </c>
      <c r="AN133" s="82">
        <f>IF(Consultas!AM133="N",-10,0)</f>
        <v>0</v>
      </c>
      <c r="AO133" s="82">
        <f>IF(Consultas!AN133="S",4,-2)</f>
        <v>-2</v>
      </c>
      <c r="AP133" s="39"/>
      <c r="AQ133" s="165">
        <f>IF(Consultas!F133&gt;1,(SUM(F133:AO133)),"N/A")</f>
        <v>15</v>
      </c>
      <c r="AR133" s="78" t="str">
        <f>IF((Consultas!AD133&gt;'Parâmetros'!$A$31),"X",AJ133+Y133+V133+AC133)</f>
        <v>X</v>
      </c>
      <c r="AS133" s="78" t="str">
        <f>IF((Consultas!AD133&gt;'Parâmetros'!$A$31),"X",(H133+I133+J133+Q133+T133+Y133+Z133+AJ133+AN133))</f>
        <v>X</v>
      </c>
      <c r="AT133" s="78">
        <f>IF((Consultas!AD133&lt;'Parâmetros'!$A$31),"X",(AD133+AC133+AB133))</f>
        <v>-1</v>
      </c>
      <c r="AU133" s="78">
        <f t="shared" si="1"/>
        <v>-1</v>
      </c>
      <c r="AV133" s="82" t="str">
        <f>IF(AQ133="N/A","N/A",IF(AQ133&gt;5,'Parâmetros'!$A$15,(IF(AU133=AR133,'Parâmetros'!$A$17,IF(AU133=AS133,'Parâmetros'!$A$16,'Parâmetros'!$A$14)))))</f>
        <v>SEM-RISCO</v>
      </c>
      <c r="AW133" s="86" t="str">
        <f>IF(AQ133="N/A","N/A",IF(AV133='Parâmetros'!$A$15,'Parâmetros'!$C$15,(IF(AV133='Parâmetros'!$A$17,'Parâmetros'!$C$17,IF(AV133='Parâmetros'!$A$16,'Parâmetros'!$C$16,IF(AV133='Parâmetros'!$A$14,'Parâmetros'!$C$12))))))</f>
        <v>LIBERADO</v>
      </c>
      <c r="AX133" s="82" t="str">
        <f>IF(Consultas!F133&gt;1,(IF(Consultas!F133&gt;5000,"SOLICITAR PED COMPRA","N/A")))</f>
        <v>SOLICITAR PED COMPRA</v>
      </c>
      <c r="AY133" s="167" t="str">
        <f>IF(AND(Consultas!M133&lt;&gt;"S", Consultas!H133="S"), "CHECAGEM REVERSA", "N/A")</f>
        <v>CHECAGEM REVERSA</v>
      </c>
      <c r="AZ133" s="167" t="str">
        <f>IF(Consultas!U133="N","PRECISA CORRIGIR END DIVERGENTE","N/A")</f>
        <v>N/A</v>
      </c>
    </row>
    <row r="134" ht="12.0" customHeight="1">
      <c r="A134" s="39" t="s">
        <v>90</v>
      </c>
      <c r="B134" s="82" t="str">
        <f>Consultas!B134</f>
        <v>-</v>
      </c>
      <c r="C134" s="82" t="str">
        <f>Consultas!D134</f>
        <v>Metalpleno</v>
      </c>
      <c r="D134" s="96" t="str">
        <f>Consultas!E134</f>
        <v>-</v>
      </c>
      <c r="E134" s="104">
        <f>IF(Consultas!AB134&gt;0,YEAR('Parâmetros'!$B$1)-YEAR(Consultas!AB134),"NA")</f>
        <v>46</v>
      </c>
      <c r="F134" s="82">
        <f>IF(Consultas!F134&gt;'Parâmetros'!$B$2,-8,0)</f>
        <v>0</v>
      </c>
      <c r="G134" s="82">
        <f>IF(Consultas!H134='Parâmetros'!$E$1,100,0)</f>
        <v>0</v>
      </c>
      <c r="H134" s="82">
        <f>IF(Consultas!I134='Parâmetros'!$E$1,-4,12)</f>
        <v>12</v>
      </c>
      <c r="I134" s="82">
        <f>IF(Consultas!J134='Parâmetros'!$E$1,1,-13)</f>
        <v>1</v>
      </c>
      <c r="J134" s="82">
        <f>IF(Consultas!K134='Parâmetros'!$E$1,2,-5)</f>
        <v>2</v>
      </c>
      <c r="K134" s="82" t="str">
        <f>IF(Consultas!L134='Parâmetros'!$D$1,"SOLIC CONTRATO DE ENTREGA","N/A")</f>
        <v>SOLIC CONTRATO DE ENTREGA</v>
      </c>
      <c r="L134" s="82">
        <f>IF(Consultas!R134='Parâmetros'!$E$1,1,-3)</f>
        <v>1</v>
      </c>
      <c r="M134" s="82">
        <f>IF(Consultas!S134&gt;1,(IF(Consultas!S134='Parâmetros'!$E$1,-3,9)))</f>
        <v>-3</v>
      </c>
      <c r="N134" s="82">
        <f>IF(Consultas!T134="S",23,0)</f>
        <v>0</v>
      </c>
      <c r="O134" s="82">
        <f>IF(Consultas!U134='Parâmetros'!$E$1,-3,3)</f>
        <v>3</v>
      </c>
      <c r="P134" s="82">
        <f>IF(Consultas!V134='Parâmetros'!$E$1,-100,2)</f>
        <v>2</v>
      </c>
      <c r="Q134" s="82">
        <f>IF(Consultas!M134='Parâmetros'!$D$1,2,-9)</f>
        <v>2</v>
      </c>
      <c r="R134" s="82">
        <f>IF(Consultas!N134="RJ",-12,0)</f>
        <v>-12</v>
      </c>
      <c r="S134" s="82">
        <f>IF(Consultas!O134="-",-3,IF(Consultas!O134=0,-6,IF(Consultas!O134=5,0,IF(Consultas!O134=10,6))))</f>
        <v>0</v>
      </c>
      <c r="T134" s="82">
        <f>IF(Consultas!M134="S",0,(IF(Consultas!P134="S",6,0)))</f>
        <v>0</v>
      </c>
      <c r="U134" s="82">
        <f>IF(Consultas!Q134&gt;97,9,IF(Consultas!Q134&gt;75,0,-7))</f>
        <v>9</v>
      </c>
      <c r="V134" s="82">
        <f>IF(Consultas!W134='Parâmetros'!$E$1,1,-5)</f>
        <v>1</v>
      </c>
      <c r="W134" s="82">
        <f>IF(Consultas!X134="S",3,-3)</f>
        <v>3</v>
      </c>
      <c r="X134" s="82">
        <f>IF(Consultas!Y134="S",0,-7)</f>
        <v>0</v>
      </c>
      <c r="Y134" s="82">
        <f>IF(Consultas!Z134='Parâmetros'!$E$1,2,-8)</f>
        <v>2</v>
      </c>
      <c r="Z134" s="82">
        <f>IF(Consultas!AA134='Parâmetros'!$E$1,-15,1)</f>
        <v>1</v>
      </c>
      <c r="AA134" s="147" t="s">
        <v>140</v>
      </c>
      <c r="AB134" s="82">
        <f>IF(E134="NA","NA",IF(E134&gt;'Parâmetros'!$A$9,8,IF(E134&gt;'Parâmetros'!$A$8,4,IF(E134&gt;'Parâmetros'!$A$7,0,-6))))</f>
        <v>8</v>
      </c>
      <c r="AC134" s="82">
        <f>IF(Consultas!AC134='Parâmetros'!$E$1,0,5)</f>
        <v>5</v>
      </c>
      <c r="AD134" s="82">
        <f>IF(Consultas!AH134='Parâmetros'!$D$1,-10,5)</f>
        <v>-10</v>
      </c>
      <c r="AE134" s="82">
        <f>IF(Consultas!AI134&gt;(Consultas!F134*2),-10,0)</f>
        <v>0</v>
      </c>
      <c r="AF134" s="82">
        <f>IF(Consultas!AD134&gt;1,(IF(Consultas!AI134&gt;(Consultas!AD134),-20,4)))</f>
        <v>4</v>
      </c>
      <c r="AG134" s="82">
        <f>IF(Consultas!AG134='Parâmetros'!$E$1,0,-6)</f>
        <v>0</v>
      </c>
      <c r="AH134" s="82">
        <f>IF(Consultas!AF134='Parâmetros'!$E$1,1,-5)</f>
        <v>-5</v>
      </c>
      <c r="AI134" s="82">
        <f>IF(Consultas!AJ134&gt;700,8,IF(Consultas!AJ134&gt;500,4,IF(Consultas!AJ134&gt;200,-4,IF(Consultas!AJ134&gt;1,-15,-20))))</f>
        <v>-20</v>
      </c>
      <c r="AJ134" s="82">
        <f>IF(Consultas!AD134='Parâmetros'!$E$10,0,IF(Consultas!AD134&gt;'Parâmetros'!$A$30,12,IF(Consultas!AD134&gt;'Parâmetros'!$A$31,6,IF(Consultas!AD134&gt;'Parâmetros'!$A$32,0,IF(Consultas!AD134&gt;'Parâmetros'!$A$33,0,IF(Consultas!AD134&gt;'Parâmetros'!$A$34,-3,IF(Consultas!AD134&gt;'Parâmetros'!$A$35,-7,-1)))))))</f>
        <v>12</v>
      </c>
      <c r="AK134" s="82">
        <f>IF(Consultas!AO134='Parâmetros'!$D$1,3,-3)</f>
        <v>-3</v>
      </c>
      <c r="AL134" s="82">
        <f>IF(Consultas!AP134='Parâmetros'!$D$1,5,-3)</f>
        <v>-3</v>
      </c>
      <c r="AM134" s="82">
        <f>IF(Consultas!AL134="N",-6,0)</f>
        <v>0</v>
      </c>
      <c r="AN134" s="82">
        <f>IF(Consultas!AM134="N",-10,0)</f>
        <v>0</v>
      </c>
      <c r="AO134" s="82">
        <f>IF(Consultas!AN134="S",4,-2)</f>
        <v>-2</v>
      </c>
      <c r="AP134" s="39"/>
      <c r="AQ134" s="165">
        <f>IF(Consultas!F134&gt;1,(SUM(F134:AO134)),"N/A")</f>
        <v>10</v>
      </c>
      <c r="AR134" s="78" t="str">
        <f>IF((Consultas!AD134&gt;'Parâmetros'!$A$31),"X",AJ134+Y134+V134+AC134)</f>
        <v>X</v>
      </c>
      <c r="AS134" s="78" t="str">
        <f>IF((Consultas!AD134&gt;'Parâmetros'!$A$31),"X",(H134+I134+J134+Q134+T134+Y134+Z134+AJ134+AN134))</f>
        <v>X</v>
      </c>
      <c r="AT134" s="78">
        <f>IF((Consultas!AD134&lt;'Parâmetros'!$A$31),"X",(AD134+AC134+AB134))</f>
        <v>3</v>
      </c>
      <c r="AU134" s="78">
        <f t="shared" si="1"/>
        <v>3</v>
      </c>
      <c r="AV134" s="82" t="str">
        <f>IF(AQ134="N/A","N/A",IF(AQ134&gt;5,'Parâmetros'!$A$15,(IF(AU134=AR134,'Parâmetros'!$A$17,IF(AU134=AS134,'Parâmetros'!$A$16,'Parâmetros'!$A$14)))))</f>
        <v>SEM-RISCO</v>
      </c>
      <c r="AW134" s="86" t="str">
        <f>IF(AQ134="N/A","N/A",IF(AV134='Parâmetros'!$A$15,'Parâmetros'!$C$15,(IF(AV134='Parâmetros'!$A$17,'Parâmetros'!$C$17,IF(AV134='Parâmetros'!$A$16,'Parâmetros'!$C$16,IF(AV134='Parâmetros'!$A$14,'Parâmetros'!$C$12))))))</f>
        <v>LIBERADO</v>
      </c>
      <c r="AX134" s="82" t="str">
        <f>IF(Consultas!F134&gt;1,(IF(Consultas!F134&gt;5000,"SOLICITAR PED COMPRA","N/A")))</f>
        <v>SOLICITAR PED COMPRA</v>
      </c>
      <c r="AY134" s="167" t="str">
        <f>IF(AND(Consultas!M134&lt;&gt;"S", Consultas!H134="S"), "CHECAGEM REVERSA", "N/A")</f>
        <v>N/A</v>
      </c>
      <c r="AZ134" s="167" t="str">
        <f>IF(Consultas!U134="N","PRECISA CORRIGIR END DIVERGENTE","N/A")</f>
        <v>N/A</v>
      </c>
    </row>
    <row r="135" ht="12.0" customHeight="1">
      <c r="A135" s="39" t="s">
        <v>90</v>
      </c>
      <c r="B135" s="82">
        <f>Consultas!B135</f>
        <v>682</v>
      </c>
      <c r="C135" s="82" t="str">
        <f>Consultas!D135</f>
        <v>Oaco</v>
      </c>
      <c r="D135" s="96" t="str">
        <f>Consultas!E135</f>
        <v>142839</v>
      </c>
      <c r="E135" s="104">
        <f>IF(Consultas!AB135&gt;0,YEAR('Parâmetros'!$B$1)-YEAR(Consultas!AB135),"NA")</f>
        <v>10</v>
      </c>
      <c r="F135" s="82">
        <f>IF(Consultas!F135&gt;'Parâmetros'!$B$2,-8,0)</f>
        <v>0</v>
      </c>
      <c r="G135" s="82">
        <f>IF(Consultas!H135='Parâmetros'!$E$1,100,0)</f>
        <v>0</v>
      </c>
      <c r="H135" s="82">
        <f>IF(Consultas!I135='Parâmetros'!$E$1,-4,12)</f>
        <v>-4</v>
      </c>
      <c r="I135" s="82">
        <f>IF(Consultas!J135='Parâmetros'!$E$1,1,-13)</f>
        <v>1</v>
      </c>
      <c r="J135" s="82">
        <f>IF(Consultas!K135='Parâmetros'!$E$1,2,-5)</f>
        <v>2</v>
      </c>
      <c r="K135" s="82" t="str">
        <f>IF(Consultas!L135='Parâmetros'!$D$1,"SOLIC CONTRATO DE ENTREGA","N/A")</f>
        <v>SOLIC CONTRATO DE ENTREGA</v>
      </c>
      <c r="L135" s="82">
        <f>IF(Consultas!R135='Parâmetros'!$E$1,1,-3)</f>
        <v>1</v>
      </c>
      <c r="M135" s="82">
        <f>IF(Consultas!S135&gt;1,(IF(Consultas!S135='Parâmetros'!$E$1,-3,9)))</f>
        <v>9</v>
      </c>
      <c r="N135" s="82">
        <f>IF(Consultas!T135="S",23,0)</f>
        <v>23</v>
      </c>
      <c r="O135" s="82">
        <f>IF(Consultas!U135='Parâmetros'!$E$1,-3,3)</f>
        <v>3</v>
      </c>
      <c r="P135" s="82">
        <f>IF(Consultas!V135='Parâmetros'!$E$1,-100,2)</f>
        <v>2</v>
      </c>
      <c r="Q135" s="82">
        <f>IF(Consultas!M135='Parâmetros'!$D$1,2,-9)</f>
        <v>2</v>
      </c>
      <c r="R135" s="82">
        <f>IF(Consultas!N135="RJ",-12,0)</f>
        <v>0</v>
      </c>
      <c r="S135" s="82">
        <f>IF(Consultas!O135="-",-3,IF(Consultas!O135=0,-6,IF(Consultas!O135=5,0,IF(Consultas!O135=10,6))))</f>
        <v>-3</v>
      </c>
      <c r="T135" s="82">
        <f>IF(Consultas!M135="S",0,(IF(Consultas!P135="S",6,0)))</f>
        <v>0</v>
      </c>
      <c r="U135" s="82">
        <f>IF(Consultas!Q135&gt;97,9,IF(Consultas!Q135&gt;75,0,-7))</f>
        <v>9</v>
      </c>
      <c r="V135" s="82">
        <f>IF(Consultas!W135='Parâmetros'!$E$1,1,-5)</f>
        <v>-5</v>
      </c>
      <c r="W135" s="82">
        <f>IF(Consultas!X135="S",3,-3)</f>
        <v>3</v>
      </c>
      <c r="X135" s="82">
        <f>IF(Consultas!Y135="S",0,-7)</f>
        <v>0</v>
      </c>
      <c r="Y135" s="82">
        <f>IF(Consultas!Z135='Parâmetros'!$E$1,2,-8)</f>
        <v>2</v>
      </c>
      <c r="Z135" s="82">
        <f>IF(Consultas!AA135='Parâmetros'!$E$1,-15,1)</f>
        <v>1</v>
      </c>
      <c r="AA135" s="147" t="s">
        <v>140</v>
      </c>
      <c r="AB135" s="82">
        <f>IF(E135="NA","NA",IF(E135&gt;'Parâmetros'!$A$9,8,IF(E135&gt;'Parâmetros'!$A$8,4,IF(E135&gt;'Parâmetros'!$A$7,0,-6))))</f>
        <v>0</v>
      </c>
      <c r="AC135" s="82">
        <f>IF(Consultas!AC135='Parâmetros'!$E$1,0,5)</f>
        <v>5</v>
      </c>
      <c r="AD135" s="82">
        <f>IF(Consultas!AH135='Parâmetros'!$D$1,-10,5)</f>
        <v>-10</v>
      </c>
      <c r="AE135" s="82">
        <f>IF(Consultas!AI135&gt;(Consultas!F135*2),-10,0)</f>
        <v>-10</v>
      </c>
      <c r="AF135" s="82">
        <f>IF(Consultas!AD135&gt;1,(IF(Consultas!AI135&gt;(Consultas!AD135),-20,4)))</f>
        <v>4</v>
      </c>
      <c r="AG135" s="82">
        <f>IF(Consultas!AG135='Parâmetros'!$E$1,0,-6)</f>
        <v>0</v>
      </c>
      <c r="AH135" s="82">
        <f>IF(Consultas!AF135='Parâmetros'!$E$1,1,-5)</f>
        <v>-5</v>
      </c>
      <c r="AI135" s="82">
        <f>IF(Consultas!AJ135&gt;700,8,IF(Consultas!AJ135&gt;500,4,IF(Consultas!AJ135&gt;200,-4,IF(Consultas!AJ135&gt;1,-15,-20))))</f>
        <v>4</v>
      </c>
      <c r="AJ135" s="82">
        <f>IF(Consultas!AD135='Parâmetros'!$E$10,0,IF(Consultas!AD135&gt;'Parâmetros'!$A$30,12,IF(Consultas!AD135&gt;'Parâmetros'!$A$31,6,IF(Consultas!AD135&gt;'Parâmetros'!$A$32,0,IF(Consultas!AD135&gt;'Parâmetros'!$A$33,0,IF(Consultas!AD135&gt;'Parâmetros'!$A$34,-3,IF(Consultas!AD135&gt;'Parâmetros'!$A$35,-7,-1)))))))</f>
        <v>12</v>
      </c>
      <c r="AK135" s="82">
        <f>IF(Consultas!AO135='Parâmetros'!$D$1,3,-3)</f>
        <v>-3</v>
      </c>
      <c r="AL135" s="82">
        <f>IF(Consultas!AP135='Parâmetros'!$D$1,5,-3)</f>
        <v>-3</v>
      </c>
      <c r="AM135" s="82">
        <f>IF(Consultas!AL135="N",-6,0)</f>
        <v>0</v>
      </c>
      <c r="AN135" s="82">
        <f>IF(Consultas!AM135="N",-10,0)</f>
        <v>0</v>
      </c>
      <c r="AO135" s="82">
        <f>IF(Consultas!AN135="S",4,-2)</f>
        <v>-2</v>
      </c>
      <c r="AP135" s="39"/>
      <c r="AQ135" s="165">
        <f>IF(Consultas!F135&gt;1,(SUM(F135:AO135)),"N/A")</f>
        <v>38</v>
      </c>
      <c r="AR135" s="78" t="str">
        <f>IF((Consultas!AD135&gt;'Parâmetros'!$A$31),"X",AJ135+Y135+V135+AC135)</f>
        <v>X</v>
      </c>
      <c r="AS135" s="78" t="str">
        <f>IF((Consultas!AD135&gt;'Parâmetros'!$A$31),"X",(H135+I135+J135+Q135+T135+Y135+Z135+AJ135+AN135))</f>
        <v>X</v>
      </c>
      <c r="AT135" s="78">
        <f>IF((Consultas!AD135&lt;'Parâmetros'!$A$31),"X",(AD135+AC135+AB135))</f>
        <v>-5</v>
      </c>
      <c r="AU135" s="78">
        <f t="shared" si="1"/>
        <v>-5</v>
      </c>
      <c r="AV135" s="82" t="str">
        <f>IF(AQ135="N/A","N/A",IF(AQ135&gt;5,'Parâmetros'!$A$15,(IF(AU135=AR135,'Parâmetros'!$A$17,IF(AU135=AS135,'Parâmetros'!$A$16,'Parâmetros'!$A$14)))))</f>
        <v>SEM-RISCO</v>
      </c>
      <c r="AW135" s="86" t="str">
        <f>IF(AQ135="N/A","N/A",IF(AV135='Parâmetros'!$A$15,'Parâmetros'!$C$15,(IF(AV135='Parâmetros'!$A$17,'Parâmetros'!$C$17,IF(AV135='Parâmetros'!$A$16,'Parâmetros'!$C$16,IF(AV135='Parâmetros'!$A$14,'Parâmetros'!$C$12))))))</f>
        <v>LIBERADO</v>
      </c>
      <c r="AX135" s="82" t="str">
        <f>IF(Consultas!F135&gt;1,(IF(Consultas!F135&gt;5000,"SOLICITAR PED COMPRA","N/A")))</f>
        <v>N/A</v>
      </c>
      <c r="AY135" s="167" t="str">
        <f>IF(AND(Consultas!M135&lt;&gt;"S", Consultas!H135="S"), "CHECAGEM REVERSA", "N/A")</f>
        <v>N/A</v>
      </c>
      <c r="AZ135" s="167" t="str">
        <f>IF(Consultas!U135="N","PRECISA CORRIGIR END DIVERGENTE","N/A")</f>
        <v>N/A</v>
      </c>
    </row>
    <row r="136" ht="12.0" customHeight="1">
      <c r="A136" s="39" t="s">
        <v>90</v>
      </c>
      <c r="B136" s="82">
        <f>Consultas!B136</f>
        <v>677</v>
      </c>
      <c r="C136" s="82" t="str">
        <f>Consultas!D136</f>
        <v>Oaco</v>
      </c>
      <c r="D136" s="96" t="str">
        <f>Consultas!E136</f>
        <v>014021</v>
      </c>
      <c r="E136" s="104">
        <f>IF(Consultas!AB136&gt;0,YEAR('Parâmetros'!$B$1)-YEAR(Consultas!AB136),"NA")</f>
        <v>15</v>
      </c>
      <c r="F136" s="82">
        <f>IF(Consultas!F136&gt;'Parâmetros'!$B$2,-8,0)</f>
        <v>0</v>
      </c>
      <c r="G136" s="82">
        <f>IF(Consultas!H136='Parâmetros'!$E$1,100,0)</f>
        <v>0</v>
      </c>
      <c r="H136" s="82">
        <f>IF(Consultas!I136='Parâmetros'!$E$1,-4,12)</f>
        <v>-4</v>
      </c>
      <c r="I136" s="82">
        <f>IF(Consultas!J136='Parâmetros'!$E$1,1,-13)</f>
        <v>1</v>
      </c>
      <c r="J136" s="82">
        <f>IF(Consultas!K136='Parâmetros'!$E$1,2,-5)</f>
        <v>2</v>
      </c>
      <c r="K136" s="82" t="str">
        <f>IF(Consultas!L136='Parâmetros'!$D$1,"SOLIC CONTRATO DE ENTREGA","N/A")</f>
        <v>N/A</v>
      </c>
      <c r="L136" s="82">
        <f>IF(Consultas!R136='Parâmetros'!$E$1,1,-3)</f>
        <v>1</v>
      </c>
      <c r="M136" s="82">
        <f>IF(Consultas!S136&gt;1,(IF(Consultas!S136='Parâmetros'!$E$1,-3,9)))</f>
        <v>9</v>
      </c>
      <c r="N136" s="82">
        <f>IF(Consultas!T136="S",23,0)</f>
        <v>23</v>
      </c>
      <c r="O136" s="82">
        <f>IF(Consultas!U136='Parâmetros'!$E$1,-3,3)</f>
        <v>3</v>
      </c>
      <c r="P136" s="82">
        <f>IF(Consultas!V136='Parâmetros'!$E$1,-100,2)</f>
        <v>2</v>
      </c>
      <c r="Q136" s="82">
        <f>IF(Consultas!M136='Parâmetros'!$D$1,2,-9)</f>
        <v>2</v>
      </c>
      <c r="R136" s="82">
        <f>IF(Consultas!N136="RJ",-12,0)</f>
        <v>0</v>
      </c>
      <c r="S136" s="82">
        <f>IF(Consultas!O136="-",-3,IF(Consultas!O136=0,-6,IF(Consultas!O136=5,0,IF(Consultas!O136=10,6))))</f>
        <v>-3</v>
      </c>
      <c r="T136" s="82">
        <f>IF(Consultas!M136="S",0,(IF(Consultas!P136="S",6,0)))</f>
        <v>0</v>
      </c>
      <c r="U136" s="82">
        <f>IF(Consultas!Q136&gt;97,9,IF(Consultas!Q136&gt;75,0,-7))</f>
        <v>9</v>
      </c>
      <c r="V136" s="82">
        <f>IF(Consultas!W136='Parâmetros'!$E$1,1,-5)</f>
        <v>1</v>
      </c>
      <c r="W136" s="82">
        <f>IF(Consultas!X136="S",3,-3)</f>
        <v>3</v>
      </c>
      <c r="X136" s="82">
        <f>IF(Consultas!Y136="S",0,-7)</f>
        <v>0</v>
      </c>
      <c r="Y136" s="82">
        <f>IF(Consultas!Z136='Parâmetros'!$E$1,2,-8)</f>
        <v>2</v>
      </c>
      <c r="Z136" s="82">
        <f>IF(Consultas!AA136='Parâmetros'!$E$1,-15,1)</f>
        <v>1</v>
      </c>
      <c r="AA136" s="147" t="s">
        <v>140</v>
      </c>
      <c r="AB136" s="82">
        <f>IF(E136="NA","NA",IF(E136&gt;'Parâmetros'!$A$9,8,IF(E136&gt;'Parâmetros'!$A$8,4,IF(E136&gt;'Parâmetros'!$A$7,0,-6))))</f>
        <v>0</v>
      </c>
      <c r="AC136" s="82">
        <f>IF(Consultas!AC136='Parâmetros'!$E$1,0,5)</f>
        <v>5</v>
      </c>
      <c r="AD136" s="82">
        <f>IF(Consultas!AH136='Parâmetros'!$D$1,-10,5)</f>
        <v>-10</v>
      </c>
      <c r="AE136" s="82">
        <f>IF(Consultas!AI136&gt;(Consultas!F136*2),-10,0)</f>
        <v>-10</v>
      </c>
      <c r="AF136" s="82">
        <f>IF(Consultas!AD136&gt;1,(IF(Consultas!AI136&gt;(Consultas!AD136),-20,4)))</f>
        <v>4</v>
      </c>
      <c r="AG136" s="82">
        <f>IF(Consultas!AG136='Parâmetros'!$E$1,0,-6)</f>
        <v>0</v>
      </c>
      <c r="AH136" s="82">
        <f>IF(Consultas!AF136='Parâmetros'!$E$1,1,-5)</f>
        <v>1</v>
      </c>
      <c r="AI136" s="82">
        <f>IF(Consultas!AJ136&gt;700,8,IF(Consultas!AJ136&gt;500,4,IF(Consultas!AJ136&gt;200,-4,IF(Consultas!AJ136&gt;1,-15,-20))))</f>
        <v>8</v>
      </c>
      <c r="AJ136" s="82">
        <f>IF(Consultas!AD136='Parâmetros'!$E$10,0,IF(Consultas!AD136&gt;'Parâmetros'!$A$30,12,IF(Consultas!AD136&gt;'Parâmetros'!$A$31,6,IF(Consultas!AD136&gt;'Parâmetros'!$A$32,0,IF(Consultas!AD136&gt;'Parâmetros'!$A$33,0,IF(Consultas!AD136&gt;'Parâmetros'!$A$34,-3,IF(Consultas!AD136&gt;'Parâmetros'!$A$35,-7,-1)))))))</f>
        <v>12</v>
      </c>
      <c r="AK136" s="82">
        <f>IF(Consultas!AO136='Parâmetros'!$D$1,3,-3)</f>
        <v>-3</v>
      </c>
      <c r="AL136" s="82">
        <f>IF(Consultas!AP136='Parâmetros'!$D$1,5,-3)</f>
        <v>-3</v>
      </c>
      <c r="AM136" s="82">
        <f>IF(Consultas!AL136="N",-6,0)</f>
        <v>0</v>
      </c>
      <c r="AN136" s="82">
        <f>IF(Consultas!AM136="N",-10,0)</f>
        <v>0</v>
      </c>
      <c r="AO136" s="82">
        <f>IF(Consultas!AN136="S",4,-2)</f>
        <v>-2</v>
      </c>
      <c r="AP136" s="39"/>
      <c r="AQ136" s="165">
        <f>IF(Consultas!F136&gt;1,(SUM(F136:AO136)),"N/A")</f>
        <v>54</v>
      </c>
      <c r="AR136" s="78" t="str">
        <f>IF((Consultas!AD136&gt;'Parâmetros'!$A$31),"X",AJ136+Y136+V136+AC136)</f>
        <v>X</v>
      </c>
      <c r="AS136" s="78" t="str">
        <f>IF((Consultas!AD136&gt;'Parâmetros'!$A$31),"X",(H136+I136+J136+Q136+T136+Y136+Z136+AJ136+AN136))</f>
        <v>X</v>
      </c>
      <c r="AT136" s="78">
        <f>IF((Consultas!AD136&lt;'Parâmetros'!$A$31),"X",(AD136+AC136+AB136))</f>
        <v>-5</v>
      </c>
      <c r="AU136" s="78">
        <f t="shared" si="1"/>
        <v>-5</v>
      </c>
      <c r="AV136" s="82" t="str">
        <f>IF(AQ136="N/A","N/A",IF(AQ136&gt;5,'Parâmetros'!$A$15,(IF(AU136=AR136,'Parâmetros'!$A$17,IF(AU136=AS136,'Parâmetros'!$A$16,'Parâmetros'!$A$14)))))</f>
        <v>SEM-RISCO</v>
      </c>
      <c r="AW136" s="86" t="str">
        <f>IF(AQ136="N/A","N/A",IF(AV136='Parâmetros'!$A$15,'Parâmetros'!$C$15,(IF(AV136='Parâmetros'!$A$17,'Parâmetros'!$C$17,IF(AV136='Parâmetros'!$A$16,'Parâmetros'!$C$16,IF(AV136='Parâmetros'!$A$14,'Parâmetros'!$C$12))))))</f>
        <v>LIBERADO</v>
      </c>
      <c r="AX136" s="82" t="str">
        <f>IF(Consultas!F136&gt;1,(IF(Consultas!F136&gt;5000,"SOLICITAR PED COMPRA","N/A")))</f>
        <v>N/A</v>
      </c>
      <c r="AY136" s="167" t="str">
        <f>IF(AND(Consultas!M136&lt;&gt;"S", Consultas!H136="S"), "CHECAGEM REVERSA", "N/A")</f>
        <v>N/A</v>
      </c>
      <c r="AZ136" s="167" t="str">
        <f>IF(Consultas!U136="N","PRECISA CORRIGIR END DIVERGENTE","N/A")</f>
        <v>N/A</v>
      </c>
    </row>
    <row r="137" ht="12.0" customHeight="1">
      <c r="A137" s="39" t="s">
        <v>90</v>
      </c>
      <c r="B137" s="82" t="str">
        <f>Consultas!B137</f>
        <v>-</v>
      </c>
      <c r="C137" s="82" t="str">
        <f>Consultas!D137</f>
        <v>Metalpleno</v>
      </c>
      <c r="D137" s="96" t="str">
        <f>Consultas!E137</f>
        <v>-</v>
      </c>
      <c r="E137" s="104">
        <f>IF(Consultas!AB137&gt;0,YEAR('Parâmetros'!$B$1)-YEAR(Consultas!AB137),"NA")</f>
        <v>7</v>
      </c>
      <c r="F137" s="82">
        <f>IF(Consultas!F137&gt;'Parâmetros'!$B$2,-8,0)</f>
        <v>0</v>
      </c>
      <c r="G137" s="82">
        <f>IF(Consultas!H137='Parâmetros'!$E$1,100,0)</f>
        <v>0</v>
      </c>
      <c r="H137" s="82">
        <f>IF(Consultas!I137='Parâmetros'!$E$1,-4,12)</f>
        <v>-4</v>
      </c>
      <c r="I137" s="82">
        <f>IF(Consultas!J137='Parâmetros'!$E$1,1,-13)</f>
        <v>1</v>
      </c>
      <c r="J137" s="82">
        <f>IF(Consultas!K137='Parâmetros'!$E$1,2,-5)</f>
        <v>2</v>
      </c>
      <c r="K137" s="82" t="str">
        <f>IF(Consultas!L137='Parâmetros'!$D$1,"SOLIC CONTRATO DE ENTREGA","N/A")</f>
        <v>SOLIC CONTRATO DE ENTREGA</v>
      </c>
      <c r="L137" s="82">
        <f>IF(Consultas!R137='Parâmetros'!$E$1,1,-3)</f>
        <v>1</v>
      </c>
      <c r="M137" s="82">
        <f>IF(Consultas!S137&gt;1,(IF(Consultas!S137='Parâmetros'!$E$1,-3,9)))</f>
        <v>-3</v>
      </c>
      <c r="N137" s="82">
        <f>IF(Consultas!T137="S",23,0)</f>
        <v>0</v>
      </c>
      <c r="O137" s="82">
        <f>IF(Consultas!U137='Parâmetros'!$E$1,-3,3)</f>
        <v>3</v>
      </c>
      <c r="P137" s="82">
        <f>IF(Consultas!V137='Parâmetros'!$E$1,-100,2)</f>
        <v>2</v>
      </c>
      <c r="Q137" s="82">
        <f>IF(Consultas!M137='Parâmetros'!$D$1,2,-9)</f>
        <v>2</v>
      </c>
      <c r="R137" s="82">
        <f>IF(Consultas!N137="RJ",-12,0)</f>
        <v>0</v>
      </c>
      <c r="S137" s="82">
        <f>IF(Consultas!O137="-",-3,IF(Consultas!O137=0,-6,IF(Consultas!O137=5,0,IF(Consultas!O137=10,6))))</f>
        <v>0</v>
      </c>
      <c r="T137" s="82">
        <f>IF(Consultas!M137="S",0,(IF(Consultas!P137="S",6,0)))</f>
        <v>0</v>
      </c>
      <c r="U137" s="82">
        <f>IF(Consultas!Q137&gt;97,9,IF(Consultas!Q137&gt;75,0,-7))</f>
        <v>9</v>
      </c>
      <c r="V137" s="82">
        <f>IF(Consultas!W137='Parâmetros'!$E$1,1,-5)</f>
        <v>-5</v>
      </c>
      <c r="W137" s="82">
        <f>IF(Consultas!X137="S",3,-3)</f>
        <v>3</v>
      </c>
      <c r="X137" s="82">
        <f>IF(Consultas!Y137="S",0,-7)</f>
        <v>0</v>
      </c>
      <c r="Y137" s="82">
        <f>IF(Consultas!Z137='Parâmetros'!$E$1,2,-8)</f>
        <v>2</v>
      </c>
      <c r="Z137" s="82">
        <f>IF(Consultas!AA137='Parâmetros'!$E$1,-15,1)</f>
        <v>1</v>
      </c>
      <c r="AA137" s="147" t="s">
        <v>140</v>
      </c>
      <c r="AB137" s="82">
        <f>IF(E137="NA","NA",IF(E137&gt;'Parâmetros'!$A$9,8,IF(E137&gt;'Parâmetros'!$A$8,4,IF(E137&gt;'Parâmetros'!$A$7,0,-6))))</f>
        <v>0</v>
      </c>
      <c r="AC137" s="82">
        <f>IF(Consultas!AC137='Parâmetros'!$E$1,0,5)</f>
        <v>5</v>
      </c>
      <c r="AD137" s="82">
        <f>IF(Consultas!AH137='Parâmetros'!$D$1,-10,5)</f>
        <v>5</v>
      </c>
      <c r="AE137" s="82">
        <f>IF(Consultas!AI137&gt;(Consultas!F137*2),-10,0)</f>
        <v>0</v>
      </c>
      <c r="AF137" s="82" t="b">
        <f>IF(Consultas!AD137&gt;1,(IF(Consultas!AI137&gt;(Consultas!AD137),-20,4)))</f>
        <v>0</v>
      </c>
      <c r="AG137" s="82">
        <f>IF(Consultas!AG137='Parâmetros'!$E$1,0,-6)</f>
        <v>0</v>
      </c>
      <c r="AH137" s="82">
        <f>IF(Consultas!AF137='Parâmetros'!$E$1,1,-5)</f>
        <v>1</v>
      </c>
      <c r="AI137" s="82">
        <f>IF(Consultas!AJ137&gt;700,8,IF(Consultas!AJ137&gt;500,4,IF(Consultas!AJ137&gt;200,-4,IF(Consultas!AJ137&gt;1,-15,-20))))</f>
        <v>-4</v>
      </c>
      <c r="AJ137" s="82">
        <f>IF(Consultas!AD137='Parâmetros'!$E$10,0,IF(Consultas!AD137&gt;'Parâmetros'!$A$30,12,IF(Consultas!AD137&gt;'Parâmetros'!$A$31,6,IF(Consultas!AD137&gt;'Parâmetros'!$A$32,0,IF(Consultas!AD137&gt;'Parâmetros'!$A$33,0,IF(Consultas!AD137&gt;'Parâmetros'!$A$34,-3,IF(Consultas!AD137&gt;'Parâmetros'!$A$35,-7,-1)))))))</f>
        <v>-1</v>
      </c>
      <c r="AK137" s="82">
        <f>IF(Consultas!AO137='Parâmetros'!$D$1,3,-3)</f>
        <v>-3</v>
      </c>
      <c r="AL137" s="82">
        <f>IF(Consultas!AP137='Parâmetros'!$D$1,5,-3)</f>
        <v>-3</v>
      </c>
      <c r="AM137" s="82">
        <f>IF(Consultas!AL137="N",-6,0)</f>
        <v>0</v>
      </c>
      <c r="AN137" s="82">
        <f>IF(Consultas!AM137="N",-10,0)</f>
        <v>0</v>
      </c>
      <c r="AO137" s="82">
        <f>IF(Consultas!AN137="S",4,-2)</f>
        <v>-2</v>
      </c>
      <c r="AP137" s="39"/>
      <c r="AQ137" s="165">
        <f>IF(Consultas!F137&gt;1,(SUM(F137:AO137)),"N/A")</f>
        <v>12</v>
      </c>
      <c r="AR137" s="78">
        <f>IF((Consultas!AD137&gt;'Parâmetros'!$A$31),"X",AJ137+Y137+V137+AC137)</f>
        <v>1</v>
      </c>
      <c r="AS137" s="78">
        <f>IF((Consultas!AD137&gt;'Parâmetros'!$A$31),"X",(H137+I137+J137+Q137+T137+Y137+Z137+AJ137+AN137))</f>
        <v>3</v>
      </c>
      <c r="AT137" s="78" t="str">
        <f>IF((Consultas!AD137&lt;'Parâmetros'!$A$31),"X",(AD137+AC137+AB137))</f>
        <v>X</v>
      </c>
      <c r="AU137" s="78">
        <f t="shared" si="1"/>
        <v>1</v>
      </c>
      <c r="AV137" s="82" t="str">
        <f>IF(AQ137="N/A","N/A",IF(AQ137&gt;5,'Parâmetros'!$A$15,(IF(AU137=AR137,'Parâmetros'!$A$17,IF(AU137=AS137,'Parâmetros'!$A$16,'Parâmetros'!$A$14)))))</f>
        <v>SEM-RISCO</v>
      </c>
      <c r="AW137" s="86" t="str">
        <f>IF(AQ137="N/A","N/A",IF(AV137='Parâmetros'!$A$15,'Parâmetros'!$C$15,(IF(AV137='Parâmetros'!$A$17,'Parâmetros'!$C$17,IF(AV137='Parâmetros'!$A$16,'Parâmetros'!$C$16,IF(AV137='Parâmetros'!$A$14,'Parâmetros'!$C$12))))))</f>
        <v>LIBERADO</v>
      </c>
      <c r="AX137" s="82" t="str">
        <f>IF(Consultas!F137&gt;1,(IF(Consultas!F137&gt;5000,"SOLICITAR PED COMPRA","N/A")))</f>
        <v>SOLICITAR PED COMPRA</v>
      </c>
      <c r="AY137" s="167" t="str">
        <f>IF(AND(Consultas!M137&lt;&gt;"S", Consultas!H137="S"), "CHECAGEM REVERSA", "N/A")</f>
        <v>N/A</v>
      </c>
      <c r="AZ137" s="167" t="str">
        <f>IF(Consultas!U137="N","PRECISA CORRIGIR END DIVERGENTE","N/A")</f>
        <v>N/A</v>
      </c>
    </row>
    <row r="138" ht="12.0" customHeight="1">
      <c r="A138" s="39" t="s">
        <v>90</v>
      </c>
      <c r="B138" s="82">
        <f>Consultas!B138</f>
        <v>301</v>
      </c>
      <c r="C138" s="82" t="str">
        <f>Consultas!D138</f>
        <v>Metalpleno</v>
      </c>
      <c r="D138" s="96" t="str">
        <f>Consultas!E138</f>
        <v>143229</v>
      </c>
      <c r="E138" s="104">
        <f>IF(Consultas!AB138&gt;0,YEAR('Parâmetros'!$B$1)-YEAR(Consultas!AB138),"NA")</f>
        <v>17</v>
      </c>
      <c r="F138" s="82">
        <f>IF(Consultas!F138&gt;'Parâmetros'!$B$2,-8,0)</f>
        <v>0</v>
      </c>
      <c r="G138" s="82">
        <f>IF(Consultas!H138='Parâmetros'!$E$1,100,0)</f>
        <v>0</v>
      </c>
      <c r="H138" s="82">
        <f>IF(Consultas!I138='Parâmetros'!$E$1,-4,12)</f>
        <v>-4</v>
      </c>
      <c r="I138" s="82">
        <f>IF(Consultas!J138='Parâmetros'!$E$1,1,-13)</f>
        <v>1</v>
      </c>
      <c r="J138" s="82">
        <f>IF(Consultas!K138='Parâmetros'!$E$1,2,-5)</f>
        <v>2</v>
      </c>
      <c r="K138" s="82" t="str">
        <f>IF(Consultas!L138='Parâmetros'!$D$1,"SOLIC CONTRATO DE ENTREGA","N/A")</f>
        <v>SOLIC CONTRATO DE ENTREGA</v>
      </c>
      <c r="L138" s="82">
        <f>IF(Consultas!R138='Parâmetros'!$E$1,1,-3)</f>
        <v>1</v>
      </c>
      <c r="M138" s="82">
        <f>IF(Consultas!S138&gt;1,(IF(Consultas!S138='Parâmetros'!$E$1,-3,9)))</f>
        <v>9</v>
      </c>
      <c r="N138" s="82">
        <f>IF(Consultas!T138="S",23,0)</f>
        <v>0</v>
      </c>
      <c r="O138" s="82">
        <f>IF(Consultas!U138='Parâmetros'!$E$1,-3,3)</f>
        <v>3</v>
      </c>
      <c r="P138" s="82">
        <f>IF(Consultas!V138='Parâmetros'!$E$1,-100,2)</f>
        <v>2</v>
      </c>
      <c r="Q138" s="82">
        <f>IF(Consultas!M138='Parâmetros'!$D$1,2,-9)</f>
        <v>-9</v>
      </c>
      <c r="R138" s="82">
        <f>IF(Consultas!N138="RJ",-12,0)</f>
        <v>0</v>
      </c>
      <c r="S138" s="82">
        <f>IF(Consultas!O138="-",-3,IF(Consultas!O138=0,-6,IF(Consultas!O138=5,0,IF(Consultas!O138=10,6))))</f>
        <v>-6</v>
      </c>
      <c r="T138" s="82">
        <f>IF(Consultas!M138="S",0,(IF(Consultas!P138="S",6,0)))</f>
        <v>6</v>
      </c>
      <c r="U138" s="82">
        <f>IF(Consultas!Q138&gt;97,9,IF(Consultas!Q138&gt;75,0,-7))</f>
        <v>9</v>
      </c>
      <c r="V138" s="82">
        <f>IF(Consultas!W138='Parâmetros'!$E$1,1,-5)</f>
        <v>1</v>
      </c>
      <c r="W138" s="82">
        <f>IF(Consultas!X138="S",3,-3)</f>
        <v>3</v>
      </c>
      <c r="X138" s="82">
        <f>IF(Consultas!Y138="S",0,-7)</f>
        <v>0</v>
      </c>
      <c r="Y138" s="82">
        <f>IF(Consultas!Z138='Parâmetros'!$E$1,2,-8)</f>
        <v>2</v>
      </c>
      <c r="Z138" s="82">
        <f>IF(Consultas!AA138='Parâmetros'!$E$1,-15,1)</f>
        <v>1</v>
      </c>
      <c r="AA138" s="147" t="s">
        <v>140</v>
      </c>
      <c r="AB138" s="82">
        <f>IF(E138="NA","NA",IF(E138&gt;'Parâmetros'!$A$9,8,IF(E138&gt;'Parâmetros'!$A$8,4,IF(E138&gt;'Parâmetros'!$A$7,0,-6))))</f>
        <v>4</v>
      </c>
      <c r="AC138" s="82">
        <f>IF(Consultas!AC138='Parâmetros'!$E$1,0,5)</f>
        <v>0</v>
      </c>
      <c r="AD138" s="82">
        <f>IF(Consultas!AH138='Parâmetros'!$D$1,-10,5)</f>
        <v>5</v>
      </c>
      <c r="AE138" s="82">
        <f>IF(Consultas!AI138&gt;(Consultas!F138*2),-10,0)</f>
        <v>0</v>
      </c>
      <c r="AF138" s="82">
        <f>IF(Consultas!AD138&gt;1,(IF(Consultas!AI138&gt;(Consultas!AD138),-20,4)))</f>
        <v>4</v>
      </c>
      <c r="AG138" s="82">
        <f>IF(Consultas!AG138='Parâmetros'!$E$1,0,-6)</f>
        <v>0</v>
      </c>
      <c r="AH138" s="82">
        <f>IF(Consultas!AF138='Parâmetros'!$E$1,1,-5)</f>
        <v>1</v>
      </c>
      <c r="AI138" s="82">
        <f>IF(Consultas!AJ138&gt;700,8,IF(Consultas!AJ138&gt;500,4,IF(Consultas!AJ138&gt;200,-4,IF(Consultas!AJ138&gt;1,-15,-20))))</f>
        <v>8</v>
      </c>
      <c r="AJ138" s="82">
        <f>IF(Consultas!AD138='Parâmetros'!$E$10,0,IF(Consultas!AD138&gt;'Parâmetros'!$A$30,12,IF(Consultas!AD138&gt;'Parâmetros'!$A$31,6,IF(Consultas!AD138&gt;'Parâmetros'!$A$32,0,IF(Consultas!AD138&gt;'Parâmetros'!$A$33,0,IF(Consultas!AD138&gt;'Parâmetros'!$A$34,-3,IF(Consultas!AD138&gt;'Parâmetros'!$A$35,-7,-1)))))))</f>
        <v>12</v>
      </c>
      <c r="AK138" s="82">
        <f>IF(Consultas!AO138='Parâmetros'!$D$1,3,-3)</f>
        <v>-3</v>
      </c>
      <c r="AL138" s="82">
        <f>IF(Consultas!AP138='Parâmetros'!$D$1,5,-3)</f>
        <v>-3</v>
      </c>
      <c r="AM138" s="82">
        <f>IF(Consultas!AL138="N",-6,0)</f>
        <v>0</v>
      </c>
      <c r="AN138" s="82">
        <f>IF(Consultas!AM138="N",-10,0)</f>
        <v>0</v>
      </c>
      <c r="AO138" s="82">
        <f>IF(Consultas!AN138="S",4,-2)</f>
        <v>-2</v>
      </c>
      <c r="AP138" s="39"/>
      <c r="AQ138" s="165">
        <f>IF(Consultas!F138&gt;1,(SUM(F138:AO138)),"N/A")</f>
        <v>47</v>
      </c>
      <c r="AR138" s="78" t="str">
        <f>IF((Consultas!AD138&gt;'Parâmetros'!$A$31),"X",AJ138+Y138+V138+AC138)</f>
        <v>X</v>
      </c>
      <c r="AS138" s="78" t="str">
        <f>IF((Consultas!AD138&gt;'Parâmetros'!$A$31),"X",(H138+I138+J138+Q138+T138+Y138+Z138+AJ138+AN138))</f>
        <v>X</v>
      </c>
      <c r="AT138" s="78">
        <f>IF((Consultas!AD138&lt;'Parâmetros'!$A$31),"X",(AD138+AC138+AB138))</f>
        <v>9</v>
      </c>
      <c r="AU138" s="78">
        <f t="shared" si="1"/>
        <v>9</v>
      </c>
      <c r="AV138" s="82" t="str">
        <f>IF(AQ138="N/A","N/A",IF(AQ138&gt;5,'Parâmetros'!$A$15,(IF(AU138=AR138,'Parâmetros'!$A$17,IF(AU138=AS138,'Parâmetros'!$A$16,'Parâmetros'!$A$14)))))</f>
        <v>SEM-RISCO</v>
      </c>
      <c r="AW138" s="86" t="str">
        <f>IF(AQ138="N/A","N/A",IF(AV138='Parâmetros'!$A$15,'Parâmetros'!$C$15,(IF(AV138='Parâmetros'!$A$17,'Parâmetros'!$C$17,IF(AV138='Parâmetros'!$A$16,'Parâmetros'!$C$16,IF(AV138='Parâmetros'!$A$14,'Parâmetros'!$C$12))))))</f>
        <v>LIBERADO</v>
      </c>
      <c r="AX138" s="82" t="str">
        <f>IF(Consultas!F138&gt;1,(IF(Consultas!F138&gt;5000,"SOLICITAR PED COMPRA","N/A")))</f>
        <v>SOLICITAR PED COMPRA</v>
      </c>
      <c r="AY138" s="167" t="str">
        <f>IF(AND(Consultas!M138&lt;&gt;"S", Consultas!H138="S"), "CHECAGEM REVERSA", "N/A")</f>
        <v>CHECAGEM REVERSA</v>
      </c>
      <c r="AZ138" s="167" t="str">
        <f>IF(Consultas!U138="N","PRECISA CORRIGIR END DIVERGENTE","N/A")</f>
        <v>N/A</v>
      </c>
    </row>
    <row r="139" ht="12.0" customHeight="1">
      <c r="A139" s="39" t="s">
        <v>90</v>
      </c>
      <c r="B139" s="82">
        <f>Consultas!B139</f>
        <v>302</v>
      </c>
      <c r="C139" s="82" t="str">
        <f>Consultas!D139</f>
        <v>Metalpleno</v>
      </c>
      <c r="D139" s="96" t="str">
        <f>Consultas!E139</f>
        <v>144690</v>
      </c>
      <c r="E139" s="104">
        <f>IF(Consultas!AB139&gt;0,YEAR('Parâmetros'!$B$1)-YEAR(Consultas!AB139),"NA")</f>
        <v>26</v>
      </c>
      <c r="F139" s="82">
        <f>IF(Consultas!F139&gt;'Parâmetros'!$B$2,-8,0)</f>
        <v>0</v>
      </c>
      <c r="G139" s="82">
        <f>IF(Consultas!H139='Parâmetros'!$E$1,100,0)</f>
        <v>0</v>
      </c>
      <c r="H139" s="82">
        <f>IF(Consultas!I139='Parâmetros'!$E$1,-4,12)</f>
        <v>-4</v>
      </c>
      <c r="I139" s="82">
        <f>IF(Consultas!J139='Parâmetros'!$E$1,1,-13)</f>
        <v>1</v>
      </c>
      <c r="J139" s="82">
        <f>IF(Consultas!K139='Parâmetros'!$E$1,2,-5)</f>
        <v>2</v>
      </c>
      <c r="K139" s="82" t="str">
        <f>IF(Consultas!L139='Parâmetros'!$D$1,"SOLIC CONTRATO DE ENTREGA","N/A")</f>
        <v>SOLIC CONTRATO DE ENTREGA</v>
      </c>
      <c r="L139" s="82">
        <f>IF(Consultas!R139='Parâmetros'!$E$1,1,-3)</f>
        <v>1</v>
      </c>
      <c r="M139" s="82">
        <f>IF(Consultas!S139&gt;1,(IF(Consultas!S139='Parâmetros'!$E$1,-3,9)))</f>
        <v>-3</v>
      </c>
      <c r="N139" s="82">
        <f>IF(Consultas!T139="S",23,0)</f>
        <v>0</v>
      </c>
      <c r="O139" s="82">
        <f>IF(Consultas!U139='Parâmetros'!$E$1,-3,3)</f>
        <v>3</v>
      </c>
      <c r="P139" s="82">
        <f>IF(Consultas!V139='Parâmetros'!$E$1,-100,2)</f>
        <v>2</v>
      </c>
      <c r="Q139" s="82">
        <f>IF(Consultas!M139='Parâmetros'!$D$1,2,-9)</f>
        <v>2</v>
      </c>
      <c r="R139" s="82">
        <f>IF(Consultas!N139="RJ",-12,0)</f>
        <v>0</v>
      </c>
      <c r="S139" s="82">
        <f>IF(Consultas!O139="-",-3,IF(Consultas!O139=0,-6,IF(Consultas!O139=5,0,IF(Consultas!O139=10,6))))</f>
        <v>-3</v>
      </c>
      <c r="T139" s="82">
        <f>IF(Consultas!M139="S",0,(IF(Consultas!P139="S",6,0)))</f>
        <v>0</v>
      </c>
      <c r="U139" s="82">
        <f>IF(Consultas!Q139&gt;97,9,IF(Consultas!Q139&gt;75,0,-7))</f>
        <v>9</v>
      </c>
      <c r="V139" s="82">
        <f>IF(Consultas!W139='Parâmetros'!$E$1,1,-5)</f>
        <v>1</v>
      </c>
      <c r="W139" s="82">
        <f>IF(Consultas!X139="S",3,-3)</f>
        <v>3</v>
      </c>
      <c r="X139" s="82">
        <f>IF(Consultas!Y139="S",0,-7)</f>
        <v>0</v>
      </c>
      <c r="Y139" s="82">
        <f>IF(Consultas!Z139='Parâmetros'!$E$1,2,-8)</f>
        <v>2</v>
      </c>
      <c r="Z139" s="82">
        <f>IF(Consultas!AA139='Parâmetros'!$E$1,-15,1)</f>
        <v>1</v>
      </c>
      <c r="AA139" s="147" t="s">
        <v>140</v>
      </c>
      <c r="AB139" s="82">
        <f>IF(E139="NA","NA",IF(E139&gt;'Parâmetros'!$A$9,8,IF(E139&gt;'Parâmetros'!$A$8,4,IF(E139&gt;'Parâmetros'!$A$7,0,-6))))</f>
        <v>4</v>
      </c>
      <c r="AC139" s="82">
        <f>IF(Consultas!AC139='Parâmetros'!$E$1,0,5)</f>
        <v>0</v>
      </c>
      <c r="AD139" s="82">
        <f>IF(Consultas!AH139='Parâmetros'!$D$1,-10,5)</f>
        <v>5</v>
      </c>
      <c r="AE139" s="82">
        <f>IF(Consultas!AI139&gt;(Consultas!F139*2),-10,0)</f>
        <v>0</v>
      </c>
      <c r="AF139" s="82">
        <f>IF(Consultas!AD139&gt;1,(IF(Consultas!AI139&gt;(Consultas!AD139),-20,4)))</f>
        <v>4</v>
      </c>
      <c r="AG139" s="82">
        <f>IF(Consultas!AG139='Parâmetros'!$E$1,0,-6)</f>
        <v>0</v>
      </c>
      <c r="AH139" s="82">
        <f>IF(Consultas!AF139='Parâmetros'!$E$1,1,-5)</f>
        <v>1</v>
      </c>
      <c r="AI139" s="82">
        <f>IF(Consultas!AJ139&gt;700,8,IF(Consultas!AJ139&gt;500,4,IF(Consultas!AJ139&gt;200,-4,IF(Consultas!AJ139&gt;1,-15,-20))))</f>
        <v>8</v>
      </c>
      <c r="AJ139" s="82">
        <f>IF(Consultas!AD139='Parâmetros'!$E$10,0,IF(Consultas!AD139&gt;'Parâmetros'!$A$30,12,IF(Consultas!AD139&gt;'Parâmetros'!$A$31,6,IF(Consultas!AD139&gt;'Parâmetros'!$A$32,0,IF(Consultas!AD139&gt;'Parâmetros'!$A$33,0,IF(Consultas!AD139&gt;'Parâmetros'!$A$34,-3,IF(Consultas!AD139&gt;'Parâmetros'!$A$35,-7,-1)))))))</f>
        <v>12</v>
      </c>
      <c r="AK139" s="82">
        <f>IF(Consultas!AO139='Parâmetros'!$D$1,3,-3)</f>
        <v>-3</v>
      </c>
      <c r="AL139" s="82">
        <f>IF(Consultas!AP139='Parâmetros'!$D$1,5,-3)</f>
        <v>-3</v>
      </c>
      <c r="AM139" s="82">
        <f>IF(Consultas!AL139="N",-6,0)</f>
        <v>0</v>
      </c>
      <c r="AN139" s="82">
        <f>IF(Consultas!AM139="N",-10,0)</f>
        <v>0</v>
      </c>
      <c r="AO139" s="82">
        <f>IF(Consultas!AN139="S",4,-2)</f>
        <v>-2</v>
      </c>
      <c r="AP139" s="39"/>
      <c r="AQ139" s="165">
        <f>IF(Consultas!F139&gt;1,(SUM(F139:AO139)),"N/A")</f>
        <v>43</v>
      </c>
      <c r="AR139" s="78" t="str">
        <f>IF((Consultas!AD139&gt;'Parâmetros'!$A$31),"X",AJ139+Y139+V139+AC139)</f>
        <v>X</v>
      </c>
      <c r="AS139" s="78" t="str">
        <f>IF((Consultas!AD139&gt;'Parâmetros'!$A$31),"X",(H139+I139+J139+Q139+T139+Y139+Z139+AJ139+AN139))</f>
        <v>X</v>
      </c>
      <c r="AT139" s="78">
        <f>IF((Consultas!AD139&lt;'Parâmetros'!$A$31),"X",(AD139+AC139+AB139))</f>
        <v>9</v>
      </c>
      <c r="AU139" s="78">
        <f t="shared" si="1"/>
        <v>9</v>
      </c>
      <c r="AV139" s="82" t="str">
        <f>IF(AQ139="N/A","N/A",IF(AQ139&gt;5,'Parâmetros'!$A$15,(IF(AU139=AR139,'Parâmetros'!$A$17,IF(AU139=AS139,'Parâmetros'!$A$16,'Parâmetros'!$A$14)))))</f>
        <v>SEM-RISCO</v>
      </c>
      <c r="AW139" s="86" t="str">
        <f>IF(AQ139="N/A","N/A",IF(AV139='Parâmetros'!$A$15,'Parâmetros'!$C$15,(IF(AV139='Parâmetros'!$A$17,'Parâmetros'!$C$17,IF(AV139='Parâmetros'!$A$16,'Parâmetros'!$C$16,IF(AV139='Parâmetros'!$A$14,'Parâmetros'!$C$12))))))</f>
        <v>LIBERADO</v>
      </c>
      <c r="AX139" s="82" t="str">
        <f>IF(Consultas!F139&gt;1,(IF(Consultas!F139&gt;5000,"SOLICITAR PED COMPRA","N/A")))</f>
        <v>SOLICITAR PED COMPRA</v>
      </c>
      <c r="AY139" s="167" t="str">
        <f>IF(AND(Consultas!M139&lt;&gt;"S", Consultas!H139="S"), "CHECAGEM REVERSA", "N/A")</f>
        <v>N/A</v>
      </c>
      <c r="AZ139" s="167" t="str">
        <f>IF(Consultas!U139="N","PRECISA CORRIGIR END DIVERGENTE","N/A")</f>
        <v>N/A</v>
      </c>
    </row>
    <row r="140" ht="12.0" customHeight="1">
      <c r="A140" s="39" t="s">
        <v>90</v>
      </c>
      <c r="B140" s="82">
        <f>Consultas!B140</f>
        <v>688</v>
      </c>
      <c r="C140" s="82" t="str">
        <f>Consultas!D140</f>
        <v>Oaco</v>
      </c>
      <c r="D140" s="96" t="str">
        <f>Consultas!E140</f>
        <v>144696</v>
      </c>
      <c r="E140" s="104">
        <f>IF(Consultas!AB140&gt;0,YEAR('Parâmetros'!$B$1)-YEAR(Consultas!AB140),"NA")</f>
        <v>58</v>
      </c>
      <c r="F140" s="82">
        <f>IF(Consultas!F140&gt;'Parâmetros'!$B$2,-8,0)</f>
        <v>0</v>
      </c>
      <c r="G140" s="82">
        <f>IF(Consultas!H140='Parâmetros'!$E$1,100,0)</f>
        <v>0</v>
      </c>
      <c r="H140" s="82">
        <f>IF(Consultas!I140='Parâmetros'!$E$1,-4,12)</f>
        <v>-4</v>
      </c>
      <c r="I140" s="82">
        <f>IF(Consultas!J140='Parâmetros'!$E$1,1,-13)</f>
        <v>1</v>
      </c>
      <c r="J140" s="82">
        <f>IF(Consultas!K140='Parâmetros'!$E$1,2,-5)</f>
        <v>2</v>
      </c>
      <c r="K140" s="82" t="str">
        <f>IF(Consultas!L140='Parâmetros'!$D$1,"SOLIC CONTRATO DE ENTREGA","N/A")</f>
        <v>N/A</v>
      </c>
      <c r="L140" s="82">
        <f>IF(Consultas!R140='Parâmetros'!$E$1,1,-3)</f>
        <v>1</v>
      </c>
      <c r="M140" s="82">
        <f>IF(Consultas!S140&gt;1,(IF(Consultas!S140='Parâmetros'!$E$1,-3,9)))</f>
        <v>9</v>
      </c>
      <c r="N140" s="82">
        <f>IF(Consultas!T140="S",23,0)</f>
        <v>0</v>
      </c>
      <c r="O140" s="82">
        <f>IF(Consultas!U140='Parâmetros'!$E$1,-3,3)</f>
        <v>3</v>
      </c>
      <c r="P140" s="82">
        <f>IF(Consultas!V140='Parâmetros'!$E$1,-100,2)</f>
        <v>2</v>
      </c>
      <c r="Q140" s="82">
        <f>IF(Consultas!M140='Parâmetros'!$D$1,2,-9)</f>
        <v>2</v>
      </c>
      <c r="R140" s="82">
        <f>IF(Consultas!N140="RJ",-12,0)</f>
        <v>0</v>
      </c>
      <c r="S140" s="82">
        <f>IF(Consultas!O140="-",-3,IF(Consultas!O140=0,-6,IF(Consultas!O140=5,0,IF(Consultas!O140=10,6))))</f>
        <v>-3</v>
      </c>
      <c r="T140" s="82">
        <f>IF(Consultas!M140="S",0,(IF(Consultas!P140="S",6,0)))</f>
        <v>0</v>
      </c>
      <c r="U140" s="82">
        <f>IF(Consultas!Q140&gt;97,9,IF(Consultas!Q140&gt;75,0,-7))</f>
        <v>9</v>
      </c>
      <c r="V140" s="82">
        <f>IF(Consultas!W140='Parâmetros'!$E$1,1,-5)</f>
        <v>1</v>
      </c>
      <c r="W140" s="82">
        <f>IF(Consultas!X140="S",3,-3)</f>
        <v>3</v>
      </c>
      <c r="X140" s="82">
        <f>IF(Consultas!Y140="S",0,-7)</f>
        <v>0</v>
      </c>
      <c r="Y140" s="82">
        <f>IF(Consultas!Z140='Parâmetros'!$E$1,2,-8)</f>
        <v>2</v>
      </c>
      <c r="Z140" s="82">
        <f>IF(Consultas!AA140='Parâmetros'!$E$1,-15,1)</f>
        <v>1</v>
      </c>
      <c r="AA140" s="147" t="s">
        <v>140</v>
      </c>
      <c r="AB140" s="82">
        <f>IF(E140="NA","NA",IF(E140&gt;'Parâmetros'!$A$9,8,IF(E140&gt;'Parâmetros'!$A$8,4,IF(E140&gt;'Parâmetros'!$A$7,0,-6))))</f>
        <v>8</v>
      </c>
      <c r="AC140" s="82">
        <f>IF(Consultas!AC140='Parâmetros'!$E$1,0,5)</f>
        <v>5</v>
      </c>
      <c r="AD140" s="82">
        <f>IF(Consultas!AH140='Parâmetros'!$D$1,-10,5)</f>
        <v>-10</v>
      </c>
      <c r="AE140" s="82">
        <f>IF(Consultas!AI140&gt;(Consultas!F140*2),-10,0)</f>
        <v>0</v>
      </c>
      <c r="AF140" s="82" t="b">
        <f>IF(Consultas!AD140&gt;1,(IF(Consultas!AI140&gt;(Consultas!AD140),-20,4)))</f>
        <v>0</v>
      </c>
      <c r="AG140" s="82">
        <f>IF(Consultas!AG140='Parâmetros'!$E$1,0,-6)</f>
        <v>0</v>
      </c>
      <c r="AH140" s="82">
        <f>IF(Consultas!AF140='Parâmetros'!$E$1,1,-5)</f>
        <v>1</v>
      </c>
      <c r="AI140" s="82">
        <f>IF(Consultas!AJ140&gt;700,8,IF(Consultas!AJ140&gt;500,4,IF(Consultas!AJ140&gt;200,-4,IF(Consultas!AJ140&gt;1,-15,-20))))</f>
        <v>4</v>
      </c>
      <c r="AJ140" s="82">
        <f>IF(Consultas!AD140='Parâmetros'!$E$10,0,IF(Consultas!AD140&gt;'Parâmetros'!$A$30,12,IF(Consultas!AD140&gt;'Parâmetros'!$A$31,6,IF(Consultas!AD140&gt;'Parâmetros'!$A$32,0,IF(Consultas!AD140&gt;'Parâmetros'!$A$33,0,IF(Consultas!AD140&gt;'Parâmetros'!$A$34,-3,IF(Consultas!AD140&gt;'Parâmetros'!$A$35,-7,-1)))))))</f>
        <v>-1</v>
      </c>
      <c r="AK140" s="82">
        <f>IF(Consultas!AO140='Parâmetros'!$D$1,3,-3)</f>
        <v>-3</v>
      </c>
      <c r="AL140" s="82">
        <f>IF(Consultas!AP140='Parâmetros'!$D$1,5,-3)</f>
        <v>-3</v>
      </c>
      <c r="AM140" s="82">
        <f>IF(Consultas!AL140="N",-6,0)</f>
        <v>0</v>
      </c>
      <c r="AN140" s="82">
        <f>IF(Consultas!AM140="N",-10,0)</f>
        <v>0</v>
      </c>
      <c r="AO140" s="82">
        <f>IF(Consultas!AN140="S",4,-2)</f>
        <v>-2</v>
      </c>
      <c r="AP140" s="39"/>
      <c r="AQ140" s="165">
        <f>IF(Consultas!F140&gt;1,(SUM(F140:AO140)),"N/A")</f>
        <v>28</v>
      </c>
      <c r="AR140" s="78">
        <f>IF((Consultas!AD140&gt;'Parâmetros'!$A$31),"X",AJ140+Y140+V140+AC140)</f>
        <v>7</v>
      </c>
      <c r="AS140" s="78">
        <f>IF((Consultas!AD140&gt;'Parâmetros'!$A$31),"X",(H140+I140+J140+Q140+T140+Y140+Z140+AJ140+AN140))</f>
        <v>3</v>
      </c>
      <c r="AT140" s="78" t="str">
        <f>IF((Consultas!AD140&lt;'Parâmetros'!$A$31),"X",(AD140+AC140+AB140))</f>
        <v>X</v>
      </c>
      <c r="AU140" s="78">
        <f t="shared" si="1"/>
        <v>3</v>
      </c>
      <c r="AV140" s="82" t="str">
        <f>IF(AQ140="N/A","N/A",IF(AQ140&gt;5,'Parâmetros'!$A$15,(IF(AU140=AR140,'Parâmetros'!$A$17,IF(AU140=AS140,'Parâmetros'!$A$16,'Parâmetros'!$A$14)))))</f>
        <v>SEM-RISCO</v>
      </c>
      <c r="AW140" s="86" t="str">
        <f>IF(AQ140="N/A","N/A",IF(AV140='Parâmetros'!$A$15,'Parâmetros'!$C$15,(IF(AV140='Parâmetros'!$A$17,'Parâmetros'!$C$17,IF(AV140='Parâmetros'!$A$16,'Parâmetros'!$C$16,IF(AV140='Parâmetros'!$A$14,'Parâmetros'!$C$12))))))</f>
        <v>LIBERADO</v>
      </c>
      <c r="AX140" s="82" t="str">
        <f>IF(Consultas!F140&gt;1,(IF(Consultas!F140&gt;5000,"SOLICITAR PED COMPRA","N/A")))</f>
        <v>N/A</v>
      </c>
      <c r="AY140" s="167" t="str">
        <f>IF(AND(Consultas!M140&lt;&gt;"S", Consultas!H140="S"), "CHECAGEM REVERSA", "N/A")</f>
        <v>N/A</v>
      </c>
      <c r="AZ140" s="167" t="str">
        <f>IF(Consultas!U140="N","PRECISA CORRIGIR END DIVERGENTE","N/A")</f>
        <v>N/A</v>
      </c>
    </row>
    <row r="141" ht="12.0" customHeight="1">
      <c r="A141" s="39" t="s">
        <v>90</v>
      </c>
      <c r="B141" s="82">
        <f>Consultas!B141</f>
        <v>303</v>
      </c>
      <c r="C141" s="82" t="str">
        <f>Consultas!D141</f>
        <v>Metalpleno</v>
      </c>
      <c r="D141" s="96" t="str">
        <f>Consultas!E141</f>
        <v>143898</v>
      </c>
      <c r="E141" s="104">
        <f>IF(Consultas!AB141&gt;0,YEAR('Parâmetros'!$B$1)-YEAR(Consultas!AB141),"NA")</f>
        <v>5</v>
      </c>
      <c r="F141" s="82">
        <f>IF(Consultas!F141&gt;'Parâmetros'!$B$2,-8,0)</f>
        <v>0</v>
      </c>
      <c r="G141" s="82">
        <f>IF(Consultas!H141='Parâmetros'!$E$1,100,0)</f>
        <v>0</v>
      </c>
      <c r="H141" s="82">
        <f>IF(Consultas!I141='Parâmetros'!$E$1,-4,12)</f>
        <v>-4</v>
      </c>
      <c r="I141" s="82">
        <f>IF(Consultas!J141='Parâmetros'!$E$1,1,-13)</f>
        <v>1</v>
      </c>
      <c r="J141" s="82">
        <f>IF(Consultas!K141='Parâmetros'!$E$1,2,-5)</f>
        <v>2</v>
      </c>
      <c r="K141" s="82" t="str">
        <f>IF(Consultas!L141='Parâmetros'!$D$1,"SOLIC CONTRATO DE ENTREGA","N/A")</f>
        <v>SOLIC CONTRATO DE ENTREGA</v>
      </c>
      <c r="L141" s="82">
        <f>IF(Consultas!R141='Parâmetros'!$E$1,1,-3)</f>
        <v>1</v>
      </c>
      <c r="M141" s="82">
        <f>IF(Consultas!S141&gt;1,(IF(Consultas!S141='Parâmetros'!$E$1,-3,9)))</f>
        <v>-3</v>
      </c>
      <c r="N141" s="82">
        <f>IF(Consultas!T141="S",23,0)</f>
        <v>0</v>
      </c>
      <c r="O141" s="82">
        <f>IF(Consultas!U141='Parâmetros'!$E$1,-3,3)</f>
        <v>3</v>
      </c>
      <c r="P141" s="82">
        <f>IF(Consultas!V141='Parâmetros'!$E$1,-100,2)</f>
        <v>2</v>
      </c>
      <c r="Q141" s="82">
        <f>IF(Consultas!M141='Parâmetros'!$D$1,2,-9)</f>
        <v>-9</v>
      </c>
      <c r="R141" s="82">
        <f>IF(Consultas!N141="RJ",-12,0)</f>
        <v>0</v>
      </c>
      <c r="S141" s="82">
        <f>IF(Consultas!O141="-",-3,IF(Consultas!O141=0,-6,IF(Consultas!O141=5,0,IF(Consultas!O141=10,6))))</f>
        <v>-6</v>
      </c>
      <c r="T141" s="82">
        <f>IF(Consultas!M141="S",0,(IF(Consultas!P141="S",6,0)))</f>
        <v>0</v>
      </c>
      <c r="U141" s="82">
        <f>IF(Consultas!Q141&gt;97,9,IF(Consultas!Q141&gt;75,0,-7))</f>
        <v>9</v>
      </c>
      <c r="V141" s="82">
        <f>IF(Consultas!W141='Parâmetros'!$E$1,1,-5)</f>
        <v>1</v>
      </c>
      <c r="W141" s="82">
        <f>IF(Consultas!X141="S",3,-3)</f>
        <v>3</v>
      </c>
      <c r="X141" s="82">
        <f>IF(Consultas!Y141="S",0,-7)</f>
        <v>-7</v>
      </c>
      <c r="Y141" s="82">
        <f>IF(Consultas!Z141='Parâmetros'!$E$1,2,-8)</f>
        <v>2</v>
      </c>
      <c r="Z141" s="82">
        <f>IF(Consultas!AA141='Parâmetros'!$E$1,-15,1)</f>
        <v>1</v>
      </c>
      <c r="AA141" s="147" t="s">
        <v>140</v>
      </c>
      <c r="AB141" s="82">
        <f>IF(E141="NA","NA",IF(E141&gt;'Parâmetros'!$A$9,8,IF(E141&gt;'Parâmetros'!$A$8,4,IF(E141&gt;'Parâmetros'!$A$7,0,-6))))</f>
        <v>-6</v>
      </c>
      <c r="AC141" s="82">
        <f>IF(Consultas!AC141='Parâmetros'!$E$1,0,5)</f>
        <v>0</v>
      </c>
      <c r="AD141" s="82">
        <f>IF(Consultas!AH141='Parâmetros'!$D$1,-10,5)</f>
        <v>5</v>
      </c>
      <c r="AE141" s="82">
        <f>IF(Consultas!AI141&gt;(Consultas!F141*2),-10,0)</f>
        <v>0</v>
      </c>
      <c r="AF141" s="82">
        <f>IF(Consultas!AD141&gt;1,(IF(Consultas!AI141&gt;(Consultas!AD141),-20,4)))</f>
        <v>4</v>
      </c>
      <c r="AG141" s="82">
        <f>IF(Consultas!AG141='Parâmetros'!$E$1,0,-6)</f>
        <v>0</v>
      </c>
      <c r="AH141" s="82">
        <f>IF(Consultas!AF141='Parâmetros'!$E$1,1,-5)</f>
        <v>1</v>
      </c>
      <c r="AI141" s="82">
        <f>IF(Consultas!AJ141&gt;700,8,IF(Consultas!AJ141&gt;500,4,IF(Consultas!AJ141&gt;200,-4,IF(Consultas!AJ141&gt;1,-15,-20))))</f>
        <v>8</v>
      </c>
      <c r="AJ141" s="82">
        <f>IF(Consultas!AD141='Parâmetros'!$E$10,0,IF(Consultas!AD141&gt;'Parâmetros'!$A$30,12,IF(Consultas!AD141&gt;'Parâmetros'!$A$31,6,IF(Consultas!AD141&gt;'Parâmetros'!$A$32,0,IF(Consultas!AD141&gt;'Parâmetros'!$A$33,0,IF(Consultas!AD141&gt;'Parâmetros'!$A$34,-3,IF(Consultas!AD141&gt;'Parâmetros'!$A$35,-7,-1)))))))</f>
        <v>12</v>
      </c>
      <c r="AK141" s="82">
        <f>IF(Consultas!AO141='Parâmetros'!$D$1,3,-3)</f>
        <v>-3</v>
      </c>
      <c r="AL141" s="82">
        <f>IF(Consultas!AP141='Parâmetros'!$D$1,5,-3)</f>
        <v>-3</v>
      </c>
      <c r="AM141" s="82">
        <f>IF(Consultas!AL141="N",-6,0)</f>
        <v>0</v>
      </c>
      <c r="AN141" s="82">
        <f>IF(Consultas!AM141="N",-10,0)</f>
        <v>0</v>
      </c>
      <c r="AO141" s="82">
        <f>IF(Consultas!AN141="S",4,-2)</f>
        <v>-2</v>
      </c>
      <c r="AP141" s="39"/>
      <c r="AQ141" s="165">
        <f>IF(Consultas!F141&gt;1,(SUM(F141:AO141)),"N/A")</f>
        <v>12</v>
      </c>
      <c r="AR141" s="78" t="str">
        <f>IF((Consultas!AD141&gt;'Parâmetros'!$A$31),"X",AJ141+Y141+V141+AC141)</f>
        <v>X</v>
      </c>
      <c r="AS141" s="78" t="str">
        <f>IF((Consultas!AD141&gt;'Parâmetros'!$A$31),"X",(H141+I141+J141+Q141+T141+Y141+Z141+AJ141+AN141))</f>
        <v>X</v>
      </c>
      <c r="AT141" s="78">
        <f>IF((Consultas!AD141&lt;'Parâmetros'!$A$31),"X",(AD141+AC141+AB141))</f>
        <v>-1</v>
      </c>
      <c r="AU141" s="78">
        <f t="shared" si="1"/>
        <v>-1</v>
      </c>
      <c r="AV141" s="82" t="str">
        <f>IF(AQ141="N/A","N/A",IF(AQ141&gt;5,'Parâmetros'!$A$15,(IF(AU141=AR141,'Parâmetros'!$A$17,IF(AU141=AS141,'Parâmetros'!$A$16,'Parâmetros'!$A$14)))))</f>
        <v>SEM-RISCO</v>
      </c>
      <c r="AW141" s="86" t="str">
        <f>IF(AQ141="N/A","N/A",IF(AV141='Parâmetros'!$A$15,'Parâmetros'!$C$15,(IF(AV141='Parâmetros'!$A$17,'Parâmetros'!$C$17,IF(AV141='Parâmetros'!$A$16,'Parâmetros'!$C$16,IF(AV141='Parâmetros'!$A$14,'Parâmetros'!$C$12))))))</f>
        <v>LIBERADO</v>
      </c>
      <c r="AX141" s="82" t="str">
        <f>IF(Consultas!F141&gt;1,(IF(Consultas!F141&gt;5000,"SOLICITAR PED COMPRA","N/A")))</f>
        <v>SOLICITAR PED COMPRA</v>
      </c>
      <c r="AY141" s="167" t="str">
        <f>IF(AND(Consultas!M141&lt;&gt;"S", Consultas!H141="S"), "CHECAGEM REVERSA", "N/A")</f>
        <v>CHECAGEM REVERSA</v>
      </c>
      <c r="AZ141" s="167" t="str">
        <f>IF(Consultas!U141="N","PRECISA CORRIGIR END DIVERGENTE","N/A")</f>
        <v>N/A</v>
      </c>
    </row>
    <row r="142" ht="12.0" customHeight="1">
      <c r="A142" s="39" t="s">
        <v>90</v>
      </c>
      <c r="B142" s="82">
        <f>Consultas!B142</f>
        <v>305</v>
      </c>
      <c r="C142" s="82" t="str">
        <f>Consultas!D142</f>
        <v>Metalpleno</v>
      </c>
      <c r="D142" s="96" t="str">
        <f>Consultas!E142</f>
        <v>144634</v>
      </c>
      <c r="E142" s="104">
        <f>IF(Consultas!AB142&gt;0,YEAR('Parâmetros'!$B$1)-YEAR(Consultas!AB142),"NA")</f>
        <v>30</v>
      </c>
      <c r="F142" s="82">
        <f>IF(Consultas!F142&gt;'Parâmetros'!$B$2,-8,0)</f>
        <v>0</v>
      </c>
      <c r="G142" s="82">
        <f>IF(Consultas!H142='Parâmetros'!$E$1,100,0)</f>
        <v>0</v>
      </c>
      <c r="H142" s="82">
        <f>IF(Consultas!I142='Parâmetros'!$E$1,-4,12)</f>
        <v>-4</v>
      </c>
      <c r="I142" s="82">
        <f>IF(Consultas!J142='Parâmetros'!$E$1,1,-13)</f>
        <v>1</v>
      </c>
      <c r="J142" s="82">
        <f>IF(Consultas!K142='Parâmetros'!$E$1,2,-5)</f>
        <v>2</v>
      </c>
      <c r="K142" s="82" t="str">
        <f>IF(Consultas!L142='Parâmetros'!$D$1,"SOLIC CONTRATO DE ENTREGA","N/A")</f>
        <v>N/A</v>
      </c>
      <c r="L142" s="82">
        <f>IF(Consultas!R142='Parâmetros'!$E$1,1,-3)</f>
        <v>1</v>
      </c>
      <c r="M142" s="82">
        <f>IF(Consultas!S142&gt;1,(IF(Consultas!S142='Parâmetros'!$E$1,-3,9)))</f>
        <v>9</v>
      </c>
      <c r="N142" s="82">
        <f>IF(Consultas!T142="S",23,0)</f>
        <v>0</v>
      </c>
      <c r="O142" s="82">
        <f>IF(Consultas!U142='Parâmetros'!$E$1,-3,3)</f>
        <v>3</v>
      </c>
      <c r="P142" s="82">
        <f>IF(Consultas!V142='Parâmetros'!$E$1,-100,2)</f>
        <v>2</v>
      </c>
      <c r="Q142" s="82">
        <f>IF(Consultas!M142='Parâmetros'!$D$1,2,-9)</f>
        <v>2</v>
      </c>
      <c r="R142" s="82">
        <f>IF(Consultas!N142="RJ",-12,0)</f>
        <v>0</v>
      </c>
      <c r="S142" s="82">
        <f>IF(Consultas!O142="-",-3,IF(Consultas!O142=0,-6,IF(Consultas!O142=5,0,IF(Consultas!O142=10,6))))</f>
        <v>-3</v>
      </c>
      <c r="T142" s="82">
        <f>IF(Consultas!M142="S",0,(IF(Consultas!P142="S",6,0)))</f>
        <v>0</v>
      </c>
      <c r="U142" s="82">
        <f>IF(Consultas!Q142&gt;97,9,IF(Consultas!Q142&gt;75,0,-7))</f>
        <v>9</v>
      </c>
      <c r="V142" s="82">
        <f>IF(Consultas!W142='Parâmetros'!$E$1,1,-5)</f>
        <v>-5</v>
      </c>
      <c r="W142" s="82">
        <f>IF(Consultas!X142="S",3,-3)</f>
        <v>3</v>
      </c>
      <c r="X142" s="82">
        <f>IF(Consultas!Y142="S",0,-7)</f>
        <v>0</v>
      </c>
      <c r="Y142" s="82">
        <f>IF(Consultas!Z142='Parâmetros'!$E$1,2,-8)</f>
        <v>2</v>
      </c>
      <c r="Z142" s="82">
        <f>IF(Consultas!AA142='Parâmetros'!$E$1,-15,1)</f>
        <v>1</v>
      </c>
      <c r="AA142" s="147" t="s">
        <v>140</v>
      </c>
      <c r="AB142" s="82">
        <f>IF(E142="NA","NA",IF(E142&gt;'Parâmetros'!$A$9,8,IF(E142&gt;'Parâmetros'!$A$8,4,IF(E142&gt;'Parâmetros'!$A$7,0,-6))))</f>
        <v>4</v>
      </c>
      <c r="AC142" s="82">
        <f>IF(Consultas!AC142='Parâmetros'!$E$1,0,5)</f>
        <v>5</v>
      </c>
      <c r="AD142" s="82">
        <f>IF(Consultas!AH142='Parâmetros'!$D$1,-10,5)</f>
        <v>5</v>
      </c>
      <c r="AE142" s="82">
        <f>IF(Consultas!AI142&gt;(Consultas!F142*2),-10,0)</f>
        <v>0</v>
      </c>
      <c r="AF142" s="82">
        <f>IF(Consultas!AD142&gt;1,(IF(Consultas!AI142&gt;(Consultas!AD142),-20,4)))</f>
        <v>4</v>
      </c>
      <c r="AG142" s="82">
        <f>IF(Consultas!AG142='Parâmetros'!$E$1,0,-6)</f>
        <v>0</v>
      </c>
      <c r="AH142" s="82">
        <f>IF(Consultas!AF142='Parâmetros'!$E$1,1,-5)</f>
        <v>-5</v>
      </c>
      <c r="AI142" s="82">
        <f>IF(Consultas!AJ142&gt;700,8,IF(Consultas!AJ142&gt;500,4,IF(Consultas!AJ142&gt;200,-4,IF(Consultas!AJ142&gt;1,-15,-20))))</f>
        <v>4</v>
      </c>
      <c r="AJ142" s="82">
        <f>IF(Consultas!AD142='Parâmetros'!$E$10,0,IF(Consultas!AD142&gt;'Parâmetros'!$A$30,12,IF(Consultas!AD142&gt;'Parâmetros'!$A$31,6,IF(Consultas!AD142&gt;'Parâmetros'!$A$32,0,IF(Consultas!AD142&gt;'Parâmetros'!$A$33,0,IF(Consultas!AD142&gt;'Parâmetros'!$A$34,-3,IF(Consultas!AD142&gt;'Parâmetros'!$A$35,-7,-1)))))))</f>
        <v>12</v>
      </c>
      <c r="AK142" s="82">
        <f>IF(Consultas!AO142='Parâmetros'!$D$1,3,-3)</f>
        <v>-3</v>
      </c>
      <c r="AL142" s="82">
        <f>IF(Consultas!AP142='Parâmetros'!$D$1,5,-3)</f>
        <v>-3</v>
      </c>
      <c r="AM142" s="82">
        <f>IF(Consultas!AL142="N",-6,0)</f>
        <v>0</v>
      </c>
      <c r="AN142" s="82">
        <f>IF(Consultas!AM142="N",-10,0)</f>
        <v>0</v>
      </c>
      <c r="AO142" s="82">
        <f>IF(Consultas!AN142="S",4,-2)</f>
        <v>-2</v>
      </c>
      <c r="AP142" s="39"/>
      <c r="AQ142" s="165">
        <f>IF(Consultas!F142&gt;1,(SUM(F142:AO142)),"N/A")</f>
        <v>44</v>
      </c>
      <c r="AR142" s="78" t="str">
        <f>IF((Consultas!AD142&gt;'Parâmetros'!$A$31),"X",AJ142+Y142+V142+AC142)</f>
        <v>X</v>
      </c>
      <c r="AS142" s="78" t="str">
        <f>IF((Consultas!AD142&gt;'Parâmetros'!$A$31),"X",(H142+I142+J142+Q142+T142+Y142+Z142+AJ142+AN142))</f>
        <v>X</v>
      </c>
      <c r="AT142" s="78">
        <f>IF((Consultas!AD142&lt;'Parâmetros'!$A$31),"X",(AD142+AC142+AB142))</f>
        <v>14</v>
      </c>
      <c r="AU142" s="78">
        <f t="shared" si="1"/>
        <v>14</v>
      </c>
      <c r="AV142" s="82" t="str">
        <f>IF(AQ142="N/A","N/A",IF(AQ142&gt;5,'Parâmetros'!$A$15,(IF(AU142=AR142,'Parâmetros'!$A$17,IF(AU142=AS142,'Parâmetros'!$A$16,'Parâmetros'!$A$14)))))</f>
        <v>SEM-RISCO</v>
      </c>
      <c r="AW142" s="86" t="str">
        <f>IF(AQ142="N/A","N/A",IF(AV142='Parâmetros'!$A$15,'Parâmetros'!$C$15,(IF(AV142='Parâmetros'!$A$17,'Parâmetros'!$C$17,IF(AV142='Parâmetros'!$A$16,'Parâmetros'!$C$16,IF(AV142='Parâmetros'!$A$14,'Parâmetros'!$C$12))))))</f>
        <v>LIBERADO</v>
      </c>
      <c r="AX142" s="82" t="str">
        <f>IF(Consultas!F142&gt;1,(IF(Consultas!F142&gt;5000,"SOLICITAR PED COMPRA","N/A")))</f>
        <v>N/A</v>
      </c>
      <c r="AY142" s="167" t="str">
        <f>IF(AND(Consultas!M142&lt;&gt;"S", Consultas!H142="S"), "CHECAGEM REVERSA", "N/A")</f>
        <v>N/A</v>
      </c>
      <c r="AZ142" s="167" t="str">
        <f>IF(Consultas!U142="N","PRECISA CORRIGIR END DIVERGENTE","N/A")</f>
        <v>N/A</v>
      </c>
    </row>
    <row r="143" ht="12.0" customHeight="1">
      <c r="A143" s="39" t="s">
        <v>90</v>
      </c>
      <c r="B143" s="82">
        <f>Consultas!B143</f>
        <v>304</v>
      </c>
      <c r="C143" s="82" t="str">
        <f>Consultas!D143</f>
        <v>Metalpleno</v>
      </c>
      <c r="D143" s="96" t="str">
        <f>Consultas!E143</f>
        <v>007637</v>
      </c>
      <c r="E143" s="104">
        <f>IF(Consultas!AB143&gt;0,YEAR('Parâmetros'!$B$1)-YEAR(Consultas!AB143),"NA")</f>
        <v>22</v>
      </c>
      <c r="F143" s="82">
        <f>IF(Consultas!F143&gt;'Parâmetros'!$B$2,-8,0)</f>
        <v>0</v>
      </c>
      <c r="G143" s="82">
        <f>IF(Consultas!H143='Parâmetros'!$E$1,100,0)</f>
        <v>0</v>
      </c>
      <c r="H143" s="82">
        <f>IF(Consultas!I143='Parâmetros'!$E$1,-4,12)</f>
        <v>-4</v>
      </c>
      <c r="I143" s="82">
        <f>IF(Consultas!J143='Parâmetros'!$E$1,1,-13)</f>
        <v>1</v>
      </c>
      <c r="J143" s="82">
        <f>IF(Consultas!K143='Parâmetros'!$E$1,2,-5)</f>
        <v>2</v>
      </c>
      <c r="K143" s="82" t="str">
        <f>IF(Consultas!L143='Parâmetros'!$D$1,"SOLIC CONTRATO DE ENTREGA","N/A")</f>
        <v>SOLIC CONTRATO DE ENTREGA</v>
      </c>
      <c r="L143" s="82">
        <f>IF(Consultas!R143='Parâmetros'!$E$1,1,-3)</f>
        <v>1</v>
      </c>
      <c r="M143" s="82">
        <f>IF(Consultas!S143&gt;1,(IF(Consultas!S143='Parâmetros'!$E$1,-3,9)))</f>
        <v>-3</v>
      </c>
      <c r="N143" s="82">
        <f>IF(Consultas!T143="S",23,0)</f>
        <v>0</v>
      </c>
      <c r="O143" s="82">
        <f>IF(Consultas!U143='Parâmetros'!$E$1,-3,3)</f>
        <v>3</v>
      </c>
      <c r="P143" s="82">
        <f>IF(Consultas!V143='Parâmetros'!$E$1,-100,2)</f>
        <v>2</v>
      </c>
      <c r="Q143" s="82">
        <f>IF(Consultas!M143='Parâmetros'!$D$1,2,-9)</f>
        <v>2</v>
      </c>
      <c r="R143" s="82">
        <f>IF(Consultas!N143="RJ",-12,0)</f>
        <v>0</v>
      </c>
      <c r="S143" s="82">
        <f>IF(Consultas!O143="-",-3,IF(Consultas!O143=0,-6,IF(Consultas!O143=5,0,IF(Consultas!O143=10,6))))</f>
        <v>0</v>
      </c>
      <c r="T143" s="82">
        <f>IF(Consultas!M143="S",0,(IF(Consultas!P143="S",6,0)))</f>
        <v>0</v>
      </c>
      <c r="U143" s="82">
        <f>IF(Consultas!Q143&gt;97,9,IF(Consultas!Q143&gt;75,0,-7))</f>
        <v>9</v>
      </c>
      <c r="V143" s="82">
        <f>IF(Consultas!W143='Parâmetros'!$E$1,1,-5)</f>
        <v>1</v>
      </c>
      <c r="W143" s="82">
        <f>IF(Consultas!X143="S",3,-3)</f>
        <v>3</v>
      </c>
      <c r="X143" s="82">
        <f>IF(Consultas!Y143="S",0,-7)</f>
        <v>0</v>
      </c>
      <c r="Y143" s="82">
        <f>IF(Consultas!Z143='Parâmetros'!$E$1,2,-8)</f>
        <v>2</v>
      </c>
      <c r="Z143" s="82">
        <f>IF(Consultas!AA143='Parâmetros'!$E$1,-15,1)</f>
        <v>1</v>
      </c>
      <c r="AA143" s="147" t="s">
        <v>140</v>
      </c>
      <c r="AB143" s="82">
        <f>IF(E143="NA","NA",IF(E143&gt;'Parâmetros'!$A$9,8,IF(E143&gt;'Parâmetros'!$A$8,4,IF(E143&gt;'Parâmetros'!$A$7,0,-6))))</f>
        <v>4</v>
      </c>
      <c r="AC143" s="82">
        <f>IF(Consultas!AC143='Parâmetros'!$E$1,0,5)</f>
        <v>0</v>
      </c>
      <c r="AD143" s="82">
        <f>IF(Consultas!AH143='Parâmetros'!$D$1,-10,5)</f>
        <v>5</v>
      </c>
      <c r="AE143" s="82">
        <f>IF(Consultas!AI143&gt;(Consultas!F143*2),-10,0)</f>
        <v>0</v>
      </c>
      <c r="AF143" s="82">
        <f>IF(Consultas!AD143&gt;1,(IF(Consultas!AI143&gt;(Consultas!AD143),-20,4)))</f>
        <v>4</v>
      </c>
      <c r="AG143" s="82">
        <f>IF(Consultas!AG143='Parâmetros'!$E$1,0,-6)</f>
        <v>0</v>
      </c>
      <c r="AH143" s="82">
        <f>IF(Consultas!AF143='Parâmetros'!$E$1,1,-5)</f>
        <v>1</v>
      </c>
      <c r="AI143" s="82">
        <f>IF(Consultas!AJ143&gt;700,8,IF(Consultas!AJ143&gt;500,4,IF(Consultas!AJ143&gt;200,-4,IF(Consultas!AJ143&gt;1,-15,-20))))</f>
        <v>8</v>
      </c>
      <c r="AJ143" s="82">
        <f>IF(Consultas!AD143='Parâmetros'!$E$10,0,IF(Consultas!AD143&gt;'Parâmetros'!$A$30,12,IF(Consultas!AD143&gt;'Parâmetros'!$A$31,6,IF(Consultas!AD143&gt;'Parâmetros'!$A$32,0,IF(Consultas!AD143&gt;'Parâmetros'!$A$33,0,IF(Consultas!AD143&gt;'Parâmetros'!$A$34,-3,IF(Consultas!AD143&gt;'Parâmetros'!$A$35,-7,-1)))))))</f>
        <v>12</v>
      </c>
      <c r="AK143" s="82">
        <f>IF(Consultas!AO143='Parâmetros'!$D$1,3,-3)</f>
        <v>-3</v>
      </c>
      <c r="AL143" s="82">
        <f>IF(Consultas!AP143='Parâmetros'!$D$1,5,-3)</f>
        <v>-3</v>
      </c>
      <c r="AM143" s="82">
        <f>IF(Consultas!AL143="N",-6,0)</f>
        <v>0</v>
      </c>
      <c r="AN143" s="82">
        <f>IF(Consultas!AM143="N",-10,0)</f>
        <v>0</v>
      </c>
      <c r="AO143" s="82">
        <f>IF(Consultas!AN143="S",4,-2)</f>
        <v>-2</v>
      </c>
      <c r="AP143" s="39"/>
      <c r="AQ143" s="165">
        <f>IF(Consultas!F143&gt;1,(SUM(F143:AO143)),"N/A")</f>
        <v>46</v>
      </c>
      <c r="AR143" s="78" t="str">
        <f>IF((Consultas!AD143&gt;'Parâmetros'!$A$31),"X",AJ143+Y143+V143+AC143)</f>
        <v>X</v>
      </c>
      <c r="AS143" s="78" t="str">
        <f>IF((Consultas!AD143&gt;'Parâmetros'!$A$31),"X",(H143+I143+J143+Q143+T143+Y143+Z143+AJ143+AN143))</f>
        <v>X</v>
      </c>
      <c r="AT143" s="78">
        <f>IF((Consultas!AD143&lt;'Parâmetros'!$A$31),"X",(AD143+AC143+AB143))</f>
        <v>9</v>
      </c>
      <c r="AU143" s="78">
        <f t="shared" si="1"/>
        <v>9</v>
      </c>
      <c r="AV143" s="82" t="str">
        <f>IF(AQ143="N/A","N/A",IF(AQ143&gt;5,'Parâmetros'!$A$15,(IF(AU143=AR143,'Parâmetros'!$A$17,IF(AU143=AS143,'Parâmetros'!$A$16,'Parâmetros'!$A$14)))))</f>
        <v>SEM-RISCO</v>
      </c>
      <c r="AW143" s="86" t="str">
        <f>IF(AQ143="N/A","N/A",IF(AV143='Parâmetros'!$A$15,'Parâmetros'!$C$15,(IF(AV143='Parâmetros'!$A$17,'Parâmetros'!$C$17,IF(AV143='Parâmetros'!$A$16,'Parâmetros'!$C$16,IF(AV143='Parâmetros'!$A$14,'Parâmetros'!$C$12))))))</f>
        <v>LIBERADO</v>
      </c>
      <c r="AX143" s="82" t="str">
        <f>IF(Consultas!F143&gt;1,(IF(Consultas!F143&gt;5000,"SOLICITAR PED COMPRA","N/A")))</f>
        <v>SOLICITAR PED COMPRA</v>
      </c>
      <c r="AY143" s="167" t="str">
        <f>IF(AND(Consultas!M143&lt;&gt;"S", Consultas!H143="S"), "CHECAGEM REVERSA", "N/A")</f>
        <v>N/A</v>
      </c>
      <c r="AZ143" s="167" t="str">
        <f>IF(Consultas!U143="N","PRECISA CORRIGIR END DIVERGENTE","N/A")</f>
        <v>N/A</v>
      </c>
    </row>
    <row r="144" ht="12.0" customHeight="1">
      <c r="A144" s="39" t="s">
        <v>90</v>
      </c>
      <c r="B144" s="82">
        <f>Consultas!B144</f>
        <v>308</v>
      </c>
      <c r="C144" s="82" t="str">
        <f>Consultas!D144</f>
        <v>Metalpleno</v>
      </c>
      <c r="D144" s="96" t="str">
        <f>Consultas!E144</f>
        <v>012477</v>
      </c>
      <c r="E144" s="104">
        <f>IF(Consultas!AB144&gt;0,YEAR('Parâmetros'!$B$1)-YEAR(Consultas!AB144),"NA")</f>
        <v>24</v>
      </c>
      <c r="F144" s="82">
        <f>IF(Consultas!F144&gt;'Parâmetros'!$B$2,-8,0)</f>
        <v>0</v>
      </c>
      <c r="G144" s="82">
        <f>IF(Consultas!H144='Parâmetros'!$E$1,100,0)</f>
        <v>0</v>
      </c>
      <c r="H144" s="82">
        <f>IF(Consultas!I144='Parâmetros'!$E$1,-4,12)</f>
        <v>12</v>
      </c>
      <c r="I144" s="82">
        <f>IF(Consultas!J144='Parâmetros'!$E$1,1,-13)</f>
        <v>1</v>
      </c>
      <c r="J144" s="82">
        <f>IF(Consultas!K144='Parâmetros'!$E$1,2,-5)</f>
        <v>2</v>
      </c>
      <c r="K144" s="82" t="str">
        <f>IF(Consultas!L144='Parâmetros'!$D$1,"SOLIC CONTRATO DE ENTREGA","N/A")</f>
        <v>SOLIC CONTRATO DE ENTREGA</v>
      </c>
      <c r="L144" s="82">
        <f>IF(Consultas!R144='Parâmetros'!$E$1,1,-3)</f>
        <v>1</v>
      </c>
      <c r="M144" s="82">
        <f>IF(Consultas!S144&gt;1,(IF(Consultas!S144='Parâmetros'!$E$1,-3,9)))</f>
        <v>-3</v>
      </c>
      <c r="N144" s="82">
        <f>IF(Consultas!T144="S",23,0)</f>
        <v>0</v>
      </c>
      <c r="O144" s="82">
        <f>IF(Consultas!U144='Parâmetros'!$E$1,-3,3)</f>
        <v>3</v>
      </c>
      <c r="P144" s="82">
        <f>IF(Consultas!V144='Parâmetros'!$E$1,-100,2)</f>
        <v>2</v>
      </c>
      <c r="Q144" s="82">
        <f>IF(Consultas!M144='Parâmetros'!$D$1,2,-9)</f>
        <v>2</v>
      </c>
      <c r="R144" s="82">
        <f>IF(Consultas!N144="RJ",-12,0)</f>
        <v>0</v>
      </c>
      <c r="S144" s="82">
        <f>IF(Consultas!O144="-",-3,IF(Consultas!O144=0,-6,IF(Consultas!O144=5,0,IF(Consultas!O144=10,6))))</f>
        <v>-3</v>
      </c>
      <c r="T144" s="82">
        <f>IF(Consultas!M144="S",0,(IF(Consultas!P144="S",6,0)))</f>
        <v>0</v>
      </c>
      <c r="U144" s="82">
        <f>IF(Consultas!Q144&gt;97,9,IF(Consultas!Q144&gt;75,0,-7))</f>
        <v>9</v>
      </c>
      <c r="V144" s="82">
        <f>IF(Consultas!W144='Parâmetros'!$E$1,1,-5)</f>
        <v>1</v>
      </c>
      <c r="W144" s="82">
        <f>IF(Consultas!X144="S",3,-3)</f>
        <v>3</v>
      </c>
      <c r="X144" s="82">
        <f>IF(Consultas!Y144="S",0,-7)</f>
        <v>0</v>
      </c>
      <c r="Y144" s="82">
        <f>IF(Consultas!Z144='Parâmetros'!$E$1,2,-8)</f>
        <v>2</v>
      </c>
      <c r="Z144" s="82">
        <f>IF(Consultas!AA144='Parâmetros'!$E$1,-15,1)</f>
        <v>1</v>
      </c>
      <c r="AA144" s="147" t="s">
        <v>140</v>
      </c>
      <c r="AB144" s="82">
        <f>IF(E144="NA","NA",IF(E144&gt;'Parâmetros'!$A$9,8,IF(E144&gt;'Parâmetros'!$A$8,4,IF(E144&gt;'Parâmetros'!$A$7,0,-6))))</f>
        <v>4</v>
      </c>
      <c r="AC144" s="82">
        <f>IF(Consultas!AC144='Parâmetros'!$E$1,0,5)</f>
        <v>0</v>
      </c>
      <c r="AD144" s="82">
        <f>IF(Consultas!AH144='Parâmetros'!$D$1,-10,5)</f>
        <v>5</v>
      </c>
      <c r="AE144" s="82">
        <f>IF(Consultas!AI144&gt;(Consultas!F144*2),-10,0)</f>
        <v>0</v>
      </c>
      <c r="AF144" s="82">
        <f>IF(Consultas!AD144&gt;1,(IF(Consultas!AI144&gt;(Consultas!AD144),-20,4)))</f>
        <v>4</v>
      </c>
      <c r="AG144" s="82">
        <f>IF(Consultas!AG144='Parâmetros'!$E$1,0,-6)</f>
        <v>0</v>
      </c>
      <c r="AH144" s="82">
        <f>IF(Consultas!AF144='Parâmetros'!$E$1,1,-5)</f>
        <v>1</v>
      </c>
      <c r="AI144" s="82">
        <f>IF(Consultas!AJ144&gt;700,8,IF(Consultas!AJ144&gt;500,4,IF(Consultas!AJ144&gt;200,-4,IF(Consultas!AJ144&gt;1,-15,-20))))</f>
        <v>8</v>
      </c>
      <c r="AJ144" s="82">
        <f>IF(Consultas!AD144='Parâmetros'!$E$10,0,IF(Consultas!AD144&gt;'Parâmetros'!$A$30,12,IF(Consultas!AD144&gt;'Parâmetros'!$A$31,6,IF(Consultas!AD144&gt;'Parâmetros'!$A$32,0,IF(Consultas!AD144&gt;'Parâmetros'!$A$33,0,IF(Consultas!AD144&gt;'Parâmetros'!$A$34,-3,IF(Consultas!AD144&gt;'Parâmetros'!$A$35,-7,-1)))))))</f>
        <v>12</v>
      </c>
      <c r="AK144" s="82">
        <f>IF(Consultas!AO144='Parâmetros'!$D$1,3,-3)</f>
        <v>-3</v>
      </c>
      <c r="AL144" s="82">
        <f>IF(Consultas!AP144='Parâmetros'!$D$1,5,-3)</f>
        <v>-3</v>
      </c>
      <c r="AM144" s="82">
        <f>IF(Consultas!AL144="N",-6,0)</f>
        <v>0</v>
      </c>
      <c r="AN144" s="82">
        <f>IF(Consultas!AM144="N",-10,0)</f>
        <v>0</v>
      </c>
      <c r="AO144" s="82">
        <f>IF(Consultas!AN144="S",4,-2)</f>
        <v>-2</v>
      </c>
      <c r="AP144" s="39"/>
      <c r="AQ144" s="165">
        <f>IF(Consultas!F144&gt;1,(SUM(F144:AO144)),"N/A")</f>
        <v>59</v>
      </c>
      <c r="AR144" s="78" t="str">
        <f>IF((Consultas!AD144&gt;'Parâmetros'!$A$31),"X",AJ144+Y144+V144+AC144)</f>
        <v>X</v>
      </c>
      <c r="AS144" s="78" t="str">
        <f>IF((Consultas!AD144&gt;'Parâmetros'!$A$31),"X",(H144+I144+J144+Q144+T144+Y144+Z144+AJ144+AN144))</f>
        <v>X</v>
      </c>
      <c r="AT144" s="78">
        <f>IF((Consultas!AD144&lt;'Parâmetros'!$A$31),"X",(AD144+AC144+AB144))</f>
        <v>9</v>
      </c>
      <c r="AU144" s="78">
        <f t="shared" si="1"/>
        <v>9</v>
      </c>
      <c r="AV144" s="82" t="str">
        <f>IF(AQ144="N/A","N/A",IF(AQ144&gt;5,'Parâmetros'!$A$15,(IF(AU144=AR144,'Parâmetros'!$A$17,IF(AU144=AS144,'Parâmetros'!$A$16,'Parâmetros'!$A$14)))))</f>
        <v>SEM-RISCO</v>
      </c>
      <c r="AW144" s="86" t="str">
        <f>IF(AQ144="N/A","N/A",IF(AV144='Parâmetros'!$A$15,'Parâmetros'!$C$15,(IF(AV144='Parâmetros'!$A$17,'Parâmetros'!$C$17,IF(AV144='Parâmetros'!$A$16,'Parâmetros'!$C$16,IF(AV144='Parâmetros'!$A$14,'Parâmetros'!$C$12))))))</f>
        <v>LIBERADO</v>
      </c>
      <c r="AX144" s="82" t="str">
        <f>IF(Consultas!F144&gt;1,(IF(Consultas!F144&gt;5000,"SOLICITAR PED COMPRA","N/A")))</f>
        <v>N/A</v>
      </c>
      <c r="AY144" s="167" t="str">
        <f>IF(AND(Consultas!M144&lt;&gt;"S", Consultas!H144="S"), "CHECAGEM REVERSA", "N/A")</f>
        <v>N/A</v>
      </c>
      <c r="AZ144" s="167" t="str">
        <f>IF(Consultas!U144="N","PRECISA CORRIGIR END DIVERGENTE","N/A")</f>
        <v>N/A</v>
      </c>
    </row>
    <row r="145" ht="12.0" customHeight="1">
      <c r="A145" s="39" t="s">
        <v>90</v>
      </c>
      <c r="B145" s="82">
        <f>Consultas!B145</f>
        <v>309</v>
      </c>
      <c r="C145" s="82" t="str">
        <f>Consultas!D145</f>
        <v>Metalpleno</v>
      </c>
      <c r="D145" s="96" t="str">
        <f>Consultas!E145</f>
        <v>144702</v>
      </c>
      <c r="E145" s="104">
        <f>IF(Consultas!AB145&gt;0,YEAR('Parâmetros'!$B$1)-YEAR(Consultas!AB145),"NA")</f>
        <v>3</v>
      </c>
      <c r="F145" s="82">
        <f>IF(Consultas!F145&gt;'Parâmetros'!$B$2,-8,0)</f>
        <v>0</v>
      </c>
      <c r="G145" s="82">
        <f>IF(Consultas!H145='Parâmetros'!$E$1,100,0)</f>
        <v>0</v>
      </c>
      <c r="H145" s="82">
        <f>IF(Consultas!I145='Parâmetros'!$E$1,-4,12)</f>
        <v>-4</v>
      </c>
      <c r="I145" s="82">
        <f>IF(Consultas!J145='Parâmetros'!$E$1,1,-13)</f>
        <v>1</v>
      </c>
      <c r="J145" s="82">
        <f>IF(Consultas!K145='Parâmetros'!$E$1,2,-5)</f>
        <v>2</v>
      </c>
      <c r="K145" s="82" t="str">
        <f>IF(Consultas!L145='Parâmetros'!$D$1,"SOLIC CONTRATO DE ENTREGA","N/A")</f>
        <v>SOLIC CONTRATO DE ENTREGA</v>
      </c>
      <c r="L145" s="82">
        <f>IF(Consultas!R145='Parâmetros'!$E$1,1,-3)</f>
        <v>1</v>
      </c>
      <c r="M145" s="82">
        <f>IF(Consultas!S145&gt;1,(IF(Consultas!S145='Parâmetros'!$E$1,-3,9)))</f>
        <v>-3</v>
      </c>
      <c r="N145" s="82">
        <f>IF(Consultas!T145="S",23,0)</f>
        <v>0</v>
      </c>
      <c r="O145" s="82">
        <f>IF(Consultas!U145='Parâmetros'!$E$1,-3,3)</f>
        <v>3</v>
      </c>
      <c r="P145" s="82">
        <f>IF(Consultas!V145='Parâmetros'!$E$1,-100,2)</f>
        <v>2</v>
      </c>
      <c r="Q145" s="82">
        <f>IF(Consultas!M145='Parâmetros'!$D$1,2,-9)</f>
        <v>2</v>
      </c>
      <c r="R145" s="82">
        <f>IF(Consultas!N145="RJ",-12,0)</f>
        <v>0</v>
      </c>
      <c r="S145" s="82">
        <f>IF(Consultas!O145="-",-3,IF(Consultas!O145=0,-6,IF(Consultas!O145=5,0,IF(Consultas!O145=10,6))))</f>
        <v>-3</v>
      </c>
      <c r="T145" s="82">
        <f>IF(Consultas!M145="S",0,(IF(Consultas!P145="S",6,0)))</f>
        <v>0</v>
      </c>
      <c r="U145" s="82">
        <f>IF(Consultas!Q145&gt;97,9,IF(Consultas!Q145&gt;75,0,-7))</f>
        <v>9</v>
      </c>
      <c r="V145" s="82">
        <f>IF(Consultas!W145='Parâmetros'!$E$1,1,-5)</f>
        <v>1</v>
      </c>
      <c r="W145" s="82">
        <f>IF(Consultas!X145="S",3,-3)</f>
        <v>3</v>
      </c>
      <c r="X145" s="82">
        <f>IF(Consultas!Y145="S",0,-7)</f>
        <v>-7</v>
      </c>
      <c r="Y145" s="82">
        <f>IF(Consultas!Z145='Parâmetros'!$E$1,2,-8)</f>
        <v>2</v>
      </c>
      <c r="Z145" s="82">
        <f>IF(Consultas!AA145='Parâmetros'!$E$1,-15,1)</f>
        <v>1</v>
      </c>
      <c r="AA145" s="147" t="s">
        <v>140</v>
      </c>
      <c r="AB145" s="82">
        <f>IF(E145="NA","NA",IF(E145&gt;'Parâmetros'!$A$9,8,IF(E145&gt;'Parâmetros'!$A$8,4,IF(E145&gt;'Parâmetros'!$A$7,0,-6))))</f>
        <v>-6</v>
      </c>
      <c r="AC145" s="82">
        <f>IF(Consultas!AC145='Parâmetros'!$E$1,0,5)</f>
        <v>0</v>
      </c>
      <c r="AD145" s="82">
        <f>IF(Consultas!AH145='Parâmetros'!$D$1,-10,5)</f>
        <v>5</v>
      </c>
      <c r="AE145" s="82">
        <f>IF(Consultas!AI145&gt;(Consultas!F145*2),-10,0)</f>
        <v>0</v>
      </c>
      <c r="AF145" s="82">
        <f>IF(Consultas!AD145&gt;1,(IF(Consultas!AI145&gt;(Consultas!AD145),-20,4)))</f>
        <v>4</v>
      </c>
      <c r="AG145" s="82">
        <f>IF(Consultas!AG145='Parâmetros'!$E$1,0,-6)</f>
        <v>0</v>
      </c>
      <c r="AH145" s="82">
        <f>IF(Consultas!AF145='Parâmetros'!$E$1,1,-5)</f>
        <v>1</v>
      </c>
      <c r="AI145" s="82">
        <f>IF(Consultas!AJ145&gt;700,8,IF(Consultas!AJ145&gt;500,4,IF(Consultas!AJ145&gt;200,-4,IF(Consultas!AJ145&gt;1,-15,-20))))</f>
        <v>-4</v>
      </c>
      <c r="AJ145" s="82">
        <f>IF(Consultas!AD145='Parâmetros'!$E$10,0,IF(Consultas!AD145&gt;'Parâmetros'!$A$30,12,IF(Consultas!AD145&gt;'Parâmetros'!$A$31,6,IF(Consultas!AD145&gt;'Parâmetros'!$A$32,0,IF(Consultas!AD145&gt;'Parâmetros'!$A$33,0,IF(Consultas!AD145&gt;'Parâmetros'!$A$34,-3,IF(Consultas!AD145&gt;'Parâmetros'!$A$35,-7,-1)))))))</f>
        <v>12</v>
      </c>
      <c r="AK145" s="82">
        <f>IF(Consultas!AO145='Parâmetros'!$D$1,3,-3)</f>
        <v>-3</v>
      </c>
      <c r="AL145" s="82">
        <f>IF(Consultas!AP145='Parâmetros'!$D$1,5,-3)</f>
        <v>-3</v>
      </c>
      <c r="AM145" s="82">
        <f>IF(Consultas!AL145="N",-6,0)</f>
        <v>0</v>
      </c>
      <c r="AN145" s="82">
        <f>IF(Consultas!AM145="N",-10,0)</f>
        <v>0</v>
      </c>
      <c r="AO145" s="82">
        <f>IF(Consultas!AN145="S",4,-2)</f>
        <v>-2</v>
      </c>
      <c r="AP145" s="39"/>
      <c r="AQ145" s="165">
        <f>IF(Consultas!F145&gt;1,(SUM(F145:AO145)),"N/A")</f>
        <v>14</v>
      </c>
      <c r="AR145" s="78" t="str">
        <f>IF((Consultas!AD145&gt;'Parâmetros'!$A$31),"X",AJ145+Y145+V145+AC145)</f>
        <v>X</v>
      </c>
      <c r="AS145" s="78" t="str">
        <f>IF((Consultas!AD145&gt;'Parâmetros'!$A$31),"X",(H145+I145+J145+Q145+T145+Y145+Z145+AJ145+AN145))</f>
        <v>X</v>
      </c>
      <c r="AT145" s="78">
        <f>IF((Consultas!AD145&lt;'Parâmetros'!$A$31),"X",(AD145+AC145+AB145))</f>
        <v>-1</v>
      </c>
      <c r="AU145" s="78">
        <f t="shared" si="1"/>
        <v>-1</v>
      </c>
      <c r="AV145" s="82" t="str">
        <f>IF(AQ145="N/A","N/A",IF(AQ145&gt;5,'Parâmetros'!$A$15,(IF(AU145=AR145,'Parâmetros'!$A$17,IF(AU145=AS145,'Parâmetros'!$A$16,'Parâmetros'!$A$14)))))</f>
        <v>SEM-RISCO</v>
      </c>
      <c r="AW145" s="86" t="str">
        <f>IF(AQ145="N/A","N/A",IF(AV145='Parâmetros'!$A$15,'Parâmetros'!$C$15,(IF(AV145='Parâmetros'!$A$17,'Parâmetros'!$C$17,IF(AV145='Parâmetros'!$A$16,'Parâmetros'!$C$16,IF(AV145='Parâmetros'!$A$14,'Parâmetros'!$C$12))))))</f>
        <v>LIBERADO</v>
      </c>
      <c r="AX145" s="82" t="str">
        <f>IF(Consultas!F145&gt;1,(IF(Consultas!F145&gt;5000,"SOLICITAR PED COMPRA","N/A")))</f>
        <v>SOLICITAR PED COMPRA</v>
      </c>
      <c r="AY145" s="167" t="str">
        <f>IF(AND(Consultas!M145&lt;&gt;"S", Consultas!H145="S"), "CHECAGEM REVERSA", "N/A")</f>
        <v>N/A</v>
      </c>
      <c r="AZ145" s="167" t="str">
        <f>IF(Consultas!U145="N","PRECISA CORRIGIR END DIVERGENTE","N/A")</f>
        <v>N/A</v>
      </c>
    </row>
    <row r="146" ht="12.0" customHeight="1">
      <c r="A146" s="39" t="s">
        <v>90</v>
      </c>
      <c r="B146" s="82">
        <f>Consultas!B146</f>
        <v>310</v>
      </c>
      <c r="C146" s="82" t="str">
        <f>Consultas!D146</f>
        <v>Metalpleno</v>
      </c>
      <c r="D146" s="96" t="str">
        <f>Consultas!E146</f>
        <v>141880</v>
      </c>
      <c r="E146" s="104">
        <f>IF(Consultas!AB146&gt;0,YEAR('Parâmetros'!$B$1)-YEAR(Consultas!AB146),"NA")</f>
        <v>37</v>
      </c>
      <c r="F146" s="82">
        <f>IF(Consultas!F146&gt;'Parâmetros'!$B$2,-8,0)</f>
        <v>0</v>
      </c>
      <c r="G146" s="82">
        <f>IF(Consultas!H146='Parâmetros'!$E$1,100,0)</f>
        <v>0</v>
      </c>
      <c r="H146" s="82">
        <f>IF(Consultas!I146='Parâmetros'!$E$1,-4,12)</f>
        <v>-4</v>
      </c>
      <c r="I146" s="82">
        <f>IF(Consultas!J146='Parâmetros'!$E$1,1,-13)</f>
        <v>1</v>
      </c>
      <c r="J146" s="82">
        <f>IF(Consultas!K146='Parâmetros'!$E$1,2,-5)</f>
        <v>2</v>
      </c>
      <c r="K146" s="82" t="str">
        <f>IF(Consultas!L146='Parâmetros'!$D$1,"SOLIC CONTRATO DE ENTREGA","N/A")</f>
        <v>SOLIC CONTRATO DE ENTREGA</v>
      </c>
      <c r="L146" s="82">
        <f>IF(Consultas!R146='Parâmetros'!$E$1,1,-3)</f>
        <v>1</v>
      </c>
      <c r="M146" s="82">
        <f>IF(Consultas!S146&gt;1,(IF(Consultas!S146='Parâmetros'!$E$1,-3,9)))</f>
        <v>9</v>
      </c>
      <c r="N146" s="82">
        <f>IF(Consultas!T146="S",23,0)</f>
        <v>0</v>
      </c>
      <c r="O146" s="82">
        <f>IF(Consultas!U146='Parâmetros'!$E$1,-3,3)</f>
        <v>3</v>
      </c>
      <c r="P146" s="82">
        <f>IF(Consultas!V146='Parâmetros'!$E$1,-100,2)</f>
        <v>2</v>
      </c>
      <c r="Q146" s="82">
        <f>IF(Consultas!M146='Parâmetros'!$D$1,2,-9)</f>
        <v>2</v>
      </c>
      <c r="R146" s="82">
        <f>IF(Consultas!N146="RJ",-12,0)</f>
        <v>0</v>
      </c>
      <c r="S146" s="82">
        <f>IF(Consultas!O146="-",-3,IF(Consultas!O146=0,-6,IF(Consultas!O146=5,0,IF(Consultas!O146=10,6))))</f>
        <v>0</v>
      </c>
      <c r="T146" s="82">
        <f>IF(Consultas!M146="S",0,(IF(Consultas!P146="S",6,0)))</f>
        <v>0</v>
      </c>
      <c r="U146" s="82">
        <f>IF(Consultas!Q146&gt;97,9,IF(Consultas!Q146&gt;75,0,-7))</f>
        <v>9</v>
      </c>
      <c r="V146" s="82">
        <f>IF(Consultas!W146='Parâmetros'!$E$1,1,-5)</f>
        <v>1</v>
      </c>
      <c r="W146" s="82">
        <f>IF(Consultas!X146="S",3,-3)</f>
        <v>3</v>
      </c>
      <c r="X146" s="82">
        <f>IF(Consultas!Y146="S",0,-7)</f>
        <v>0</v>
      </c>
      <c r="Y146" s="82">
        <f>IF(Consultas!Z146='Parâmetros'!$E$1,2,-8)</f>
        <v>2</v>
      </c>
      <c r="Z146" s="82">
        <f>IF(Consultas!AA146='Parâmetros'!$E$1,-15,1)</f>
        <v>1</v>
      </c>
      <c r="AA146" s="147" t="s">
        <v>140</v>
      </c>
      <c r="AB146" s="82">
        <f>IF(E146="NA","NA",IF(E146&gt;'Parâmetros'!$A$9,8,IF(E146&gt;'Parâmetros'!$A$8,4,IF(E146&gt;'Parâmetros'!$A$7,0,-6))))</f>
        <v>8</v>
      </c>
      <c r="AC146" s="82">
        <f>IF(Consultas!AC146='Parâmetros'!$E$1,0,5)</f>
        <v>0</v>
      </c>
      <c r="AD146" s="82">
        <f>IF(Consultas!AH146='Parâmetros'!$D$1,-10,5)</f>
        <v>5</v>
      </c>
      <c r="AE146" s="82">
        <f>IF(Consultas!AI146&gt;(Consultas!F146*2),-10,0)</f>
        <v>0</v>
      </c>
      <c r="AF146" s="82">
        <f>IF(Consultas!AD146&gt;1,(IF(Consultas!AI146&gt;(Consultas!AD146),-20,4)))</f>
        <v>4</v>
      </c>
      <c r="AG146" s="82">
        <f>IF(Consultas!AG146='Parâmetros'!$E$1,0,-6)</f>
        <v>0</v>
      </c>
      <c r="AH146" s="82">
        <f>IF(Consultas!AF146='Parâmetros'!$E$1,1,-5)</f>
        <v>1</v>
      </c>
      <c r="AI146" s="82">
        <f>IF(Consultas!AJ146&gt;700,8,IF(Consultas!AJ146&gt;500,4,IF(Consultas!AJ146&gt;200,-4,IF(Consultas!AJ146&gt;1,-15,-20))))</f>
        <v>8</v>
      </c>
      <c r="AJ146" s="82">
        <f>IF(Consultas!AD146='Parâmetros'!$E$10,0,IF(Consultas!AD146&gt;'Parâmetros'!$A$30,12,IF(Consultas!AD146&gt;'Parâmetros'!$A$31,6,IF(Consultas!AD146&gt;'Parâmetros'!$A$32,0,IF(Consultas!AD146&gt;'Parâmetros'!$A$33,0,IF(Consultas!AD146&gt;'Parâmetros'!$A$34,-3,IF(Consultas!AD146&gt;'Parâmetros'!$A$35,-7,-1)))))))</f>
        <v>12</v>
      </c>
      <c r="AK146" s="82">
        <f>IF(Consultas!AO146='Parâmetros'!$D$1,3,-3)</f>
        <v>-3</v>
      </c>
      <c r="AL146" s="82">
        <f>IF(Consultas!AP146='Parâmetros'!$D$1,5,-3)</f>
        <v>-3</v>
      </c>
      <c r="AM146" s="82">
        <f>IF(Consultas!AL146="N",-6,0)</f>
        <v>0</v>
      </c>
      <c r="AN146" s="82">
        <f>IF(Consultas!AM146="N",-10,0)</f>
        <v>0</v>
      </c>
      <c r="AO146" s="82">
        <f>IF(Consultas!AN146="S",4,-2)</f>
        <v>-2</v>
      </c>
      <c r="AP146" s="39"/>
      <c r="AQ146" s="165">
        <f>IF(Consultas!F146&gt;1,(SUM(F146:AO146)),"N/A")</f>
        <v>62</v>
      </c>
      <c r="AR146" s="78" t="str">
        <f>IF((Consultas!AD146&gt;'Parâmetros'!$A$31),"X",AJ146+Y146+V146+AC146)</f>
        <v>X</v>
      </c>
      <c r="AS146" s="78" t="str">
        <f>IF((Consultas!AD146&gt;'Parâmetros'!$A$31),"X",(H146+I146+J146+Q146+T146+Y146+Z146+AJ146+AN146))</f>
        <v>X</v>
      </c>
      <c r="AT146" s="78">
        <f>IF((Consultas!AD146&lt;'Parâmetros'!$A$31),"X",(AD146+AC146+AB146))</f>
        <v>13</v>
      </c>
      <c r="AU146" s="78">
        <f t="shared" si="1"/>
        <v>13</v>
      </c>
      <c r="AV146" s="82" t="str">
        <f>IF(AQ146="N/A","N/A",IF(AQ146&gt;5,'Parâmetros'!$A$15,(IF(AU146=AR146,'Parâmetros'!$A$17,IF(AU146=AS146,'Parâmetros'!$A$16,'Parâmetros'!$A$14)))))</f>
        <v>SEM-RISCO</v>
      </c>
      <c r="AW146" s="86" t="str">
        <f>IF(AQ146="N/A","N/A",IF(AV146='Parâmetros'!$A$15,'Parâmetros'!$C$15,(IF(AV146='Parâmetros'!$A$17,'Parâmetros'!$C$17,IF(AV146='Parâmetros'!$A$16,'Parâmetros'!$C$16,IF(AV146='Parâmetros'!$A$14,'Parâmetros'!$C$12))))))</f>
        <v>LIBERADO</v>
      </c>
      <c r="AX146" s="82" t="str">
        <f>IF(Consultas!F146&gt;1,(IF(Consultas!F146&gt;5000,"SOLICITAR PED COMPRA","N/A")))</f>
        <v>N/A</v>
      </c>
      <c r="AY146" s="167" t="str">
        <f>IF(AND(Consultas!M146&lt;&gt;"S", Consultas!H146="S"), "CHECAGEM REVERSA", "N/A")</f>
        <v>N/A</v>
      </c>
      <c r="AZ146" s="167" t="str">
        <f>IF(Consultas!U146="N","PRECISA CORRIGIR END DIVERGENTE","N/A")</f>
        <v>N/A</v>
      </c>
    </row>
    <row r="147" ht="12.0" customHeight="1">
      <c r="A147" s="39" t="s">
        <v>90</v>
      </c>
      <c r="B147" s="82">
        <f>Consultas!B147</f>
        <v>311</v>
      </c>
      <c r="C147" s="82" t="str">
        <f>Consultas!D147</f>
        <v>Metalpleno</v>
      </c>
      <c r="D147" s="96" t="str">
        <f>Consultas!E147</f>
        <v>144703</v>
      </c>
      <c r="E147" s="104">
        <f>IF(Consultas!AB147&gt;0,YEAR('Parâmetros'!$B$1)-YEAR(Consultas!AB147),"NA")</f>
        <v>10</v>
      </c>
      <c r="F147" s="82">
        <f>IF(Consultas!F147&gt;'Parâmetros'!$B$2,-8,0)</f>
        <v>0</v>
      </c>
      <c r="G147" s="82">
        <f>IF(Consultas!H147='Parâmetros'!$E$1,100,0)</f>
        <v>0</v>
      </c>
      <c r="H147" s="82">
        <f>IF(Consultas!I147='Parâmetros'!$E$1,-4,12)</f>
        <v>-4</v>
      </c>
      <c r="I147" s="82">
        <f>IF(Consultas!J147='Parâmetros'!$E$1,1,-13)</f>
        <v>1</v>
      </c>
      <c r="J147" s="82">
        <f>IF(Consultas!K147='Parâmetros'!$E$1,2,-5)</f>
        <v>2</v>
      </c>
      <c r="K147" s="82" t="str">
        <f>IF(Consultas!L147='Parâmetros'!$D$1,"SOLIC CONTRATO DE ENTREGA","N/A")</f>
        <v>SOLIC CONTRATO DE ENTREGA</v>
      </c>
      <c r="L147" s="82">
        <f>IF(Consultas!R147='Parâmetros'!$E$1,1,-3)</f>
        <v>1</v>
      </c>
      <c r="M147" s="82">
        <f>IF(Consultas!S147&gt;1,(IF(Consultas!S147='Parâmetros'!$E$1,-3,9)))</f>
        <v>-3</v>
      </c>
      <c r="N147" s="82">
        <f>IF(Consultas!T147="S",23,0)</f>
        <v>0</v>
      </c>
      <c r="O147" s="82">
        <f>IF(Consultas!U147='Parâmetros'!$E$1,-3,3)</f>
        <v>3</v>
      </c>
      <c r="P147" s="82">
        <f>IF(Consultas!V147='Parâmetros'!$E$1,-100,2)</f>
        <v>2</v>
      </c>
      <c r="Q147" s="82">
        <f>IF(Consultas!M147='Parâmetros'!$D$1,2,-9)</f>
        <v>2</v>
      </c>
      <c r="R147" s="82">
        <f>IF(Consultas!N147="RJ",-12,0)</f>
        <v>0</v>
      </c>
      <c r="S147" s="82">
        <f>IF(Consultas!O147="-",-3,IF(Consultas!O147=0,-6,IF(Consultas!O147=5,0,IF(Consultas!O147=10,6))))</f>
        <v>0</v>
      </c>
      <c r="T147" s="82">
        <f>IF(Consultas!M147="S",0,(IF(Consultas!P147="S",6,0)))</f>
        <v>0</v>
      </c>
      <c r="U147" s="82">
        <f>IF(Consultas!Q147&gt;97,9,IF(Consultas!Q147&gt;75,0,-7))</f>
        <v>9</v>
      </c>
      <c r="V147" s="82">
        <f>IF(Consultas!W147='Parâmetros'!$E$1,1,-5)</f>
        <v>1</v>
      </c>
      <c r="W147" s="82">
        <f>IF(Consultas!X147="S",3,-3)</f>
        <v>3</v>
      </c>
      <c r="X147" s="82">
        <f>IF(Consultas!Y147="S",0,-7)</f>
        <v>0</v>
      </c>
      <c r="Y147" s="82">
        <f>IF(Consultas!Z147='Parâmetros'!$E$1,2,-8)</f>
        <v>2</v>
      </c>
      <c r="Z147" s="82">
        <f>IF(Consultas!AA147='Parâmetros'!$E$1,-15,1)</f>
        <v>1</v>
      </c>
      <c r="AA147" s="147" t="s">
        <v>140</v>
      </c>
      <c r="AB147" s="82">
        <f>IF(E147="NA","NA",IF(E147&gt;'Parâmetros'!$A$9,8,IF(E147&gt;'Parâmetros'!$A$8,4,IF(E147&gt;'Parâmetros'!$A$7,0,-6))))</f>
        <v>0</v>
      </c>
      <c r="AC147" s="82">
        <f>IF(Consultas!AC147='Parâmetros'!$E$1,0,5)</f>
        <v>0</v>
      </c>
      <c r="AD147" s="82">
        <f>IF(Consultas!AH147='Parâmetros'!$D$1,-10,5)</f>
        <v>5</v>
      </c>
      <c r="AE147" s="82">
        <f>IF(Consultas!AI147&gt;(Consultas!F147*2),-10,0)</f>
        <v>0</v>
      </c>
      <c r="AF147" s="82">
        <f>IF(Consultas!AD147&gt;1,(IF(Consultas!AI147&gt;(Consultas!AD147),-20,4)))</f>
        <v>4</v>
      </c>
      <c r="AG147" s="82">
        <f>IF(Consultas!AG147='Parâmetros'!$E$1,0,-6)</f>
        <v>0</v>
      </c>
      <c r="AH147" s="82">
        <f>IF(Consultas!AF147='Parâmetros'!$E$1,1,-5)</f>
        <v>-5</v>
      </c>
      <c r="AI147" s="82">
        <f>IF(Consultas!AJ147&gt;700,8,IF(Consultas!AJ147&gt;500,4,IF(Consultas!AJ147&gt;200,-4,IF(Consultas!AJ147&gt;1,-15,-20))))</f>
        <v>-4</v>
      </c>
      <c r="AJ147" s="82">
        <f>IF(Consultas!AD147='Parâmetros'!$E$10,0,IF(Consultas!AD147&gt;'Parâmetros'!$A$30,12,IF(Consultas!AD147&gt;'Parâmetros'!$A$31,6,IF(Consultas!AD147&gt;'Parâmetros'!$A$32,0,IF(Consultas!AD147&gt;'Parâmetros'!$A$33,0,IF(Consultas!AD147&gt;'Parâmetros'!$A$34,-3,IF(Consultas!AD147&gt;'Parâmetros'!$A$35,-7,-1)))))))</f>
        <v>12</v>
      </c>
      <c r="AK147" s="82">
        <f>IF(Consultas!AO147='Parâmetros'!$D$1,3,-3)</f>
        <v>-3</v>
      </c>
      <c r="AL147" s="82">
        <f>IF(Consultas!AP147='Parâmetros'!$D$1,5,-3)</f>
        <v>-3</v>
      </c>
      <c r="AM147" s="82">
        <f>IF(Consultas!AL147="N",-6,0)</f>
        <v>0</v>
      </c>
      <c r="AN147" s="82">
        <f>IF(Consultas!AM147="N",-10,0)</f>
        <v>0</v>
      </c>
      <c r="AO147" s="82">
        <f>IF(Consultas!AN147="S",4,-2)</f>
        <v>-2</v>
      </c>
      <c r="AP147" s="39"/>
      <c r="AQ147" s="165">
        <f>IF(Consultas!F147&gt;1,(SUM(F147:AO147)),"N/A")</f>
        <v>24</v>
      </c>
      <c r="AR147" s="78" t="str">
        <f>IF((Consultas!AD147&gt;'Parâmetros'!$A$31),"X",AJ147+Y147+V147+AC147)</f>
        <v>X</v>
      </c>
      <c r="AS147" s="78" t="str">
        <f>IF((Consultas!AD147&gt;'Parâmetros'!$A$31),"X",(H147+I147+J147+Q147+T147+Y147+Z147+AJ147+AN147))</f>
        <v>X</v>
      </c>
      <c r="AT147" s="78">
        <f>IF((Consultas!AD147&lt;'Parâmetros'!$A$31),"X",(AD147+AC147+AB147))</f>
        <v>5</v>
      </c>
      <c r="AU147" s="78">
        <f t="shared" si="1"/>
        <v>5</v>
      </c>
      <c r="AV147" s="82" t="str">
        <f>IF(AQ147="N/A","N/A",IF(AQ147&gt;5,'Parâmetros'!$A$15,(IF(AU147=AR147,'Parâmetros'!$A$17,IF(AU147=AS147,'Parâmetros'!$A$16,'Parâmetros'!$A$14)))))</f>
        <v>SEM-RISCO</v>
      </c>
      <c r="AW147" s="86" t="str">
        <f>IF(AQ147="N/A","N/A",IF(AV147='Parâmetros'!$A$15,'Parâmetros'!$C$15,(IF(AV147='Parâmetros'!$A$17,'Parâmetros'!$C$17,IF(AV147='Parâmetros'!$A$16,'Parâmetros'!$C$16,IF(AV147='Parâmetros'!$A$14,'Parâmetros'!$C$12))))))</f>
        <v>LIBERADO</v>
      </c>
      <c r="AX147" s="82" t="str">
        <f>IF(Consultas!F147&gt;1,(IF(Consultas!F147&gt;5000,"SOLICITAR PED COMPRA","N/A")))</f>
        <v>SOLICITAR PED COMPRA</v>
      </c>
      <c r="AY147" s="167" t="str">
        <f>IF(AND(Consultas!M147&lt;&gt;"S", Consultas!H147="S"), "CHECAGEM REVERSA", "N/A")</f>
        <v>N/A</v>
      </c>
      <c r="AZ147" s="167" t="str">
        <f>IF(Consultas!U147="N","PRECISA CORRIGIR END DIVERGENTE","N/A")</f>
        <v>N/A</v>
      </c>
    </row>
    <row r="148" ht="12.0" customHeight="1">
      <c r="A148" s="39" t="s">
        <v>90</v>
      </c>
      <c r="B148" s="82">
        <f>Consultas!B148</f>
        <v>695</v>
      </c>
      <c r="C148" s="82" t="str">
        <f>Consultas!D148</f>
        <v>Metalpleno</v>
      </c>
      <c r="D148" s="96" t="str">
        <f>Consultas!E148</f>
        <v>050424</v>
      </c>
      <c r="E148" s="104">
        <f>IF(Consultas!AB148&gt;0,YEAR('Parâmetros'!$B$1)-YEAR(Consultas!AB148),"NA")</f>
        <v>6</v>
      </c>
      <c r="F148" s="82">
        <f>IF(Consultas!F148&gt;'Parâmetros'!$B$2,-8,0)</f>
        <v>0</v>
      </c>
      <c r="G148" s="82">
        <f>IF(Consultas!H148='Parâmetros'!$E$1,100,0)</f>
        <v>0</v>
      </c>
      <c r="H148" s="82">
        <f>IF(Consultas!I148='Parâmetros'!$E$1,-4,12)</f>
        <v>-4</v>
      </c>
      <c r="I148" s="82">
        <f>IF(Consultas!J148='Parâmetros'!$E$1,1,-13)</f>
        <v>1</v>
      </c>
      <c r="J148" s="82">
        <f>IF(Consultas!K148='Parâmetros'!$E$1,2,-5)</f>
        <v>2</v>
      </c>
      <c r="K148" s="82" t="str">
        <f>IF(Consultas!L148='Parâmetros'!$D$1,"SOLIC CONTRATO DE ENTREGA","N/A")</f>
        <v>N/A</v>
      </c>
      <c r="L148" s="82">
        <f>IF(Consultas!R148='Parâmetros'!$E$1,1,-3)</f>
        <v>1</v>
      </c>
      <c r="M148" s="82">
        <f>IF(Consultas!S148&gt;1,(IF(Consultas!S148='Parâmetros'!$E$1,-3,9)))</f>
        <v>9</v>
      </c>
      <c r="N148" s="82">
        <f>IF(Consultas!T148="S",23,0)</f>
        <v>23</v>
      </c>
      <c r="O148" s="82">
        <f>IF(Consultas!U148='Parâmetros'!$E$1,-3,3)</f>
        <v>3</v>
      </c>
      <c r="P148" s="82">
        <f>IF(Consultas!V148='Parâmetros'!$E$1,-100,2)</f>
        <v>2</v>
      </c>
      <c r="Q148" s="82">
        <f>IF(Consultas!M148='Parâmetros'!$D$1,2,-9)</f>
        <v>2</v>
      </c>
      <c r="R148" s="82">
        <f>IF(Consultas!N148="RJ",-12,0)</f>
        <v>0</v>
      </c>
      <c r="S148" s="82">
        <f>IF(Consultas!O148="-",-3,IF(Consultas!O148=0,-6,IF(Consultas!O148=5,0,IF(Consultas!O148=10,6))))</f>
        <v>-3</v>
      </c>
      <c r="T148" s="82">
        <f>IF(Consultas!M148="S",0,(IF(Consultas!P148="S",6,0)))</f>
        <v>0</v>
      </c>
      <c r="U148" s="82">
        <f>IF(Consultas!Q148&gt;97,9,IF(Consultas!Q148&gt;75,0,-7))</f>
        <v>9</v>
      </c>
      <c r="V148" s="82">
        <f>IF(Consultas!W148='Parâmetros'!$E$1,1,-5)</f>
        <v>1</v>
      </c>
      <c r="W148" s="82">
        <f>IF(Consultas!X148="S",3,-3)</f>
        <v>3</v>
      </c>
      <c r="X148" s="82">
        <f>IF(Consultas!Y148="S",0,-7)</f>
        <v>0</v>
      </c>
      <c r="Y148" s="82">
        <f>IF(Consultas!Z148='Parâmetros'!$E$1,2,-8)</f>
        <v>2</v>
      </c>
      <c r="Z148" s="82">
        <f>IF(Consultas!AA148='Parâmetros'!$E$1,-15,1)</f>
        <v>1</v>
      </c>
      <c r="AA148" s="147" t="s">
        <v>140</v>
      </c>
      <c r="AB148" s="82">
        <f>IF(E148="NA","NA",IF(E148&gt;'Parâmetros'!$A$9,8,IF(E148&gt;'Parâmetros'!$A$8,4,IF(E148&gt;'Parâmetros'!$A$7,0,-6))))</f>
        <v>0</v>
      </c>
      <c r="AC148" s="82">
        <f>IF(Consultas!AC148='Parâmetros'!$E$1,0,5)</f>
        <v>0</v>
      </c>
      <c r="AD148" s="82">
        <f>IF(Consultas!AH148='Parâmetros'!$D$1,-10,5)</f>
        <v>-10</v>
      </c>
      <c r="AE148" s="82">
        <f>IF(Consultas!AI148&gt;(Consultas!F148*2),-10,0)</f>
        <v>0</v>
      </c>
      <c r="AF148" s="82">
        <f>IF(Consultas!AD148&gt;1,(IF(Consultas!AI148&gt;(Consultas!AD148),-20,4)))</f>
        <v>4</v>
      </c>
      <c r="AG148" s="82">
        <f>IF(Consultas!AG148='Parâmetros'!$E$1,0,-6)</f>
        <v>0</v>
      </c>
      <c r="AH148" s="82">
        <f>IF(Consultas!AF148='Parâmetros'!$E$1,1,-5)</f>
        <v>1</v>
      </c>
      <c r="AI148" s="82">
        <f>IF(Consultas!AJ148&gt;700,8,IF(Consultas!AJ148&gt;500,4,IF(Consultas!AJ148&gt;200,-4,IF(Consultas!AJ148&gt;1,-15,-20))))</f>
        <v>4</v>
      </c>
      <c r="AJ148" s="82">
        <f>IF(Consultas!AD148='Parâmetros'!$E$10,0,IF(Consultas!AD148&gt;'Parâmetros'!$A$30,12,IF(Consultas!AD148&gt;'Parâmetros'!$A$31,6,IF(Consultas!AD148&gt;'Parâmetros'!$A$32,0,IF(Consultas!AD148&gt;'Parâmetros'!$A$33,0,IF(Consultas!AD148&gt;'Parâmetros'!$A$34,-3,IF(Consultas!AD148&gt;'Parâmetros'!$A$35,-7,-1)))))))</f>
        <v>12</v>
      </c>
      <c r="AK148" s="82">
        <f>IF(Consultas!AO148='Parâmetros'!$D$1,3,-3)</f>
        <v>-3</v>
      </c>
      <c r="AL148" s="82">
        <f>IF(Consultas!AP148='Parâmetros'!$D$1,5,-3)</f>
        <v>-3</v>
      </c>
      <c r="AM148" s="82">
        <f>IF(Consultas!AL148="N",-6,0)</f>
        <v>0</v>
      </c>
      <c r="AN148" s="82">
        <f>IF(Consultas!AM148="N",-10,0)</f>
        <v>0</v>
      </c>
      <c r="AO148" s="82">
        <f>IF(Consultas!AN148="S",4,-2)</f>
        <v>-2</v>
      </c>
      <c r="AP148" s="39"/>
      <c r="AQ148" s="165">
        <f>IF(Consultas!F148&gt;1,(SUM(F148:AO148)),"N/A")</f>
        <v>55</v>
      </c>
      <c r="AR148" s="78" t="str">
        <f>IF((Consultas!AD148&gt;'Parâmetros'!$A$31),"X",AJ148+Y148+V148+AC148)</f>
        <v>X</v>
      </c>
      <c r="AS148" s="78" t="str">
        <f>IF((Consultas!AD148&gt;'Parâmetros'!$A$31),"X",(H148+I148+J148+Q148+T148+Y148+Z148+AJ148+AN148))</f>
        <v>X</v>
      </c>
      <c r="AT148" s="78">
        <f>IF((Consultas!AD148&lt;'Parâmetros'!$A$31),"X",(AD148+AC148+AB148))</f>
        <v>-10</v>
      </c>
      <c r="AU148" s="78">
        <f t="shared" si="1"/>
        <v>-10</v>
      </c>
      <c r="AV148" s="82" t="str">
        <f>IF(AQ148="N/A","N/A",IF(AQ148&gt;5,'Parâmetros'!$A$15,(IF(AU148=AR148,'Parâmetros'!$A$17,IF(AU148=AS148,'Parâmetros'!$A$16,'Parâmetros'!$A$14)))))</f>
        <v>SEM-RISCO</v>
      </c>
      <c r="AW148" s="86" t="str">
        <f>IF(AQ148="N/A","N/A",IF(AV148='Parâmetros'!$A$15,'Parâmetros'!$C$15,(IF(AV148='Parâmetros'!$A$17,'Parâmetros'!$C$17,IF(AV148='Parâmetros'!$A$16,'Parâmetros'!$C$16,IF(AV148='Parâmetros'!$A$14,'Parâmetros'!$C$12))))))</f>
        <v>LIBERADO</v>
      </c>
      <c r="AX148" s="82" t="str">
        <f>IF(Consultas!F148&gt;1,(IF(Consultas!F148&gt;5000,"SOLICITAR PED COMPRA","N/A")))</f>
        <v>N/A</v>
      </c>
      <c r="AY148" s="167" t="str">
        <f>IF(AND(Consultas!M148&lt;&gt;"S", Consultas!H148="S"), "CHECAGEM REVERSA", "N/A")</f>
        <v>N/A</v>
      </c>
      <c r="AZ148" s="167" t="str">
        <f>IF(Consultas!U148="N","PRECISA CORRIGIR END DIVERGENTE","N/A")</f>
        <v>N/A</v>
      </c>
    </row>
    <row r="149" ht="12.0" customHeight="1">
      <c r="A149" s="39" t="s">
        <v>90</v>
      </c>
      <c r="B149" s="82">
        <f>Consultas!B149</f>
        <v>313</v>
      </c>
      <c r="C149" s="82" t="str">
        <f>Consultas!D149</f>
        <v>Metalpleno</v>
      </c>
      <c r="D149" s="96" t="str">
        <f>Consultas!E149</f>
        <v>144704</v>
      </c>
      <c r="E149" s="104">
        <f>IF(Consultas!AB149&gt;0,YEAR('Parâmetros'!$B$1)-YEAR(Consultas!AB149),"NA")</f>
        <v>4</v>
      </c>
      <c r="F149" s="82">
        <f>IF(Consultas!F149&gt;'Parâmetros'!$B$2,-8,0)</f>
        <v>0</v>
      </c>
      <c r="G149" s="82">
        <f>IF(Consultas!H149='Parâmetros'!$E$1,100,0)</f>
        <v>0</v>
      </c>
      <c r="H149" s="82">
        <f>IF(Consultas!I149='Parâmetros'!$E$1,-4,12)</f>
        <v>-4</v>
      </c>
      <c r="I149" s="82">
        <f>IF(Consultas!J149='Parâmetros'!$E$1,1,-13)</f>
        <v>1</v>
      </c>
      <c r="J149" s="82">
        <f>IF(Consultas!K149='Parâmetros'!$E$1,2,-5)</f>
        <v>2</v>
      </c>
      <c r="K149" s="82" t="str">
        <f>IF(Consultas!L149='Parâmetros'!$D$1,"SOLIC CONTRATO DE ENTREGA","N/A")</f>
        <v>SOLIC CONTRATO DE ENTREGA</v>
      </c>
      <c r="L149" s="82">
        <f>IF(Consultas!R149='Parâmetros'!$E$1,1,-3)</f>
        <v>1</v>
      </c>
      <c r="M149" s="82">
        <f>IF(Consultas!S149&gt;1,(IF(Consultas!S149='Parâmetros'!$E$1,-3,9)))</f>
        <v>-3</v>
      </c>
      <c r="N149" s="82">
        <f>IF(Consultas!T149="S",23,0)</f>
        <v>0</v>
      </c>
      <c r="O149" s="82">
        <f>IF(Consultas!U149='Parâmetros'!$E$1,-3,3)</f>
        <v>3</v>
      </c>
      <c r="P149" s="82">
        <f>IF(Consultas!V149='Parâmetros'!$E$1,-100,2)</f>
        <v>2</v>
      </c>
      <c r="Q149" s="82">
        <f>IF(Consultas!M149='Parâmetros'!$D$1,2,-9)</f>
        <v>2</v>
      </c>
      <c r="R149" s="82">
        <f>IF(Consultas!N149="RJ",-12,0)</f>
        <v>0</v>
      </c>
      <c r="S149" s="82">
        <f>IF(Consultas!O149="-",-3,IF(Consultas!O149=0,-6,IF(Consultas!O149=5,0,IF(Consultas!O149=10,6))))</f>
        <v>0</v>
      </c>
      <c r="T149" s="82">
        <f>IF(Consultas!M149="S",0,(IF(Consultas!P149="S",6,0)))</f>
        <v>0</v>
      </c>
      <c r="U149" s="82">
        <f>IF(Consultas!Q149&gt;97,9,IF(Consultas!Q149&gt;75,0,-7))</f>
        <v>9</v>
      </c>
      <c r="V149" s="82">
        <f>IF(Consultas!W149='Parâmetros'!$E$1,1,-5)</f>
        <v>-5</v>
      </c>
      <c r="W149" s="82">
        <f>IF(Consultas!X149="S",3,-3)</f>
        <v>3</v>
      </c>
      <c r="X149" s="82">
        <f>IF(Consultas!Y149="S",0,-7)</f>
        <v>-7</v>
      </c>
      <c r="Y149" s="82">
        <f>IF(Consultas!Z149='Parâmetros'!$E$1,2,-8)</f>
        <v>2</v>
      </c>
      <c r="Z149" s="82">
        <f>IF(Consultas!AA149='Parâmetros'!$E$1,-15,1)</f>
        <v>1</v>
      </c>
      <c r="AA149" s="147" t="s">
        <v>140</v>
      </c>
      <c r="AB149" s="82">
        <f>IF(E149="NA","NA",IF(E149&gt;'Parâmetros'!$A$9,8,IF(E149&gt;'Parâmetros'!$A$8,4,IF(E149&gt;'Parâmetros'!$A$7,0,-6))))</f>
        <v>-6</v>
      </c>
      <c r="AC149" s="82">
        <f>IF(Consultas!AC149='Parâmetros'!$E$1,0,5)</f>
        <v>0</v>
      </c>
      <c r="AD149" s="82">
        <f>IF(Consultas!AH149='Parâmetros'!$D$1,-10,5)</f>
        <v>5</v>
      </c>
      <c r="AE149" s="82">
        <f>IF(Consultas!AI149&gt;(Consultas!F149*2),-10,0)</f>
        <v>0</v>
      </c>
      <c r="AF149" s="82">
        <f>IF(Consultas!AD149&gt;1,(IF(Consultas!AI149&gt;(Consultas!AD149),-20,4)))</f>
        <v>4</v>
      </c>
      <c r="AG149" s="82">
        <f>IF(Consultas!AG149='Parâmetros'!$E$1,0,-6)</f>
        <v>0</v>
      </c>
      <c r="AH149" s="82">
        <f>IF(Consultas!AF149='Parâmetros'!$E$1,1,-5)</f>
        <v>1</v>
      </c>
      <c r="AI149" s="82">
        <f>IF(Consultas!AJ149&gt;700,8,IF(Consultas!AJ149&gt;500,4,IF(Consultas!AJ149&gt;200,-4,IF(Consultas!AJ149&gt;1,-15,-20))))</f>
        <v>-15</v>
      </c>
      <c r="AJ149" s="82">
        <f>IF(Consultas!AD149='Parâmetros'!$E$10,0,IF(Consultas!AD149&gt;'Parâmetros'!$A$30,12,IF(Consultas!AD149&gt;'Parâmetros'!$A$31,6,IF(Consultas!AD149&gt;'Parâmetros'!$A$32,0,IF(Consultas!AD149&gt;'Parâmetros'!$A$33,0,IF(Consultas!AD149&gt;'Parâmetros'!$A$34,-3,IF(Consultas!AD149&gt;'Parâmetros'!$A$35,-7,-1)))))))</f>
        <v>12</v>
      </c>
      <c r="AK149" s="82">
        <f>IF(Consultas!AO149='Parâmetros'!$D$1,3,-3)</f>
        <v>-3</v>
      </c>
      <c r="AL149" s="82">
        <f>IF(Consultas!AP149='Parâmetros'!$D$1,5,-3)</f>
        <v>-3</v>
      </c>
      <c r="AM149" s="82">
        <f>IF(Consultas!AL149="N",-6,0)</f>
        <v>0</v>
      </c>
      <c r="AN149" s="82">
        <f>IF(Consultas!AM149="N",-10,0)</f>
        <v>0</v>
      </c>
      <c r="AO149" s="82">
        <f>IF(Consultas!AN149="S",4,-2)</f>
        <v>-2</v>
      </c>
      <c r="AP149" s="39"/>
      <c r="AQ149" s="165">
        <f>IF(Consultas!F149&gt;1,(SUM(F149:AO149)),"N/A")</f>
        <v>0</v>
      </c>
      <c r="AR149" s="78" t="str">
        <f>IF((Consultas!AD149&gt;'Parâmetros'!$A$31),"X",AJ149+Y149+V149+AC149)</f>
        <v>X</v>
      </c>
      <c r="AS149" s="78" t="str">
        <f>IF((Consultas!AD149&gt;'Parâmetros'!$A$31),"X",(H149+I149+J149+Q149+T149+Y149+Z149+AJ149+AN149))</f>
        <v>X</v>
      </c>
      <c r="AT149" s="78">
        <f>IF((Consultas!AD149&lt;'Parâmetros'!$A$31),"X",(AD149+AC149+AB149))</f>
        <v>-1</v>
      </c>
      <c r="AU149" s="78">
        <f t="shared" si="1"/>
        <v>-1</v>
      </c>
      <c r="AV149" s="78" t="str">
        <f>IF(AQ149="N/A","N/A",IF(AQ149&gt;5,'Parâmetros'!$A$15,(IF(AU149=AR149,'Parâmetros'!$A$17,IF(AU149=AS149,'Parâmetros'!$A$16,'Parâmetros'!$A$14)))))</f>
        <v>GRANDE-OU-FALINDO:</v>
      </c>
      <c r="AW149" s="86" t="str">
        <f>IF(AQ149="N/A","N/A",IF(AV149='Parâmetros'!$A$15,'Parâmetros'!$C$15,(IF(AV149='Parâmetros'!$A$17,'Parâmetros'!$C$17,IF(AV149='Parâmetros'!$A$16,'Parâmetros'!$C$16,IF(AV149='Parâmetros'!$A$14,'Parâmetros'!$C$12))))))</f>
        <v>SE FALINDO SÓ ANTECIPADO | SE GRANDE BUROCR PEGAR CONTATOS FINANCEIRO</v>
      </c>
      <c r="AX149" s="82" t="str">
        <f>IF(Consultas!F149&gt;1,(IF(Consultas!F149&gt;5000,"SOLICITAR PED COMPRA","N/A")))</f>
        <v>SOLICITAR PED COMPRA</v>
      </c>
      <c r="AY149" s="167" t="str">
        <f>IF(AND(Consultas!M149&lt;&gt;"S", Consultas!H149="S"), "CHECAGEM REVERSA", "N/A")</f>
        <v>N/A</v>
      </c>
      <c r="AZ149" s="167" t="str">
        <f>IF(Consultas!U149="N","PRECISA CORRIGIR END DIVERGENTE","N/A")</f>
        <v>N/A</v>
      </c>
    </row>
    <row r="150" ht="12.0" customHeight="1">
      <c r="A150" s="39" t="s">
        <v>90</v>
      </c>
      <c r="B150" s="82">
        <f>Consultas!B150</f>
        <v>696</v>
      </c>
      <c r="C150" s="82" t="str">
        <f>Consultas!D150</f>
        <v>Metalpleno</v>
      </c>
      <c r="D150" s="96" t="str">
        <f>Consultas!E150</f>
        <v>143617</v>
      </c>
      <c r="E150" s="104">
        <f>IF(Consultas!AB150&gt;0,YEAR('Parâmetros'!$B$1)-YEAR(Consultas!AB150),"NA")</f>
        <v>38</v>
      </c>
      <c r="F150" s="82">
        <f>IF(Consultas!F150&gt;'Parâmetros'!$B$2,-8,0)</f>
        <v>0</v>
      </c>
      <c r="G150" s="82">
        <f>IF(Consultas!H150='Parâmetros'!$E$1,100,0)</f>
        <v>0</v>
      </c>
      <c r="H150" s="82">
        <f>IF(Consultas!I150='Parâmetros'!$E$1,-4,12)</f>
        <v>-4</v>
      </c>
      <c r="I150" s="82">
        <f>IF(Consultas!J150='Parâmetros'!$E$1,1,-13)</f>
        <v>1</v>
      </c>
      <c r="J150" s="82">
        <f>IF(Consultas!K150='Parâmetros'!$E$1,2,-5)</f>
        <v>2</v>
      </c>
      <c r="K150" s="82" t="str">
        <f>IF(Consultas!L150='Parâmetros'!$D$1,"SOLIC CONTRATO DE ENTREGA","N/A")</f>
        <v>SOLIC CONTRATO DE ENTREGA</v>
      </c>
      <c r="L150" s="82">
        <f>IF(Consultas!R150='Parâmetros'!$E$1,1,-3)</f>
        <v>1</v>
      </c>
      <c r="M150" s="82">
        <f>IF(Consultas!S150&gt;1,(IF(Consultas!S150='Parâmetros'!$E$1,-3,9)))</f>
        <v>9</v>
      </c>
      <c r="N150" s="82">
        <f>IF(Consultas!T150="S",23,0)</f>
        <v>0</v>
      </c>
      <c r="O150" s="82">
        <f>IF(Consultas!U150='Parâmetros'!$E$1,-3,3)</f>
        <v>3</v>
      </c>
      <c r="P150" s="82">
        <f>IF(Consultas!V150='Parâmetros'!$E$1,-100,2)</f>
        <v>2</v>
      </c>
      <c r="Q150" s="82">
        <f>IF(Consultas!M150='Parâmetros'!$D$1,2,-9)</f>
        <v>-9</v>
      </c>
      <c r="R150" s="82">
        <f>IF(Consultas!N150="RJ",-12,0)</f>
        <v>0</v>
      </c>
      <c r="S150" s="82">
        <f>IF(Consultas!O150="-",-3,IF(Consultas!O150=0,-6,IF(Consultas!O150=5,0,IF(Consultas!O150=10,6))))</f>
        <v>-6</v>
      </c>
      <c r="T150" s="82">
        <f>IF(Consultas!M150="S",0,(IF(Consultas!P150="S",6,0)))</f>
        <v>6</v>
      </c>
      <c r="U150" s="82">
        <f>IF(Consultas!Q150&gt;97,9,IF(Consultas!Q150&gt;75,0,-7))</f>
        <v>9</v>
      </c>
      <c r="V150" s="82">
        <f>IF(Consultas!W150='Parâmetros'!$E$1,1,-5)</f>
        <v>1</v>
      </c>
      <c r="W150" s="82">
        <f>IF(Consultas!X150="S",3,-3)</f>
        <v>3</v>
      </c>
      <c r="X150" s="82">
        <f>IF(Consultas!Y150="S",0,-7)</f>
        <v>0</v>
      </c>
      <c r="Y150" s="82">
        <f>IF(Consultas!Z150='Parâmetros'!$E$1,2,-8)</f>
        <v>2</v>
      </c>
      <c r="Z150" s="82">
        <f>IF(Consultas!AA150='Parâmetros'!$E$1,-15,1)</f>
        <v>1</v>
      </c>
      <c r="AA150" s="147" t="s">
        <v>140</v>
      </c>
      <c r="AB150" s="82">
        <f>IF(E150="NA","NA",IF(E150&gt;'Parâmetros'!$A$9,8,IF(E150&gt;'Parâmetros'!$A$8,4,IF(E150&gt;'Parâmetros'!$A$7,0,-6))))</f>
        <v>8</v>
      </c>
      <c r="AC150" s="82">
        <f>IF(Consultas!AC150='Parâmetros'!$E$1,0,5)</f>
        <v>0</v>
      </c>
      <c r="AD150" s="82">
        <f>IF(Consultas!AH150='Parâmetros'!$D$1,-10,5)</f>
        <v>5</v>
      </c>
      <c r="AE150" s="82">
        <f>IF(Consultas!AI150&gt;(Consultas!F150*2),-10,0)</f>
        <v>0</v>
      </c>
      <c r="AF150" s="82">
        <f>IF(Consultas!AD150&gt;1,(IF(Consultas!AI150&gt;(Consultas!AD150),-20,4)))</f>
        <v>4</v>
      </c>
      <c r="AG150" s="82">
        <f>IF(Consultas!AG150='Parâmetros'!$E$1,0,-6)</f>
        <v>0</v>
      </c>
      <c r="AH150" s="82">
        <f>IF(Consultas!AF150='Parâmetros'!$E$1,1,-5)</f>
        <v>-5</v>
      </c>
      <c r="AI150" s="82">
        <f>IF(Consultas!AJ150&gt;700,8,IF(Consultas!AJ150&gt;500,4,IF(Consultas!AJ150&gt;200,-4,IF(Consultas!AJ150&gt;1,-15,-20))))</f>
        <v>8</v>
      </c>
      <c r="AJ150" s="82">
        <f>IF(Consultas!AD150='Parâmetros'!$E$10,0,IF(Consultas!AD150&gt;'Parâmetros'!$A$30,12,IF(Consultas!AD150&gt;'Parâmetros'!$A$31,6,IF(Consultas!AD150&gt;'Parâmetros'!$A$32,0,IF(Consultas!AD150&gt;'Parâmetros'!$A$33,0,IF(Consultas!AD150&gt;'Parâmetros'!$A$34,-3,IF(Consultas!AD150&gt;'Parâmetros'!$A$35,-7,-1)))))))</f>
        <v>12</v>
      </c>
      <c r="AK150" s="82">
        <f>IF(Consultas!AO150='Parâmetros'!$D$1,3,-3)</f>
        <v>-3</v>
      </c>
      <c r="AL150" s="82">
        <f>IF(Consultas!AP150='Parâmetros'!$D$1,5,-3)</f>
        <v>-3</v>
      </c>
      <c r="AM150" s="82">
        <f>IF(Consultas!AL150="N",-6,0)</f>
        <v>0</v>
      </c>
      <c r="AN150" s="82">
        <f>IF(Consultas!AM150="N",-10,0)</f>
        <v>0</v>
      </c>
      <c r="AO150" s="82">
        <f>IF(Consultas!AN150="S",4,-2)</f>
        <v>-2</v>
      </c>
      <c r="AP150" s="39"/>
      <c r="AQ150" s="165">
        <f>IF(Consultas!F150&gt;1,(SUM(F150:AO150)),"N/A")</f>
        <v>45</v>
      </c>
      <c r="AR150" s="78" t="str">
        <f>IF((Consultas!AD150&gt;'Parâmetros'!$A$31),"X",AJ150+Y150+V150+AC150)</f>
        <v>X</v>
      </c>
      <c r="AS150" s="78" t="str">
        <f>IF((Consultas!AD150&gt;'Parâmetros'!$A$31),"X",(H150+I150+J150+Q150+T150+Y150+Z150+AJ150+AN150))</f>
        <v>X</v>
      </c>
      <c r="AT150" s="78">
        <f>IF((Consultas!AD150&lt;'Parâmetros'!$A$31),"X",(AD150+AC150+AB150))</f>
        <v>13</v>
      </c>
      <c r="AU150" s="78">
        <f t="shared" si="1"/>
        <v>13</v>
      </c>
      <c r="AV150" s="82" t="str">
        <f>IF(AQ150="N/A","N/A",IF(AQ150&gt;5,'Parâmetros'!$A$15,(IF(AU150=AR150,'Parâmetros'!$A$17,IF(AU150=AS150,'Parâmetros'!$A$16,'Parâmetros'!$A$14)))))</f>
        <v>SEM-RISCO</v>
      </c>
      <c r="AW150" s="86" t="str">
        <f>IF(AQ150="N/A","N/A",IF(AV150='Parâmetros'!$A$15,'Parâmetros'!$C$15,(IF(AV150='Parâmetros'!$A$17,'Parâmetros'!$C$17,IF(AV150='Parâmetros'!$A$16,'Parâmetros'!$C$16,IF(AV150='Parâmetros'!$A$14,'Parâmetros'!$C$12))))))</f>
        <v>LIBERADO</v>
      </c>
      <c r="AX150" s="82" t="str">
        <f>IF(Consultas!F150&gt;1,(IF(Consultas!F150&gt;5000,"SOLICITAR PED COMPRA","N/A")))</f>
        <v>N/A</v>
      </c>
      <c r="AY150" s="167" t="str">
        <f>IF(AND(Consultas!M150&lt;&gt;"S", Consultas!H150="S"), "CHECAGEM REVERSA", "N/A")</f>
        <v>CHECAGEM REVERSA</v>
      </c>
      <c r="AZ150" s="167" t="str">
        <f>IF(Consultas!U150="N","PRECISA CORRIGIR END DIVERGENTE","N/A")</f>
        <v>N/A</v>
      </c>
    </row>
    <row r="151" ht="12.0" customHeight="1">
      <c r="A151" s="39" t="s">
        <v>90</v>
      </c>
      <c r="B151" s="82">
        <f>Consultas!B151</f>
        <v>1883</v>
      </c>
      <c r="C151" s="82" t="str">
        <f>Consultas!D151</f>
        <v>GsiBW</v>
      </c>
      <c r="D151" s="96" t="str">
        <f>Consultas!E151</f>
        <v>025869</v>
      </c>
      <c r="E151" s="104">
        <f>IF(Consultas!AB151&gt;0,YEAR('Parâmetros'!$B$1)-YEAR(Consultas!AB151),"NA")</f>
        <v>15</v>
      </c>
      <c r="F151" s="82">
        <f>IF(Consultas!F151&gt;'Parâmetros'!$B$2,-8,0)</f>
        <v>0</v>
      </c>
      <c r="G151" s="82">
        <f>IF(Consultas!H151='Parâmetros'!$E$1,100,0)</f>
        <v>0</v>
      </c>
      <c r="H151" s="82">
        <f>IF(Consultas!I151='Parâmetros'!$E$1,-4,12)</f>
        <v>-4</v>
      </c>
      <c r="I151" s="82">
        <f>IF(Consultas!J151='Parâmetros'!$E$1,1,-13)</f>
        <v>1</v>
      </c>
      <c r="J151" s="82">
        <f>IF(Consultas!K151='Parâmetros'!$E$1,2,-5)</f>
        <v>2</v>
      </c>
      <c r="K151" s="82" t="str">
        <f>IF(Consultas!L151='Parâmetros'!$D$1,"SOLIC CONTRATO DE ENTREGA","N/A")</f>
        <v>N/A</v>
      </c>
      <c r="L151" s="82">
        <f>IF(Consultas!R151='Parâmetros'!$E$1,1,-3)</f>
        <v>1</v>
      </c>
      <c r="M151" s="82">
        <f>IF(Consultas!S151&gt;1,(IF(Consultas!S151='Parâmetros'!$E$1,-3,9)))</f>
        <v>9</v>
      </c>
      <c r="N151" s="82">
        <f>IF(Consultas!T151="S",23,0)</f>
        <v>23</v>
      </c>
      <c r="O151" s="82">
        <f>IF(Consultas!U151='Parâmetros'!$E$1,-3,3)</f>
        <v>3</v>
      </c>
      <c r="P151" s="82">
        <f>IF(Consultas!V151='Parâmetros'!$E$1,-100,2)</f>
        <v>2</v>
      </c>
      <c r="Q151" s="82">
        <f>IF(Consultas!M151='Parâmetros'!$D$1,2,-9)</f>
        <v>2</v>
      </c>
      <c r="R151" s="82">
        <f>IF(Consultas!N151="RJ",-12,0)</f>
        <v>0</v>
      </c>
      <c r="S151" s="82">
        <f>IF(Consultas!O151="-",-3,IF(Consultas!O151=0,-6,IF(Consultas!O151=5,0,IF(Consultas!O151=10,6))))</f>
        <v>0</v>
      </c>
      <c r="T151" s="82">
        <f>IF(Consultas!M151="S",0,(IF(Consultas!P151="S",6,0)))</f>
        <v>0</v>
      </c>
      <c r="U151" s="82">
        <f>IF(Consultas!Q151&gt;97,9,IF(Consultas!Q151&gt;75,0,-7))</f>
        <v>9</v>
      </c>
      <c r="V151" s="82">
        <f>IF(Consultas!W151='Parâmetros'!$E$1,1,-5)</f>
        <v>1</v>
      </c>
      <c r="W151" s="82">
        <f>IF(Consultas!X151="S",3,-3)</f>
        <v>3</v>
      </c>
      <c r="X151" s="82">
        <f>IF(Consultas!Y151="S",0,-7)</f>
        <v>0</v>
      </c>
      <c r="Y151" s="82">
        <f>IF(Consultas!Z151='Parâmetros'!$E$1,2,-8)</f>
        <v>2</v>
      </c>
      <c r="Z151" s="82">
        <f>IF(Consultas!AA151='Parâmetros'!$E$1,-15,1)</f>
        <v>1</v>
      </c>
      <c r="AA151" s="147" t="s">
        <v>140</v>
      </c>
      <c r="AB151" s="82">
        <f>IF(E151="NA","NA",IF(E151&gt;'Parâmetros'!$A$9,8,IF(E151&gt;'Parâmetros'!$A$8,4,IF(E151&gt;'Parâmetros'!$A$7,0,-6))))</f>
        <v>0</v>
      </c>
      <c r="AC151" s="82">
        <f>IF(Consultas!AC151='Parâmetros'!$E$1,0,5)</f>
        <v>0</v>
      </c>
      <c r="AD151" s="82">
        <f>IF(Consultas!AH151='Parâmetros'!$D$1,-10,5)</f>
        <v>5</v>
      </c>
      <c r="AE151" s="82">
        <f>IF(Consultas!AI151&gt;(Consultas!F151*2),-10,0)</f>
        <v>0</v>
      </c>
      <c r="AF151" s="82">
        <f>IF(Consultas!AD151&gt;1,(IF(Consultas!AI151&gt;(Consultas!AD151),-20,4)))</f>
        <v>4</v>
      </c>
      <c r="AG151" s="82">
        <f>IF(Consultas!AG151='Parâmetros'!$E$1,0,-6)</f>
        <v>0</v>
      </c>
      <c r="AH151" s="82">
        <f>IF(Consultas!AF151='Parâmetros'!$E$1,1,-5)</f>
        <v>1</v>
      </c>
      <c r="AI151" s="82">
        <f>IF(Consultas!AJ151&gt;700,8,IF(Consultas!AJ151&gt;500,4,IF(Consultas!AJ151&gt;200,-4,IF(Consultas!AJ151&gt;1,-15,-20))))</f>
        <v>8</v>
      </c>
      <c r="AJ151" s="82">
        <f>IF(Consultas!AD151='Parâmetros'!$E$10,0,IF(Consultas!AD151&gt;'Parâmetros'!$A$30,12,IF(Consultas!AD151&gt;'Parâmetros'!$A$31,6,IF(Consultas!AD151&gt;'Parâmetros'!$A$32,0,IF(Consultas!AD151&gt;'Parâmetros'!$A$33,0,IF(Consultas!AD151&gt;'Parâmetros'!$A$34,-3,IF(Consultas!AD151&gt;'Parâmetros'!$A$35,-7,-1)))))))</f>
        <v>12</v>
      </c>
      <c r="AK151" s="82">
        <f>IF(Consultas!AO151='Parâmetros'!$D$1,3,-3)</f>
        <v>-3</v>
      </c>
      <c r="AL151" s="82">
        <f>IF(Consultas!AP151='Parâmetros'!$D$1,5,-3)</f>
        <v>-3</v>
      </c>
      <c r="AM151" s="82">
        <f>IF(Consultas!AL151="N",-6,0)</f>
        <v>0</v>
      </c>
      <c r="AN151" s="82">
        <f>IF(Consultas!AM151="N",-10,0)</f>
        <v>0</v>
      </c>
      <c r="AO151" s="82">
        <f>IF(Consultas!AN151="S",4,-2)</f>
        <v>-2</v>
      </c>
      <c r="AP151" s="39"/>
      <c r="AQ151" s="165">
        <f>IF(Consultas!F151&gt;1,(SUM(F151:AO151)),"N/A")</f>
        <v>77</v>
      </c>
      <c r="AR151" s="78" t="str">
        <f>IF((Consultas!AD151&gt;'Parâmetros'!$A$31),"X",AJ151+Y151+V151+AC151)</f>
        <v>X</v>
      </c>
      <c r="AS151" s="78" t="str">
        <f>IF((Consultas!AD151&gt;'Parâmetros'!$A$31),"X",(H151+I151+J151+Q151+T151+Y151+Z151+AJ151+AN151))</f>
        <v>X</v>
      </c>
      <c r="AT151" s="78">
        <f>IF((Consultas!AD151&lt;'Parâmetros'!$A$31),"X",(AD151+AC151+AB151))</f>
        <v>5</v>
      </c>
      <c r="AU151" s="78">
        <f t="shared" si="1"/>
        <v>5</v>
      </c>
      <c r="AV151" s="82" t="str">
        <f>IF(AQ151="N/A","N/A",IF(AQ151&gt;5,'Parâmetros'!$A$15,(IF(AU151=AR151,'Parâmetros'!$A$17,IF(AU151=AS151,'Parâmetros'!$A$16,'Parâmetros'!$A$14)))))</f>
        <v>SEM-RISCO</v>
      </c>
      <c r="AW151" s="86" t="str">
        <f>IF(AQ151="N/A","N/A",IF(AV151='Parâmetros'!$A$15,'Parâmetros'!$C$15,(IF(AV151='Parâmetros'!$A$17,'Parâmetros'!$C$17,IF(AV151='Parâmetros'!$A$16,'Parâmetros'!$C$16,IF(AV151='Parâmetros'!$A$14,'Parâmetros'!$C$12))))))</f>
        <v>LIBERADO</v>
      </c>
      <c r="AX151" s="82" t="str">
        <f>IF(Consultas!F151&gt;1,(IF(Consultas!F151&gt;5000,"SOLICITAR PED COMPRA","N/A")))</f>
        <v>N/A</v>
      </c>
      <c r="AY151" s="167" t="str">
        <f>IF(AND(Consultas!M151&lt;&gt;"S", Consultas!H151="S"), "CHECAGEM REVERSA", "N/A")</f>
        <v>N/A</v>
      </c>
      <c r="AZ151" s="167" t="str">
        <f>IF(Consultas!U151="N","PRECISA CORRIGIR END DIVERGENTE","N/A")</f>
        <v>N/A</v>
      </c>
    </row>
    <row r="152" ht="12.0" customHeight="1">
      <c r="A152" s="39" t="s">
        <v>90</v>
      </c>
      <c r="B152" s="82">
        <f>Consultas!B152</f>
        <v>316</v>
      </c>
      <c r="C152" s="82" t="str">
        <f>Consultas!D152</f>
        <v>Metalpleno</v>
      </c>
      <c r="D152" s="96" t="str">
        <f>Consultas!E152</f>
        <v>144713</v>
      </c>
      <c r="E152" s="104">
        <f>IF(Consultas!AB152&gt;0,YEAR('Parâmetros'!$B$1)-YEAR(Consultas!AB152),"NA")</f>
        <v>7</v>
      </c>
      <c r="F152" s="82">
        <f>IF(Consultas!F152&gt;'Parâmetros'!$B$2,-8,0)</f>
        <v>0</v>
      </c>
      <c r="G152" s="82">
        <f>IF(Consultas!H152='Parâmetros'!$E$1,100,0)</f>
        <v>0</v>
      </c>
      <c r="H152" s="82">
        <f>IF(Consultas!I152='Parâmetros'!$E$1,-4,12)</f>
        <v>-4</v>
      </c>
      <c r="I152" s="82">
        <f>IF(Consultas!J152='Parâmetros'!$E$1,1,-13)</f>
        <v>1</v>
      </c>
      <c r="J152" s="82">
        <f>IF(Consultas!K152='Parâmetros'!$E$1,2,-5)</f>
        <v>2</v>
      </c>
      <c r="K152" s="82" t="str">
        <f>IF(Consultas!L152='Parâmetros'!$D$1,"SOLIC CONTRATO DE ENTREGA","N/A")</f>
        <v>SOLIC CONTRATO DE ENTREGA</v>
      </c>
      <c r="L152" s="82">
        <f>IF(Consultas!R152='Parâmetros'!$E$1,1,-3)</f>
        <v>1</v>
      </c>
      <c r="M152" s="82">
        <f>IF(Consultas!S152&gt;1,(IF(Consultas!S152='Parâmetros'!$E$1,-3,9)))</f>
        <v>-3</v>
      </c>
      <c r="N152" s="82">
        <f>IF(Consultas!T152="S",23,0)</f>
        <v>0</v>
      </c>
      <c r="O152" s="82">
        <f>IF(Consultas!U152='Parâmetros'!$E$1,-3,3)</f>
        <v>3</v>
      </c>
      <c r="P152" s="82">
        <f>IF(Consultas!V152='Parâmetros'!$E$1,-100,2)</f>
        <v>2</v>
      </c>
      <c r="Q152" s="82">
        <f>IF(Consultas!M152='Parâmetros'!$D$1,2,-9)</f>
        <v>2</v>
      </c>
      <c r="R152" s="82">
        <f>IF(Consultas!N152="RJ",-12,0)</f>
        <v>0</v>
      </c>
      <c r="S152" s="82">
        <f>IF(Consultas!O152="-",-3,IF(Consultas!O152=0,-6,IF(Consultas!O152=5,0,IF(Consultas!O152=10,6))))</f>
        <v>0</v>
      </c>
      <c r="T152" s="82">
        <f>IF(Consultas!M152="S",0,(IF(Consultas!P152="S",6,0)))</f>
        <v>0</v>
      </c>
      <c r="U152" s="82">
        <f>IF(Consultas!Q152&gt;97,9,IF(Consultas!Q152&gt;75,0,-7))</f>
        <v>9</v>
      </c>
      <c r="V152" s="82">
        <f>IF(Consultas!W152='Parâmetros'!$E$1,1,-5)</f>
        <v>-5</v>
      </c>
      <c r="W152" s="82">
        <f>IF(Consultas!X152="S",3,-3)</f>
        <v>3</v>
      </c>
      <c r="X152" s="82">
        <f>IF(Consultas!Y152="S",0,-7)</f>
        <v>0</v>
      </c>
      <c r="Y152" s="82">
        <f>IF(Consultas!Z152='Parâmetros'!$E$1,2,-8)</f>
        <v>2</v>
      </c>
      <c r="Z152" s="82">
        <f>IF(Consultas!AA152='Parâmetros'!$E$1,-15,1)</f>
        <v>1</v>
      </c>
      <c r="AA152" s="147" t="s">
        <v>140</v>
      </c>
      <c r="AB152" s="82">
        <f>IF(E152="NA","NA",IF(E152&gt;'Parâmetros'!$A$9,8,IF(E152&gt;'Parâmetros'!$A$8,4,IF(E152&gt;'Parâmetros'!$A$7,0,-6))))</f>
        <v>0</v>
      </c>
      <c r="AC152" s="82">
        <f>IF(Consultas!AC152='Parâmetros'!$E$1,0,5)</f>
        <v>5</v>
      </c>
      <c r="AD152" s="82">
        <f>IF(Consultas!AH152='Parâmetros'!$D$1,-10,5)</f>
        <v>5</v>
      </c>
      <c r="AE152" s="82">
        <f>IF(Consultas!AI152&gt;(Consultas!F152*2),-10,0)</f>
        <v>0</v>
      </c>
      <c r="AF152" s="82" t="b">
        <f>IF(Consultas!AD152&gt;1,(IF(Consultas!AI152&gt;(Consultas!AD152),-20,4)))</f>
        <v>0</v>
      </c>
      <c r="AG152" s="82">
        <f>IF(Consultas!AG152='Parâmetros'!$E$1,0,-6)</f>
        <v>0</v>
      </c>
      <c r="AH152" s="82">
        <f>IF(Consultas!AF152='Parâmetros'!$E$1,1,-5)</f>
        <v>-5</v>
      </c>
      <c r="AI152" s="82">
        <f>IF(Consultas!AJ152&gt;700,8,IF(Consultas!AJ152&gt;500,4,IF(Consultas!AJ152&gt;200,-4,IF(Consultas!AJ152&gt;1,-15,-20))))</f>
        <v>-4</v>
      </c>
      <c r="AJ152" s="82">
        <f>IF(Consultas!AD152='Parâmetros'!$E$10,0,IF(Consultas!AD152&gt;'Parâmetros'!$A$30,12,IF(Consultas!AD152&gt;'Parâmetros'!$A$31,6,IF(Consultas!AD152&gt;'Parâmetros'!$A$32,0,IF(Consultas!AD152&gt;'Parâmetros'!$A$33,0,IF(Consultas!AD152&gt;'Parâmetros'!$A$34,-3,IF(Consultas!AD152&gt;'Parâmetros'!$A$35,-7,-1)))))))</f>
        <v>-1</v>
      </c>
      <c r="AK152" s="82">
        <f>IF(Consultas!AO152='Parâmetros'!$D$1,3,-3)</f>
        <v>-3</v>
      </c>
      <c r="AL152" s="82">
        <f>IF(Consultas!AP152='Parâmetros'!$D$1,5,-3)</f>
        <v>-3</v>
      </c>
      <c r="AM152" s="82">
        <f>IF(Consultas!AL152="N",-6,0)</f>
        <v>0</v>
      </c>
      <c r="AN152" s="82">
        <f>IF(Consultas!AM152="N",-10,0)</f>
        <v>0</v>
      </c>
      <c r="AO152" s="82">
        <f>IF(Consultas!AN152="S",4,-2)</f>
        <v>-2</v>
      </c>
      <c r="AP152" s="39"/>
      <c r="AQ152" s="165">
        <f>IF(Consultas!F152&gt;1,(SUM(F152:AO152)),"N/A")</f>
        <v>6</v>
      </c>
      <c r="AR152" s="78">
        <f>IF((Consultas!AD152&gt;'Parâmetros'!$A$31),"X",AJ152+Y152+V152+AC152)</f>
        <v>1</v>
      </c>
      <c r="AS152" s="78">
        <f>IF((Consultas!AD152&gt;'Parâmetros'!$A$31),"X",(H152+I152+J152+Q152+T152+Y152+Z152+AJ152+AN152))</f>
        <v>3</v>
      </c>
      <c r="AT152" s="78" t="str">
        <f>IF((Consultas!AD152&lt;'Parâmetros'!$A$31),"X",(AD152+AC152+AB152))</f>
        <v>X</v>
      </c>
      <c r="AU152" s="78">
        <f t="shared" si="1"/>
        <v>1</v>
      </c>
      <c r="AV152" s="82" t="str">
        <f>IF(AQ152="N/A","N/A",IF(AQ152&gt;5,'Parâmetros'!$A$15,(IF(AU152=AR152,'Parâmetros'!$A$17,IF(AU152=AS152,'Parâmetros'!$A$16,'Parâmetros'!$A$14)))))</f>
        <v>SEM-RISCO</v>
      </c>
      <c r="AW152" s="86" t="str">
        <f>IF(AQ152="N/A","N/A",IF(AV152='Parâmetros'!$A$15,'Parâmetros'!$C$15,(IF(AV152='Parâmetros'!$A$17,'Parâmetros'!$C$17,IF(AV152='Parâmetros'!$A$16,'Parâmetros'!$C$16,IF(AV152='Parâmetros'!$A$14,'Parâmetros'!$C$12))))))</f>
        <v>LIBERADO</v>
      </c>
      <c r="AX152" s="82" t="str">
        <f>IF(Consultas!F152&gt;1,(IF(Consultas!F152&gt;5000,"SOLICITAR PED COMPRA","N/A")))</f>
        <v>N/A</v>
      </c>
      <c r="AY152" s="167" t="str">
        <f>IF(AND(Consultas!M152&lt;&gt;"S", Consultas!H152="S"), "CHECAGEM REVERSA", "N/A")</f>
        <v>N/A</v>
      </c>
      <c r="AZ152" s="167" t="str">
        <f>IF(Consultas!U152="N","PRECISA CORRIGIR END DIVERGENTE","N/A")</f>
        <v>N/A</v>
      </c>
    </row>
    <row r="153" ht="12.0" customHeight="1">
      <c r="A153" s="39" t="s">
        <v>90</v>
      </c>
      <c r="B153" s="82">
        <f>Consultas!B153</f>
        <v>317</v>
      </c>
      <c r="C153" s="82" t="str">
        <f>Consultas!D153</f>
        <v>Metalpleno</v>
      </c>
      <c r="D153" s="96" t="str">
        <f>Consultas!E153</f>
        <v>144714</v>
      </c>
      <c r="E153" s="104">
        <f>IF(Consultas!AB153&gt;0,YEAR('Parâmetros'!$B$1)-YEAR(Consultas!AB153),"NA")</f>
        <v>7</v>
      </c>
      <c r="F153" s="82">
        <f>IF(Consultas!F153&gt;'Parâmetros'!$B$2,-8,0)</f>
        <v>0</v>
      </c>
      <c r="G153" s="82">
        <f>IF(Consultas!H153='Parâmetros'!$E$1,100,0)</f>
        <v>0</v>
      </c>
      <c r="H153" s="82">
        <f>IF(Consultas!I153='Parâmetros'!$E$1,-4,12)</f>
        <v>-4</v>
      </c>
      <c r="I153" s="82">
        <f>IF(Consultas!J153='Parâmetros'!$E$1,1,-13)</f>
        <v>1</v>
      </c>
      <c r="J153" s="82">
        <f>IF(Consultas!K153='Parâmetros'!$E$1,2,-5)</f>
        <v>2</v>
      </c>
      <c r="K153" s="82" t="str">
        <f>IF(Consultas!L153='Parâmetros'!$D$1,"SOLIC CONTRATO DE ENTREGA","N/A")</f>
        <v>SOLIC CONTRATO DE ENTREGA</v>
      </c>
      <c r="L153" s="82">
        <f>IF(Consultas!R153='Parâmetros'!$E$1,1,-3)</f>
        <v>1</v>
      </c>
      <c r="M153" s="82">
        <f>IF(Consultas!S153&gt;1,(IF(Consultas!S153='Parâmetros'!$E$1,-3,9)))</f>
        <v>-3</v>
      </c>
      <c r="N153" s="82">
        <f>IF(Consultas!T153="S",23,0)</f>
        <v>0</v>
      </c>
      <c r="O153" s="82">
        <f>IF(Consultas!U153='Parâmetros'!$E$1,-3,3)</f>
        <v>3</v>
      </c>
      <c r="P153" s="82">
        <f>IF(Consultas!V153='Parâmetros'!$E$1,-100,2)</f>
        <v>2</v>
      </c>
      <c r="Q153" s="82">
        <f>IF(Consultas!M153='Parâmetros'!$D$1,2,-9)</f>
        <v>2</v>
      </c>
      <c r="R153" s="82">
        <f>IF(Consultas!N153="RJ",-12,0)</f>
        <v>0</v>
      </c>
      <c r="S153" s="82">
        <f>IF(Consultas!O153="-",-3,IF(Consultas!O153=0,-6,IF(Consultas!O153=5,0,IF(Consultas!O153=10,6))))</f>
        <v>0</v>
      </c>
      <c r="T153" s="82">
        <f>IF(Consultas!M153="S",0,(IF(Consultas!P153="S",6,0)))</f>
        <v>0</v>
      </c>
      <c r="U153" s="82">
        <f>IF(Consultas!Q153&gt;97,9,IF(Consultas!Q153&gt;75,0,-7))</f>
        <v>9</v>
      </c>
      <c r="V153" s="82">
        <f>IF(Consultas!W153='Parâmetros'!$E$1,1,-5)</f>
        <v>-5</v>
      </c>
      <c r="W153" s="82">
        <f>IF(Consultas!X153="S",3,-3)</f>
        <v>3</v>
      </c>
      <c r="X153" s="82">
        <f>IF(Consultas!Y153="S",0,-7)</f>
        <v>0</v>
      </c>
      <c r="Y153" s="82">
        <f>IF(Consultas!Z153='Parâmetros'!$E$1,2,-8)</f>
        <v>2</v>
      </c>
      <c r="Z153" s="82">
        <f>IF(Consultas!AA153='Parâmetros'!$E$1,-15,1)</f>
        <v>1</v>
      </c>
      <c r="AA153" s="147" t="s">
        <v>140</v>
      </c>
      <c r="AB153" s="82">
        <f>IF(E153="NA","NA",IF(E153&gt;'Parâmetros'!$A$9,8,IF(E153&gt;'Parâmetros'!$A$8,4,IF(E153&gt;'Parâmetros'!$A$7,0,-6))))</f>
        <v>0</v>
      </c>
      <c r="AC153" s="82">
        <f>IF(Consultas!AC153='Parâmetros'!$E$1,0,5)</f>
        <v>5</v>
      </c>
      <c r="AD153" s="82">
        <f>IF(Consultas!AH153='Parâmetros'!$D$1,-10,5)</f>
        <v>5</v>
      </c>
      <c r="AE153" s="82">
        <f>IF(Consultas!AI153&gt;(Consultas!F153*2),-10,0)</f>
        <v>0</v>
      </c>
      <c r="AF153" s="82" t="b">
        <f>IF(Consultas!AD153&gt;1,(IF(Consultas!AI153&gt;(Consultas!AD153),-20,4)))</f>
        <v>0</v>
      </c>
      <c r="AG153" s="82">
        <f>IF(Consultas!AG153='Parâmetros'!$E$1,0,-6)</f>
        <v>0</v>
      </c>
      <c r="AH153" s="82">
        <f>IF(Consultas!AF153='Parâmetros'!$E$1,1,-5)</f>
        <v>-5</v>
      </c>
      <c r="AI153" s="82">
        <f>IF(Consultas!AJ153&gt;700,8,IF(Consultas!AJ153&gt;500,4,IF(Consultas!AJ153&gt;200,-4,IF(Consultas!AJ153&gt;1,-15,-20))))</f>
        <v>-4</v>
      </c>
      <c r="AJ153" s="82">
        <f>IF(Consultas!AD153='Parâmetros'!$E$10,0,IF(Consultas!AD153&gt;'Parâmetros'!$A$30,12,IF(Consultas!AD153&gt;'Parâmetros'!$A$31,6,IF(Consultas!AD153&gt;'Parâmetros'!$A$32,0,IF(Consultas!AD153&gt;'Parâmetros'!$A$33,0,IF(Consultas!AD153&gt;'Parâmetros'!$A$34,-3,IF(Consultas!AD153&gt;'Parâmetros'!$A$35,-7,-1)))))))</f>
        <v>-1</v>
      </c>
      <c r="AK153" s="82">
        <f>IF(Consultas!AO153='Parâmetros'!$D$1,3,-3)</f>
        <v>-3</v>
      </c>
      <c r="AL153" s="82">
        <f>IF(Consultas!AP153='Parâmetros'!$D$1,5,-3)</f>
        <v>-3</v>
      </c>
      <c r="AM153" s="82">
        <f>IF(Consultas!AL153="N",-6,0)</f>
        <v>0</v>
      </c>
      <c r="AN153" s="82">
        <f>IF(Consultas!AM153="N",-10,0)</f>
        <v>0</v>
      </c>
      <c r="AO153" s="82">
        <f>IF(Consultas!AN153="S",4,-2)</f>
        <v>-2</v>
      </c>
      <c r="AP153" s="39"/>
      <c r="AQ153" s="165">
        <f>IF(Consultas!F153&gt;1,(SUM(F153:AO153)),"N/A")</f>
        <v>6</v>
      </c>
      <c r="AR153" s="78">
        <f>IF((Consultas!AD153&gt;'Parâmetros'!$A$31),"X",AJ153+Y153+V153+AC153)</f>
        <v>1</v>
      </c>
      <c r="AS153" s="78">
        <f>IF((Consultas!AD153&gt;'Parâmetros'!$A$31),"X",(H153+I153+J153+Q153+T153+Y153+Z153+AJ153+AN153))</f>
        <v>3</v>
      </c>
      <c r="AT153" s="78" t="str">
        <f>IF((Consultas!AD153&lt;'Parâmetros'!$A$31),"X",(AD153+AC153+AB153))</f>
        <v>X</v>
      </c>
      <c r="AU153" s="78">
        <f t="shared" si="1"/>
        <v>1</v>
      </c>
      <c r="AV153" s="82" t="str">
        <f>IF(AQ153="N/A","N/A",IF(AQ153&gt;5,'Parâmetros'!$A$15,(IF(AU153=AR153,'Parâmetros'!$A$17,IF(AU153=AS153,'Parâmetros'!$A$16,'Parâmetros'!$A$14)))))</f>
        <v>SEM-RISCO</v>
      </c>
      <c r="AW153" s="86" t="str">
        <f>IF(AQ153="N/A","N/A",IF(AV153='Parâmetros'!$A$15,'Parâmetros'!$C$15,(IF(AV153='Parâmetros'!$A$17,'Parâmetros'!$C$17,IF(AV153='Parâmetros'!$A$16,'Parâmetros'!$C$16,IF(AV153='Parâmetros'!$A$14,'Parâmetros'!$C$12))))))</f>
        <v>LIBERADO</v>
      </c>
      <c r="AX153" s="82" t="str">
        <f>IF(Consultas!F153&gt;1,(IF(Consultas!F153&gt;5000,"SOLICITAR PED COMPRA","N/A")))</f>
        <v>N/A</v>
      </c>
      <c r="AY153" s="167" t="str">
        <f>IF(AND(Consultas!M153&lt;&gt;"S", Consultas!H153="S"), "CHECAGEM REVERSA", "N/A")</f>
        <v>N/A</v>
      </c>
      <c r="AZ153" s="167" t="str">
        <f>IF(Consultas!U153="N","PRECISA CORRIGIR END DIVERGENTE","N/A")</f>
        <v>N/A</v>
      </c>
    </row>
    <row r="154" ht="12.0" customHeight="1">
      <c r="A154" s="39" t="s">
        <v>90</v>
      </c>
      <c r="B154" s="82">
        <f>Consultas!B154</f>
        <v>318</v>
      </c>
      <c r="C154" s="82" t="str">
        <f>Consultas!D154</f>
        <v>Metalpleno</v>
      </c>
      <c r="D154" s="96" t="str">
        <f>Consultas!E154</f>
        <v>012477</v>
      </c>
      <c r="E154" s="104">
        <f>IF(Consultas!AB154&gt;0,YEAR('Parâmetros'!$B$1)-YEAR(Consultas!AB154),"NA")</f>
        <v>24</v>
      </c>
      <c r="F154" s="82">
        <f>IF(Consultas!F154&gt;'Parâmetros'!$B$2,-8,0)</f>
        <v>0</v>
      </c>
      <c r="G154" s="82">
        <f>IF(Consultas!H154='Parâmetros'!$E$1,100,0)</f>
        <v>0</v>
      </c>
      <c r="H154" s="82">
        <f>IF(Consultas!I154='Parâmetros'!$E$1,-4,12)</f>
        <v>12</v>
      </c>
      <c r="I154" s="82">
        <f>IF(Consultas!J154='Parâmetros'!$E$1,1,-13)</f>
        <v>1</v>
      </c>
      <c r="J154" s="82">
        <f>IF(Consultas!K154='Parâmetros'!$E$1,2,-5)</f>
        <v>2</v>
      </c>
      <c r="K154" s="82" t="str">
        <f>IF(Consultas!L154='Parâmetros'!$D$1,"SOLIC CONTRATO DE ENTREGA","N/A")</f>
        <v>SOLIC CONTRATO DE ENTREGA</v>
      </c>
      <c r="L154" s="82">
        <f>IF(Consultas!R154='Parâmetros'!$E$1,1,-3)</f>
        <v>-3</v>
      </c>
      <c r="M154" s="82">
        <f>IF(Consultas!S154&gt;1,(IF(Consultas!S154='Parâmetros'!$E$1,-3,9)))</f>
        <v>9</v>
      </c>
      <c r="N154" s="82">
        <f>IF(Consultas!T154="S",23,0)</f>
        <v>0</v>
      </c>
      <c r="O154" s="82">
        <f>IF(Consultas!U154='Parâmetros'!$E$1,-3,3)</f>
        <v>3</v>
      </c>
      <c r="P154" s="82">
        <f>IF(Consultas!V154='Parâmetros'!$E$1,-100,2)</f>
        <v>2</v>
      </c>
      <c r="Q154" s="82">
        <f>IF(Consultas!M154='Parâmetros'!$D$1,2,-9)</f>
        <v>2</v>
      </c>
      <c r="R154" s="82">
        <f>IF(Consultas!N154="RJ",-12,0)</f>
        <v>0</v>
      </c>
      <c r="S154" s="82">
        <f>IF(Consultas!O154="-",-3,IF(Consultas!O154=0,-6,IF(Consultas!O154=5,0,IF(Consultas!O154=10,6))))</f>
        <v>-3</v>
      </c>
      <c r="T154" s="82">
        <f>IF(Consultas!M154="S",0,(IF(Consultas!P154="S",6,0)))</f>
        <v>0</v>
      </c>
      <c r="U154" s="82">
        <f>IF(Consultas!Q154&gt;97,9,IF(Consultas!Q154&gt;75,0,-7))</f>
        <v>9</v>
      </c>
      <c r="V154" s="82">
        <f>IF(Consultas!W154='Parâmetros'!$E$1,1,-5)</f>
        <v>1</v>
      </c>
      <c r="W154" s="82">
        <f>IF(Consultas!X154="S",3,-3)</f>
        <v>3</v>
      </c>
      <c r="X154" s="82">
        <f>IF(Consultas!Y154="S",0,-7)</f>
        <v>0</v>
      </c>
      <c r="Y154" s="82">
        <f>IF(Consultas!Z154='Parâmetros'!$E$1,2,-8)</f>
        <v>2</v>
      </c>
      <c r="Z154" s="82">
        <f>IF(Consultas!AA154='Parâmetros'!$E$1,-15,1)</f>
        <v>1</v>
      </c>
      <c r="AA154" s="147" t="s">
        <v>140</v>
      </c>
      <c r="AB154" s="82">
        <f>IF(E154="NA","NA",IF(E154&gt;'Parâmetros'!$A$9,8,IF(E154&gt;'Parâmetros'!$A$8,4,IF(E154&gt;'Parâmetros'!$A$7,0,-6))))</f>
        <v>4</v>
      </c>
      <c r="AC154" s="82">
        <f>IF(Consultas!AC154='Parâmetros'!$E$1,0,5)</f>
        <v>0</v>
      </c>
      <c r="AD154" s="82">
        <f>IF(Consultas!AH154='Parâmetros'!$D$1,-10,5)</f>
        <v>5</v>
      </c>
      <c r="AE154" s="82">
        <f>IF(Consultas!AI154&gt;(Consultas!F154*2),-10,0)</f>
        <v>0</v>
      </c>
      <c r="AF154" s="82">
        <f>IF(Consultas!AD154&gt;1,(IF(Consultas!AI154&gt;(Consultas!AD154),-20,4)))</f>
        <v>4</v>
      </c>
      <c r="AG154" s="82">
        <f>IF(Consultas!AG154='Parâmetros'!$E$1,0,-6)</f>
        <v>0</v>
      </c>
      <c r="AH154" s="82">
        <f>IF(Consultas!AF154='Parâmetros'!$E$1,1,-5)</f>
        <v>1</v>
      </c>
      <c r="AI154" s="82">
        <f>IF(Consultas!AJ154&gt;700,8,IF(Consultas!AJ154&gt;500,4,IF(Consultas!AJ154&gt;200,-4,IF(Consultas!AJ154&gt;1,-15,-20))))</f>
        <v>8</v>
      </c>
      <c r="AJ154" s="82">
        <f>IF(Consultas!AD154='Parâmetros'!$E$10,0,IF(Consultas!AD154&gt;'Parâmetros'!$A$30,12,IF(Consultas!AD154&gt;'Parâmetros'!$A$31,6,IF(Consultas!AD154&gt;'Parâmetros'!$A$32,0,IF(Consultas!AD154&gt;'Parâmetros'!$A$33,0,IF(Consultas!AD154&gt;'Parâmetros'!$A$34,-3,IF(Consultas!AD154&gt;'Parâmetros'!$A$35,-7,-1)))))))</f>
        <v>12</v>
      </c>
      <c r="AK154" s="82">
        <f>IF(Consultas!AO154='Parâmetros'!$D$1,3,-3)</f>
        <v>-3</v>
      </c>
      <c r="AL154" s="82">
        <f>IF(Consultas!AP154='Parâmetros'!$D$1,5,-3)</f>
        <v>-3</v>
      </c>
      <c r="AM154" s="82">
        <f>IF(Consultas!AL154="N",-6,0)</f>
        <v>0</v>
      </c>
      <c r="AN154" s="82">
        <f>IF(Consultas!AM154="N",-10,0)</f>
        <v>0</v>
      </c>
      <c r="AO154" s="82">
        <f>IF(Consultas!AN154="S",4,-2)</f>
        <v>-2</v>
      </c>
      <c r="AP154" s="39"/>
      <c r="AQ154" s="165">
        <f>IF(Consultas!F154&gt;1,(SUM(F154:AO154)),"N/A")</f>
        <v>67</v>
      </c>
      <c r="AR154" s="78" t="str">
        <f>IF((Consultas!AD154&gt;'Parâmetros'!$A$31),"X",AJ154+Y154+V154+AC154)</f>
        <v>X</v>
      </c>
      <c r="AS154" s="78" t="str">
        <f>IF((Consultas!AD154&gt;'Parâmetros'!$A$31),"X",(H154+I154+J154+Q154+T154+Y154+Z154+AJ154+AN154))</f>
        <v>X</v>
      </c>
      <c r="AT154" s="78">
        <f>IF((Consultas!AD154&lt;'Parâmetros'!$A$31),"X",(AD154+AC154+AB154))</f>
        <v>9</v>
      </c>
      <c r="AU154" s="78">
        <f t="shared" si="1"/>
        <v>9</v>
      </c>
      <c r="AV154" s="82" t="str">
        <f>IF(AQ154="N/A","N/A",IF(AQ154&gt;5,'Parâmetros'!$A$15,(IF(AU154=AR154,'Parâmetros'!$A$17,IF(AU154=AS154,'Parâmetros'!$A$16,'Parâmetros'!$A$14)))))</f>
        <v>SEM-RISCO</v>
      </c>
      <c r="AW154" s="86" t="str">
        <f>IF(AQ154="N/A","N/A",IF(AV154='Parâmetros'!$A$15,'Parâmetros'!$C$15,(IF(AV154='Parâmetros'!$A$17,'Parâmetros'!$C$17,IF(AV154='Parâmetros'!$A$16,'Parâmetros'!$C$16,IF(AV154='Parâmetros'!$A$14,'Parâmetros'!$C$12))))))</f>
        <v>LIBERADO</v>
      </c>
      <c r="AX154" s="82" t="str">
        <f>IF(Consultas!F154&gt;1,(IF(Consultas!F154&gt;5000,"SOLICITAR PED COMPRA","N/A")))</f>
        <v>N/A</v>
      </c>
      <c r="AY154" s="167" t="str">
        <f>IF(AND(Consultas!M154&lt;&gt;"S", Consultas!H154="S"), "CHECAGEM REVERSA", "N/A")</f>
        <v>N/A</v>
      </c>
      <c r="AZ154" s="167" t="str">
        <f>IF(Consultas!U154="N","PRECISA CORRIGIR END DIVERGENTE","N/A")</f>
        <v>N/A</v>
      </c>
    </row>
    <row r="155" ht="12.0" customHeight="1">
      <c r="A155" s="39" t="s">
        <v>90</v>
      </c>
      <c r="B155" s="82">
        <f>Consultas!B155</f>
        <v>320</v>
      </c>
      <c r="C155" s="82" t="str">
        <f>Consultas!D155</f>
        <v>Metalpleno</v>
      </c>
      <c r="D155" s="96" t="str">
        <f>Consultas!E155</f>
        <v>144650</v>
      </c>
      <c r="E155" s="104">
        <f>IF(Consultas!AB155&gt;0,YEAR('Parâmetros'!$B$1)-YEAR(Consultas!AB155),"NA")</f>
        <v>9</v>
      </c>
      <c r="F155" s="82">
        <f>IF(Consultas!F155&gt;'Parâmetros'!$B$2,-8,0)</f>
        <v>0</v>
      </c>
      <c r="G155" s="82">
        <f>IF(Consultas!H155='Parâmetros'!$E$1,100,0)</f>
        <v>0</v>
      </c>
      <c r="H155" s="82">
        <f>IF(Consultas!I155='Parâmetros'!$E$1,-4,12)</f>
        <v>12</v>
      </c>
      <c r="I155" s="82">
        <f>IF(Consultas!J155='Parâmetros'!$E$1,1,-13)</f>
        <v>1</v>
      </c>
      <c r="J155" s="82">
        <f>IF(Consultas!K155='Parâmetros'!$E$1,2,-5)</f>
        <v>2</v>
      </c>
      <c r="K155" s="82" t="str">
        <f>IF(Consultas!L155='Parâmetros'!$D$1,"SOLIC CONTRATO DE ENTREGA","N/A")</f>
        <v>SOLIC CONTRATO DE ENTREGA</v>
      </c>
      <c r="L155" s="82">
        <f>IF(Consultas!R155='Parâmetros'!$E$1,1,-3)</f>
        <v>1</v>
      </c>
      <c r="M155" s="82">
        <f>IF(Consultas!S155&gt;1,(IF(Consultas!S155='Parâmetros'!$E$1,-3,9)))</f>
        <v>9</v>
      </c>
      <c r="N155" s="82">
        <f>IF(Consultas!T155="S",23,0)</f>
        <v>0</v>
      </c>
      <c r="O155" s="82">
        <f>IF(Consultas!U155='Parâmetros'!$E$1,-3,3)</f>
        <v>3</v>
      </c>
      <c r="P155" s="82">
        <f>IF(Consultas!V155='Parâmetros'!$E$1,-100,2)</f>
        <v>2</v>
      </c>
      <c r="Q155" s="82">
        <f>IF(Consultas!M155='Parâmetros'!$D$1,2,-9)</f>
        <v>-9</v>
      </c>
      <c r="R155" s="82">
        <f>IF(Consultas!N155="RJ",-12,0)</f>
        <v>0</v>
      </c>
      <c r="S155" s="82">
        <f>IF(Consultas!O155="-",-3,IF(Consultas!O155=0,-6,IF(Consultas!O155=5,0,IF(Consultas!O155=10,6))))</f>
        <v>-6</v>
      </c>
      <c r="T155" s="82">
        <f>IF(Consultas!M155="S",0,(IF(Consultas!P155="S",6,0)))</f>
        <v>6</v>
      </c>
      <c r="U155" s="82">
        <f>IF(Consultas!Q155&gt;97,9,IF(Consultas!Q155&gt;75,0,-7))</f>
        <v>9</v>
      </c>
      <c r="V155" s="82">
        <f>IF(Consultas!W155='Parâmetros'!$E$1,1,-5)</f>
        <v>1</v>
      </c>
      <c r="W155" s="82">
        <f>IF(Consultas!X155="S",3,-3)</f>
        <v>3</v>
      </c>
      <c r="X155" s="82">
        <f>IF(Consultas!Y155="S",0,-7)</f>
        <v>0</v>
      </c>
      <c r="Y155" s="82">
        <f>IF(Consultas!Z155='Parâmetros'!$E$1,2,-8)</f>
        <v>2</v>
      </c>
      <c r="Z155" s="82">
        <f>IF(Consultas!AA155='Parâmetros'!$E$1,-15,1)</f>
        <v>1</v>
      </c>
      <c r="AA155" s="147" t="s">
        <v>140</v>
      </c>
      <c r="AB155" s="82">
        <f>IF(E155="NA","NA",IF(E155&gt;'Parâmetros'!$A$9,8,IF(E155&gt;'Parâmetros'!$A$8,4,IF(E155&gt;'Parâmetros'!$A$7,0,-6))))</f>
        <v>0</v>
      </c>
      <c r="AC155" s="82">
        <f>IF(Consultas!AC155='Parâmetros'!$E$1,0,5)</f>
        <v>0</v>
      </c>
      <c r="AD155" s="82">
        <f>IF(Consultas!AH155='Parâmetros'!$D$1,-10,5)</f>
        <v>-10</v>
      </c>
      <c r="AE155" s="82">
        <f>IF(Consultas!AI155&gt;(Consultas!F155*2),-10,0)</f>
        <v>-10</v>
      </c>
      <c r="AF155" s="82">
        <f>IF(Consultas!AD155&gt;1,(IF(Consultas!AI155&gt;(Consultas!AD155),-20,4)))</f>
        <v>4</v>
      </c>
      <c r="AG155" s="82">
        <f>IF(Consultas!AG155='Parâmetros'!$E$1,0,-6)</f>
        <v>0</v>
      </c>
      <c r="AH155" s="82">
        <f>IF(Consultas!AF155='Parâmetros'!$E$1,1,-5)</f>
        <v>1</v>
      </c>
      <c r="AI155" s="82">
        <f>IF(Consultas!AJ155&gt;700,8,IF(Consultas!AJ155&gt;500,4,IF(Consultas!AJ155&gt;200,-4,IF(Consultas!AJ155&gt;1,-15,-20))))</f>
        <v>-20</v>
      </c>
      <c r="AJ155" s="82">
        <f>IF(Consultas!AD155='Parâmetros'!$E$10,0,IF(Consultas!AD155&gt;'Parâmetros'!$A$30,12,IF(Consultas!AD155&gt;'Parâmetros'!$A$31,6,IF(Consultas!AD155&gt;'Parâmetros'!$A$32,0,IF(Consultas!AD155&gt;'Parâmetros'!$A$33,0,IF(Consultas!AD155&gt;'Parâmetros'!$A$34,-3,IF(Consultas!AD155&gt;'Parâmetros'!$A$35,-7,-1)))))))</f>
        <v>12</v>
      </c>
      <c r="AK155" s="82">
        <f>IF(Consultas!AO155='Parâmetros'!$D$1,3,-3)</f>
        <v>-3</v>
      </c>
      <c r="AL155" s="82">
        <f>IF(Consultas!AP155='Parâmetros'!$D$1,5,-3)</f>
        <v>-3</v>
      </c>
      <c r="AM155" s="82">
        <f>IF(Consultas!AL155="N",-6,0)</f>
        <v>0</v>
      </c>
      <c r="AN155" s="82">
        <f>IF(Consultas!AM155="N",-10,0)</f>
        <v>0</v>
      </c>
      <c r="AO155" s="82">
        <f>IF(Consultas!AN155="S",4,-2)</f>
        <v>-2</v>
      </c>
      <c r="AP155" s="39"/>
      <c r="AQ155" s="165">
        <f>IF(Consultas!F155&gt;1,(SUM(F155:AO155)),"N/A")</f>
        <v>6</v>
      </c>
      <c r="AR155" s="78" t="str">
        <f>IF((Consultas!AD155&gt;'Parâmetros'!$A$31),"X",AJ155+Y155+V155+AC155)</f>
        <v>X</v>
      </c>
      <c r="AS155" s="78" t="str">
        <f>IF((Consultas!AD155&gt;'Parâmetros'!$A$31),"X",(H155+I155+J155+Q155+T155+Y155+Z155+AJ155+AN155))</f>
        <v>X</v>
      </c>
      <c r="AT155" s="78">
        <f>IF((Consultas!AD155&lt;'Parâmetros'!$A$31),"X",(AD155+AC155+AB155))</f>
        <v>-10</v>
      </c>
      <c r="AU155" s="78">
        <f t="shared" si="1"/>
        <v>-10</v>
      </c>
      <c r="AV155" s="82" t="str">
        <f>IF(AQ155="N/A","N/A",IF(AQ155&gt;5,'Parâmetros'!$A$15,(IF(AU155=AR155,'Parâmetros'!$A$17,IF(AU155=AS155,'Parâmetros'!$A$16,'Parâmetros'!$A$14)))))</f>
        <v>SEM-RISCO</v>
      </c>
      <c r="AW155" s="86" t="str">
        <f>IF(AQ155="N/A","N/A",IF(AV155='Parâmetros'!$A$15,'Parâmetros'!$C$15,(IF(AV155='Parâmetros'!$A$17,'Parâmetros'!$C$17,IF(AV155='Parâmetros'!$A$16,'Parâmetros'!$C$16,IF(AV155='Parâmetros'!$A$14,'Parâmetros'!$C$12))))))</f>
        <v>LIBERADO</v>
      </c>
      <c r="AX155" s="82" t="str">
        <f>IF(Consultas!F155&gt;1,(IF(Consultas!F155&gt;5000,"SOLICITAR PED COMPRA","N/A")))</f>
        <v>SOLICITAR PED COMPRA</v>
      </c>
      <c r="AY155" s="167" t="str">
        <f>IF(AND(Consultas!M155&lt;&gt;"S", Consultas!H155="S"), "CHECAGEM REVERSA", "N/A")</f>
        <v>CHECAGEM REVERSA</v>
      </c>
      <c r="AZ155" s="167" t="str">
        <f>IF(Consultas!U155="N","PRECISA CORRIGIR END DIVERGENTE","N/A")</f>
        <v>N/A</v>
      </c>
    </row>
    <row r="156" ht="12.0" customHeight="1">
      <c r="A156" s="39" t="s">
        <v>90</v>
      </c>
      <c r="B156" s="82">
        <f>Consultas!B156</f>
        <v>709</v>
      </c>
      <c r="C156" s="82" t="str">
        <f>Consultas!D156</f>
        <v>Oaco</v>
      </c>
      <c r="D156" s="96" t="str">
        <f>Consultas!E156</f>
        <v>142196</v>
      </c>
      <c r="E156" s="104">
        <f>IF(Consultas!AB156&gt;0,YEAR('Parâmetros'!$B$1)-YEAR(Consultas!AB156),"NA")</f>
        <v>28</v>
      </c>
      <c r="F156" s="82">
        <f>IF(Consultas!F156&gt;'Parâmetros'!$B$2,-8,0)</f>
        <v>0</v>
      </c>
      <c r="G156" s="82">
        <f>IF(Consultas!H156='Parâmetros'!$E$1,100,0)</f>
        <v>0</v>
      </c>
      <c r="H156" s="82">
        <f>IF(Consultas!I156='Parâmetros'!$E$1,-4,12)</f>
        <v>-4</v>
      </c>
      <c r="I156" s="82">
        <f>IF(Consultas!J156='Parâmetros'!$E$1,1,-13)</f>
        <v>1</v>
      </c>
      <c r="J156" s="82">
        <f>IF(Consultas!K156='Parâmetros'!$E$1,2,-5)</f>
        <v>2</v>
      </c>
      <c r="K156" s="82" t="str">
        <f>IF(Consultas!L156='Parâmetros'!$D$1,"SOLIC CONTRATO DE ENTREGA","N/A")</f>
        <v>N/A</v>
      </c>
      <c r="L156" s="82">
        <f>IF(Consultas!R156='Parâmetros'!$E$1,1,-3)</f>
        <v>1</v>
      </c>
      <c r="M156" s="82">
        <f>IF(Consultas!S156&gt;1,(IF(Consultas!S156='Parâmetros'!$E$1,-3,9)))</f>
        <v>-3</v>
      </c>
      <c r="N156" s="82">
        <f>IF(Consultas!T156="S",23,0)</f>
        <v>0</v>
      </c>
      <c r="O156" s="82">
        <f>IF(Consultas!U156='Parâmetros'!$E$1,-3,3)</f>
        <v>3</v>
      </c>
      <c r="P156" s="82">
        <f>IF(Consultas!V156='Parâmetros'!$E$1,-100,2)</f>
        <v>2</v>
      </c>
      <c r="Q156" s="82">
        <f>IF(Consultas!M156='Parâmetros'!$D$1,2,-9)</f>
        <v>2</v>
      </c>
      <c r="R156" s="82">
        <f>IF(Consultas!N156="RJ",-12,0)</f>
        <v>0</v>
      </c>
      <c r="S156" s="82">
        <f>IF(Consultas!O156="-",-3,IF(Consultas!O156=0,-6,IF(Consultas!O156=5,0,IF(Consultas!O156=10,6))))</f>
        <v>-3</v>
      </c>
      <c r="T156" s="82">
        <f>IF(Consultas!M156="S",0,(IF(Consultas!P156="S",6,0)))</f>
        <v>0</v>
      </c>
      <c r="U156" s="82">
        <f>IF(Consultas!Q156&gt;97,9,IF(Consultas!Q156&gt;75,0,-7))</f>
        <v>9</v>
      </c>
      <c r="V156" s="82">
        <f>IF(Consultas!W156='Parâmetros'!$E$1,1,-5)</f>
        <v>1</v>
      </c>
      <c r="W156" s="82">
        <f>IF(Consultas!X156="S",3,-3)</f>
        <v>3</v>
      </c>
      <c r="X156" s="82">
        <f>IF(Consultas!Y156="S",0,-7)</f>
        <v>0</v>
      </c>
      <c r="Y156" s="82">
        <f>IF(Consultas!Z156='Parâmetros'!$E$1,2,-8)</f>
        <v>2</v>
      </c>
      <c r="Z156" s="82">
        <f>IF(Consultas!AA156='Parâmetros'!$E$1,-15,1)</f>
        <v>1</v>
      </c>
      <c r="AA156" s="147" t="s">
        <v>140</v>
      </c>
      <c r="AB156" s="82">
        <f>IF(E156="NA","NA",IF(E156&gt;'Parâmetros'!$A$9,8,IF(E156&gt;'Parâmetros'!$A$8,4,IF(E156&gt;'Parâmetros'!$A$7,0,-6))))</f>
        <v>4</v>
      </c>
      <c r="AC156" s="82">
        <f>IF(Consultas!AC156='Parâmetros'!$E$1,0,5)</f>
        <v>5</v>
      </c>
      <c r="AD156" s="82">
        <f>IF(Consultas!AH156='Parâmetros'!$D$1,-10,5)</f>
        <v>-10</v>
      </c>
      <c r="AE156" s="82">
        <f>IF(Consultas!AI156&gt;(Consultas!F156*2),-10,0)</f>
        <v>-10</v>
      </c>
      <c r="AF156" s="82" t="b">
        <f>IF(Consultas!AD156&gt;1,(IF(Consultas!AI156&gt;(Consultas!AD156),-20,4)))</f>
        <v>0</v>
      </c>
      <c r="AG156" s="82">
        <f>IF(Consultas!AG156='Parâmetros'!$E$1,0,-6)</f>
        <v>0</v>
      </c>
      <c r="AH156" s="82">
        <f>IF(Consultas!AF156='Parâmetros'!$E$1,1,-5)</f>
        <v>1</v>
      </c>
      <c r="AI156" s="82">
        <f>IF(Consultas!AJ156&gt;700,8,IF(Consultas!AJ156&gt;500,4,IF(Consultas!AJ156&gt;200,-4,IF(Consultas!AJ156&gt;1,-15,-20))))</f>
        <v>4</v>
      </c>
      <c r="AJ156" s="82">
        <f>IF(Consultas!AD156='Parâmetros'!$E$10,0,IF(Consultas!AD156&gt;'Parâmetros'!$A$30,12,IF(Consultas!AD156&gt;'Parâmetros'!$A$31,6,IF(Consultas!AD156&gt;'Parâmetros'!$A$32,0,IF(Consultas!AD156&gt;'Parâmetros'!$A$33,0,IF(Consultas!AD156&gt;'Parâmetros'!$A$34,-3,IF(Consultas!AD156&gt;'Parâmetros'!$A$35,-7,-1)))))))</f>
        <v>-1</v>
      </c>
      <c r="AK156" s="82">
        <f>IF(Consultas!AO156='Parâmetros'!$D$1,3,-3)</f>
        <v>-3</v>
      </c>
      <c r="AL156" s="82">
        <f>IF(Consultas!AP156='Parâmetros'!$D$1,5,-3)</f>
        <v>-3</v>
      </c>
      <c r="AM156" s="82">
        <f>IF(Consultas!AL156="N",-6,0)</f>
        <v>0</v>
      </c>
      <c r="AN156" s="82">
        <f>IF(Consultas!AM156="N",-10,0)</f>
        <v>0</v>
      </c>
      <c r="AO156" s="82">
        <f>IF(Consultas!AN156="S",4,-2)</f>
        <v>-2</v>
      </c>
      <c r="AP156" s="39"/>
      <c r="AQ156" s="165">
        <f>IF(Consultas!F156&gt;1,(SUM(F156:AO156)),"N/A")</f>
        <v>2</v>
      </c>
      <c r="AR156" s="78">
        <f>IF((Consultas!AD156&gt;'Parâmetros'!$A$31),"X",AJ156+Y156+V156+AC156)</f>
        <v>7</v>
      </c>
      <c r="AS156" s="78">
        <f>IF((Consultas!AD156&gt;'Parâmetros'!$A$31),"X",(H156+I156+J156+Q156+T156+Y156+Z156+AJ156+AN156))</f>
        <v>3</v>
      </c>
      <c r="AT156" s="78" t="str">
        <f>IF((Consultas!AD156&lt;'Parâmetros'!$A$31),"X",(AD156+AC156+AB156))</f>
        <v>X</v>
      </c>
      <c r="AU156" s="78">
        <f t="shared" si="1"/>
        <v>3</v>
      </c>
      <c r="AV156" s="82" t="str">
        <f>IF(AQ156="N/A","N/A",IF(AQ156&gt;5,'Parâmetros'!$A$15,(IF(AU156=AR156,'Parâmetros'!$A$17,IF(AU156=AS156,'Parâmetros'!$A$16,'Parâmetros'!$A$14)))))</f>
        <v>GOLPE</v>
      </c>
      <c r="AW156" s="86" t="str">
        <f>IF(AQ156="N/A","N/A",IF(AV156='Parâmetros'!$A$15,'Parâmetros'!$C$15,(IF(AV156='Parâmetros'!$A$17,'Parâmetros'!$C$17,IF(AV156='Parâmetros'!$A$16,'Parâmetros'!$C$16,IF(AV156='Parâmetros'!$A$14,'Parâmetros'!$C$12))))))</f>
        <v>ENTRADA OU A VISTA</v>
      </c>
      <c r="AX156" s="82" t="str">
        <f>IF(Consultas!F156&gt;1,(IF(Consultas!F156&gt;5000,"SOLICITAR PED COMPRA","N/A")))</f>
        <v>N/A</v>
      </c>
      <c r="AY156" s="167" t="str">
        <f>IF(AND(Consultas!M156&lt;&gt;"S", Consultas!H156="S"), "CHECAGEM REVERSA", "N/A")</f>
        <v>N/A</v>
      </c>
      <c r="AZ156" s="167" t="str">
        <f>IF(Consultas!U156="N","PRECISA CORRIGIR END DIVERGENTE","N/A")</f>
        <v>N/A</v>
      </c>
    </row>
    <row r="157" ht="12.0" customHeight="1">
      <c r="A157" s="39" t="s">
        <v>90</v>
      </c>
      <c r="B157" s="82">
        <f>Consultas!B157</f>
        <v>326</v>
      </c>
      <c r="C157" s="82" t="str">
        <f>Consultas!D157</f>
        <v>Metalpleno</v>
      </c>
      <c r="D157" s="96" t="str">
        <f>Consultas!E157</f>
        <v>144720</v>
      </c>
      <c r="E157" s="104">
        <f>IF(Consultas!AB157&gt;0,YEAR('Parâmetros'!$B$1)-YEAR(Consultas!AB157),"NA")</f>
        <v>8</v>
      </c>
      <c r="F157" s="82">
        <f>IF(Consultas!F157&gt;'Parâmetros'!$B$2,-8,0)</f>
        <v>0</v>
      </c>
      <c r="G157" s="82">
        <f>IF(Consultas!H157='Parâmetros'!$E$1,100,0)</f>
        <v>0</v>
      </c>
      <c r="H157" s="82">
        <f>IF(Consultas!I157='Parâmetros'!$E$1,-4,12)</f>
        <v>-4</v>
      </c>
      <c r="I157" s="82">
        <f>IF(Consultas!J157='Parâmetros'!$E$1,1,-13)</f>
        <v>1</v>
      </c>
      <c r="J157" s="82">
        <f>IF(Consultas!K157='Parâmetros'!$E$1,2,-5)</f>
        <v>2</v>
      </c>
      <c r="K157" s="82" t="str">
        <f>IF(Consultas!L157='Parâmetros'!$D$1,"SOLIC CONTRATO DE ENTREGA","N/A")</f>
        <v>SOLIC CONTRATO DE ENTREGA</v>
      </c>
      <c r="L157" s="82">
        <f>IF(Consultas!R157='Parâmetros'!$E$1,1,-3)</f>
        <v>1</v>
      </c>
      <c r="M157" s="82">
        <f>IF(Consultas!S157&gt;1,(IF(Consultas!S157='Parâmetros'!$E$1,-3,9)))</f>
        <v>-3</v>
      </c>
      <c r="N157" s="82">
        <f>IF(Consultas!T157="S",23,0)</f>
        <v>0</v>
      </c>
      <c r="O157" s="82">
        <f>IF(Consultas!U157='Parâmetros'!$E$1,-3,3)</f>
        <v>3</v>
      </c>
      <c r="P157" s="82">
        <f>IF(Consultas!V157='Parâmetros'!$E$1,-100,2)</f>
        <v>2</v>
      </c>
      <c r="Q157" s="82">
        <f>IF(Consultas!M157='Parâmetros'!$D$1,2,-9)</f>
        <v>-9</v>
      </c>
      <c r="R157" s="82">
        <f>IF(Consultas!N157="RJ",-12,0)</f>
        <v>0</v>
      </c>
      <c r="S157" s="82">
        <f>IF(Consultas!O157="-",-3,IF(Consultas!O157=0,-6,IF(Consultas!O157=5,0,IF(Consultas!O157=10,6))))</f>
        <v>-6</v>
      </c>
      <c r="T157" s="82">
        <f>IF(Consultas!M157="S",0,(IF(Consultas!P157="S",6,0)))</f>
        <v>0</v>
      </c>
      <c r="U157" s="82">
        <f>IF(Consultas!Q157&gt;97,9,IF(Consultas!Q157&gt;75,0,-7))</f>
        <v>9</v>
      </c>
      <c r="V157" s="82">
        <f>IF(Consultas!W157='Parâmetros'!$E$1,1,-5)</f>
        <v>1</v>
      </c>
      <c r="W157" s="82">
        <f>IF(Consultas!X157="S",3,-3)</f>
        <v>3</v>
      </c>
      <c r="X157" s="82">
        <f>IF(Consultas!Y157="S",0,-7)</f>
        <v>-7</v>
      </c>
      <c r="Y157" s="82">
        <f>IF(Consultas!Z157='Parâmetros'!$E$1,2,-8)</f>
        <v>2</v>
      </c>
      <c r="Z157" s="82">
        <f>IF(Consultas!AA157='Parâmetros'!$E$1,-15,1)</f>
        <v>1</v>
      </c>
      <c r="AA157" s="147" t="s">
        <v>140</v>
      </c>
      <c r="AB157" s="82">
        <f>IF(E157="NA","NA",IF(E157&gt;'Parâmetros'!$A$9,8,IF(E157&gt;'Parâmetros'!$A$8,4,IF(E157&gt;'Parâmetros'!$A$7,0,-6))))</f>
        <v>0</v>
      </c>
      <c r="AC157" s="82">
        <f>IF(Consultas!AC157='Parâmetros'!$E$1,0,5)</f>
        <v>0</v>
      </c>
      <c r="AD157" s="82">
        <f>IF(Consultas!AH157='Parâmetros'!$D$1,-10,5)</f>
        <v>5</v>
      </c>
      <c r="AE157" s="82">
        <f>IF(Consultas!AI157&gt;(Consultas!F157*2),-10,0)</f>
        <v>0</v>
      </c>
      <c r="AF157" s="82">
        <f>IF(Consultas!AD157&gt;1,(IF(Consultas!AI157&gt;(Consultas!AD157),-20,4)))</f>
        <v>4</v>
      </c>
      <c r="AG157" s="82">
        <f>IF(Consultas!AG157='Parâmetros'!$E$1,0,-6)</f>
        <v>0</v>
      </c>
      <c r="AH157" s="82">
        <f>IF(Consultas!AF157='Parâmetros'!$E$1,1,-5)</f>
        <v>1</v>
      </c>
      <c r="AI157" s="82">
        <f>IF(Consultas!AJ157&gt;700,8,IF(Consultas!AJ157&gt;500,4,IF(Consultas!AJ157&gt;200,-4,IF(Consultas!AJ157&gt;1,-15,-20))))</f>
        <v>8</v>
      </c>
      <c r="AJ157" s="82">
        <f>IF(Consultas!AD157='Parâmetros'!$E$10,0,IF(Consultas!AD157&gt;'Parâmetros'!$A$30,12,IF(Consultas!AD157&gt;'Parâmetros'!$A$31,6,IF(Consultas!AD157&gt;'Parâmetros'!$A$32,0,IF(Consultas!AD157&gt;'Parâmetros'!$A$33,0,IF(Consultas!AD157&gt;'Parâmetros'!$A$34,-3,IF(Consultas!AD157&gt;'Parâmetros'!$A$35,-7,-1)))))))</f>
        <v>12</v>
      </c>
      <c r="AK157" s="82">
        <f>IF(Consultas!AO157='Parâmetros'!$D$1,3,-3)</f>
        <v>-3</v>
      </c>
      <c r="AL157" s="82">
        <f>IF(Consultas!AP157='Parâmetros'!$D$1,5,-3)</f>
        <v>-3</v>
      </c>
      <c r="AM157" s="82">
        <f>IF(Consultas!AL157="N",-6,0)</f>
        <v>0</v>
      </c>
      <c r="AN157" s="82">
        <f>IF(Consultas!AM157="N",-10,0)</f>
        <v>0</v>
      </c>
      <c r="AO157" s="82">
        <f>IF(Consultas!AN157="S",4,-2)</f>
        <v>-2</v>
      </c>
      <c r="AP157" s="39"/>
      <c r="AQ157" s="165">
        <f>IF(Consultas!F157&gt;1,(SUM(F157:AO157)),"N/A")</f>
        <v>18</v>
      </c>
      <c r="AR157" s="78" t="str">
        <f>IF((Consultas!AD157&gt;'Parâmetros'!$A$31),"X",AJ157+Y157+V157+AC157)</f>
        <v>X</v>
      </c>
      <c r="AS157" s="78" t="str">
        <f>IF((Consultas!AD157&gt;'Parâmetros'!$A$31),"X",(H157+I157+J157+Q157+T157+Y157+Z157+AJ157+AN157))</f>
        <v>X</v>
      </c>
      <c r="AT157" s="78">
        <f>IF((Consultas!AD157&lt;'Parâmetros'!$A$31),"X",(AD157+AC157+AB157))</f>
        <v>5</v>
      </c>
      <c r="AU157" s="78">
        <f t="shared" si="1"/>
        <v>5</v>
      </c>
      <c r="AV157" s="82" t="str">
        <f>IF(AQ157="N/A","N/A",IF(AQ157&gt;5,'Parâmetros'!$A$15,(IF(AU157=AR157,'Parâmetros'!$A$17,IF(AU157=AS157,'Parâmetros'!$A$16,'Parâmetros'!$A$14)))))</f>
        <v>SEM-RISCO</v>
      </c>
      <c r="AW157" s="86" t="str">
        <f>IF(AQ157="N/A","N/A",IF(AV157='Parâmetros'!$A$15,'Parâmetros'!$C$15,(IF(AV157='Parâmetros'!$A$17,'Parâmetros'!$C$17,IF(AV157='Parâmetros'!$A$16,'Parâmetros'!$C$16,IF(AV157='Parâmetros'!$A$14,'Parâmetros'!$C$12))))))</f>
        <v>LIBERADO</v>
      </c>
      <c r="AX157" s="82" t="str">
        <f>IF(Consultas!F157&gt;1,(IF(Consultas!F157&gt;5000,"SOLICITAR PED COMPRA","N/A")))</f>
        <v>N/A</v>
      </c>
      <c r="AY157" s="167" t="str">
        <f>IF(AND(Consultas!M157&lt;&gt;"S", Consultas!H157="S"), "CHECAGEM REVERSA", "N/A")</f>
        <v>CHECAGEM REVERSA</v>
      </c>
      <c r="AZ157" s="167" t="str">
        <f>IF(Consultas!U157="N","PRECISA CORRIGIR END DIVERGENTE","N/A")</f>
        <v>N/A</v>
      </c>
    </row>
    <row r="158" ht="12.0" customHeight="1">
      <c r="A158" s="39" t="s">
        <v>90</v>
      </c>
      <c r="B158" s="82">
        <f>Consultas!B158</f>
        <v>327</v>
      </c>
      <c r="C158" s="82" t="str">
        <f>Consultas!D158</f>
        <v>Metalpleno</v>
      </c>
      <c r="D158" s="96" t="str">
        <f>Consultas!E158</f>
        <v>144722</v>
      </c>
      <c r="E158" s="104">
        <f>IF(Consultas!AB158&gt;0,YEAR('Parâmetros'!$B$1)-YEAR(Consultas!AB158),"NA")</f>
        <v>18</v>
      </c>
      <c r="F158" s="82">
        <f>IF(Consultas!F158&gt;'Parâmetros'!$B$2,-8,0)</f>
        <v>0</v>
      </c>
      <c r="G158" s="82">
        <f>IF(Consultas!H158='Parâmetros'!$E$1,100,0)</f>
        <v>0</v>
      </c>
      <c r="H158" s="82">
        <f>IF(Consultas!I158='Parâmetros'!$E$1,-4,12)</f>
        <v>-4</v>
      </c>
      <c r="I158" s="82">
        <f>IF(Consultas!J158='Parâmetros'!$E$1,1,-13)</f>
        <v>1</v>
      </c>
      <c r="J158" s="82">
        <f>IF(Consultas!K158='Parâmetros'!$E$1,2,-5)</f>
        <v>2</v>
      </c>
      <c r="K158" s="82" t="str">
        <f>IF(Consultas!L158='Parâmetros'!$D$1,"SOLIC CONTRATO DE ENTREGA","N/A")</f>
        <v>SOLIC CONTRATO DE ENTREGA</v>
      </c>
      <c r="L158" s="82">
        <f>IF(Consultas!R158='Parâmetros'!$E$1,1,-3)</f>
        <v>1</v>
      </c>
      <c r="M158" s="82">
        <f>IF(Consultas!S158&gt;1,(IF(Consultas!S158='Parâmetros'!$E$1,-3,9)))</f>
        <v>-3</v>
      </c>
      <c r="N158" s="82">
        <f>IF(Consultas!T158="S",23,0)</f>
        <v>0</v>
      </c>
      <c r="O158" s="82">
        <f>IF(Consultas!U158='Parâmetros'!$E$1,-3,3)</f>
        <v>3</v>
      </c>
      <c r="P158" s="82">
        <f>IF(Consultas!V158='Parâmetros'!$E$1,-100,2)</f>
        <v>2</v>
      </c>
      <c r="Q158" s="82">
        <f>IF(Consultas!M158='Parâmetros'!$D$1,2,-9)</f>
        <v>-9</v>
      </c>
      <c r="R158" s="82">
        <f>IF(Consultas!N158="RJ",-12,0)</f>
        <v>0</v>
      </c>
      <c r="S158" s="82">
        <f>IF(Consultas!O158="-",-3,IF(Consultas!O158=0,-6,IF(Consultas!O158=5,0,IF(Consultas!O158=10,6))))</f>
        <v>-6</v>
      </c>
      <c r="T158" s="82">
        <f>IF(Consultas!M158="S",0,(IF(Consultas!P158="S",6,0)))</f>
        <v>6</v>
      </c>
      <c r="U158" s="82">
        <f>IF(Consultas!Q158&gt;97,9,IF(Consultas!Q158&gt;75,0,-7))</f>
        <v>9</v>
      </c>
      <c r="V158" s="82">
        <f>IF(Consultas!W158='Parâmetros'!$E$1,1,-5)</f>
        <v>1</v>
      </c>
      <c r="W158" s="82">
        <f>IF(Consultas!X158="S",3,-3)</f>
        <v>3</v>
      </c>
      <c r="X158" s="82">
        <f>IF(Consultas!Y158="S",0,-7)</f>
        <v>0</v>
      </c>
      <c r="Y158" s="82">
        <f>IF(Consultas!Z158='Parâmetros'!$E$1,2,-8)</f>
        <v>2</v>
      </c>
      <c r="Z158" s="82">
        <f>IF(Consultas!AA158='Parâmetros'!$E$1,-15,1)</f>
        <v>1</v>
      </c>
      <c r="AA158" s="147" t="s">
        <v>140</v>
      </c>
      <c r="AB158" s="82">
        <f>IF(E158="NA","NA",IF(E158&gt;'Parâmetros'!$A$9,8,IF(E158&gt;'Parâmetros'!$A$8,4,IF(E158&gt;'Parâmetros'!$A$7,0,-6))))</f>
        <v>4</v>
      </c>
      <c r="AC158" s="82">
        <f>IF(Consultas!AC158='Parâmetros'!$E$1,0,5)</f>
        <v>0</v>
      </c>
      <c r="AD158" s="82">
        <f>IF(Consultas!AH158='Parâmetros'!$D$1,-10,5)</f>
        <v>5</v>
      </c>
      <c r="AE158" s="82">
        <f>IF(Consultas!AI158&gt;(Consultas!F158*2),-10,0)</f>
        <v>0</v>
      </c>
      <c r="AF158" s="82">
        <f>IF(Consultas!AD158&gt;1,(IF(Consultas!AI158&gt;(Consultas!AD158),-20,4)))</f>
        <v>4</v>
      </c>
      <c r="AG158" s="82">
        <f>IF(Consultas!AG158='Parâmetros'!$E$1,0,-6)</f>
        <v>0</v>
      </c>
      <c r="AH158" s="82">
        <f>IF(Consultas!AF158='Parâmetros'!$E$1,1,-5)</f>
        <v>-5</v>
      </c>
      <c r="AI158" s="82">
        <f>IF(Consultas!AJ158&gt;700,8,IF(Consultas!AJ158&gt;500,4,IF(Consultas!AJ158&gt;200,-4,IF(Consultas!AJ158&gt;1,-15,-20))))</f>
        <v>-4</v>
      </c>
      <c r="AJ158" s="82">
        <f>IF(Consultas!AD158='Parâmetros'!$E$10,0,IF(Consultas!AD158&gt;'Parâmetros'!$A$30,12,IF(Consultas!AD158&gt;'Parâmetros'!$A$31,6,IF(Consultas!AD158&gt;'Parâmetros'!$A$32,0,IF(Consultas!AD158&gt;'Parâmetros'!$A$33,0,IF(Consultas!AD158&gt;'Parâmetros'!$A$34,-3,IF(Consultas!AD158&gt;'Parâmetros'!$A$35,-7,-1)))))))</f>
        <v>12</v>
      </c>
      <c r="AK158" s="82">
        <f>IF(Consultas!AO158='Parâmetros'!$D$1,3,-3)</f>
        <v>-3</v>
      </c>
      <c r="AL158" s="82">
        <f>IF(Consultas!AP158='Parâmetros'!$D$1,5,-3)</f>
        <v>-3</v>
      </c>
      <c r="AM158" s="82">
        <f>IF(Consultas!AL158="N",-6,0)</f>
        <v>0</v>
      </c>
      <c r="AN158" s="82">
        <f>IF(Consultas!AM158="N",-10,0)</f>
        <v>0</v>
      </c>
      <c r="AO158" s="82">
        <f>IF(Consultas!AN158="S",4,-2)</f>
        <v>-2</v>
      </c>
      <c r="AP158" s="39"/>
      <c r="AQ158" s="165">
        <f>IF(Consultas!F158&gt;1,(SUM(F158:AO158)),"N/A")</f>
        <v>17</v>
      </c>
      <c r="AR158" s="78" t="str">
        <f>IF((Consultas!AD158&gt;'Parâmetros'!$A$31),"X",AJ158+Y158+V158+AC158)</f>
        <v>X</v>
      </c>
      <c r="AS158" s="78" t="str">
        <f>IF((Consultas!AD158&gt;'Parâmetros'!$A$31),"X",(H158+I158+J158+Q158+T158+Y158+Z158+AJ158+AN158))</f>
        <v>X</v>
      </c>
      <c r="AT158" s="78">
        <f>IF((Consultas!AD158&lt;'Parâmetros'!$A$31),"X",(AD158+AC158+AB158))</f>
        <v>9</v>
      </c>
      <c r="AU158" s="78">
        <f t="shared" si="1"/>
        <v>9</v>
      </c>
      <c r="AV158" s="82" t="str">
        <f>IF(AQ158="N/A","N/A",IF(AQ158&gt;5,'Parâmetros'!$A$15,(IF(AU158=AR158,'Parâmetros'!$A$17,IF(AU158=AS158,'Parâmetros'!$A$16,'Parâmetros'!$A$14)))))</f>
        <v>SEM-RISCO</v>
      </c>
      <c r="AW158" s="86" t="str">
        <f>IF(AQ158="N/A","N/A",IF(AV158='Parâmetros'!$A$15,'Parâmetros'!$C$15,(IF(AV158='Parâmetros'!$A$17,'Parâmetros'!$C$17,IF(AV158='Parâmetros'!$A$16,'Parâmetros'!$C$16,IF(AV158='Parâmetros'!$A$14,'Parâmetros'!$C$12))))))</f>
        <v>LIBERADO</v>
      </c>
      <c r="AX158" s="82" t="str">
        <f>IF(Consultas!F158&gt;1,(IF(Consultas!F158&gt;5000,"SOLICITAR PED COMPRA","N/A")))</f>
        <v>SOLICITAR PED COMPRA</v>
      </c>
      <c r="AY158" s="167" t="str">
        <f>IF(AND(Consultas!M158&lt;&gt;"S", Consultas!H158="S"), "CHECAGEM REVERSA", "N/A")</f>
        <v>CHECAGEM REVERSA</v>
      </c>
      <c r="AZ158" s="167" t="str">
        <f>IF(Consultas!U158="N","PRECISA CORRIGIR END DIVERGENTE","N/A")</f>
        <v>N/A</v>
      </c>
    </row>
    <row r="159" ht="12.0" customHeight="1">
      <c r="A159" s="39" t="s">
        <v>90</v>
      </c>
      <c r="B159" s="82">
        <f>Consultas!B159</f>
        <v>328</v>
      </c>
      <c r="C159" s="82" t="str">
        <f>Consultas!D159</f>
        <v>Metalpleno</v>
      </c>
      <c r="D159" s="96" t="str">
        <f>Consultas!E159</f>
        <v>144724</v>
      </c>
      <c r="E159" s="104">
        <f>IF(Consultas!AB159&gt;0,YEAR('Parâmetros'!$B$1)-YEAR(Consultas!AB159),"NA")</f>
        <v>39</v>
      </c>
      <c r="F159" s="82">
        <f>IF(Consultas!F159&gt;'Parâmetros'!$B$2,-8,0)</f>
        <v>0</v>
      </c>
      <c r="G159" s="82">
        <f>IF(Consultas!H159='Parâmetros'!$E$1,100,0)</f>
        <v>0</v>
      </c>
      <c r="H159" s="82">
        <f>IF(Consultas!I159='Parâmetros'!$E$1,-4,12)</f>
        <v>-4</v>
      </c>
      <c r="I159" s="82">
        <f>IF(Consultas!J159='Parâmetros'!$E$1,1,-13)</f>
        <v>1</v>
      </c>
      <c r="J159" s="82">
        <f>IF(Consultas!K159='Parâmetros'!$E$1,2,-5)</f>
        <v>2</v>
      </c>
      <c r="K159" s="82" t="str">
        <f>IF(Consultas!L159='Parâmetros'!$D$1,"SOLIC CONTRATO DE ENTREGA","N/A")</f>
        <v>SOLIC CONTRATO DE ENTREGA</v>
      </c>
      <c r="L159" s="82">
        <f>IF(Consultas!R159='Parâmetros'!$E$1,1,-3)</f>
        <v>1</v>
      </c>
      <c r="M159" s="82">
        <f>IF(Consultas!S159&gt;1,(IF(Consultas!S159='Parâmetros'!$E$1,-3,9)))</f>
        <v>9</v>
      </c>
      <c r="N159" s="82">
        <f>IF(Consultas!T159="S",23,0)</f>
        <v>0</v>
      </c>
      <c r="O159" s="82">
        <f>IF(Consultas!U159='Parâmetros'!$E$1,-3,3)</f>
        <v>3</v>
      </c>
      <c r="P159" s="82">
        <f>IF(Consultas!V159='Parâmetros'!$E$1,-100,2)</f>
        <v>2</v>
      </c>
      <c r="Q159" s="82">
        <f>IF(Consultas!M159='Parâmetros'!$D$1,2,-9)</f>
        <v>2</v>
      </c>
      <c r="R159" s="82">
        <f>IF(Consultas!N159="RJ",-12,0)</f>
        <v>0</v>
      </c>
      <c r="S159" s="82">
        <f>IF(Consultas!O159="-",-3,IF(Consultas!O159=0,-6,IF(Consultas!O159=5,0,IF(Consultas!O159=10,6))))</f>
        <v>-3</v>
      </c>
      <c r="T159" s="82">
        <f>IF(Consultas!M159="S",0,(IF(Consultas!P159="S",6,0)))</f>
        <v>0</v>
      </c>
      <c r="U159" s="82">
        <f>IF(Consultas!Q159&gt;97,9,IF(Consultas!Q159&gt;75,0,-7))</f>
        <v>9</v>
      </c>
      <c r="V159" s="82">
        <f>IF(Consultas!W159='Parâmetros'!$E$1,1,-5)</f>
        <v>1</v>
      </c>
      <c r="W159" s="82">
        <f>IF(Consultas!X159="S",3,-3)</f>
        <v>3</v>
      </c>
      <c r="X159" s="82">
        <f>IF(Consultas!Y159="S",0,-7)</f>
        <v>0</v>
      </c>
      <c r="Y159" s="82">
        <f>IF(Consultas!Z159='Parâmetros'!$E$1,2,-8)</f>
        <v>2</v>
      </c>
      <c r="Z159" s="82">
        <f>IF(Consultas!AA159='Parâmetros'!$E$1,-15,1)</f>
        <v>1</v>
      </c>
      <c r="AA159" s="147" t="s">
        <v>140</v>
      </c>
      <c r="AB159" s="82">
        <f>IF(E159="NA","NA",IF(E159&gt;'Parâmetros'!$A$9,8,IF(E159&gt;'Parâmetros'!$A$8,4,IF(E159&gt;'Parâmetros'!$A$7,0,-6))))</f>
        <v>8</v>
      </c>
      <c r="AC159" s="82">
        <f>IF(Consultas!AC159='Parâmetros'!$E$1,0,5)</f>
        <v>5</v>
      </c>
      <c r="AD159" s="82">
        <f>IF(Consultas!AH159='Parâmetros'!$D$1,-10,5)</f>
        <v>-10</v>
      </c>
      <c r="AE159" s="82">
        <f>IF(Consultas!AI159&gt;(Consultas!F159*2),-10,0)</f>
        <v>-10</v>
      </c>
      <c r="AF159" s="82">
        <f>IF(Consultas!AD159&gt;1,(IF(Consultas!AI159&gt;(Consultas!AD159),-20,4)))</f>
        <v>4</v>
      </c>
      <c r="AG159" s="82">
        <f>IF(Consultas!AG159='Parâmetros'!$E$1,0,-6)</f>
        <v>0</v>
      </c>
      <c r="AH159" s="82">
        <f>IF(Consultas!AF159='Parâmetros'!$E$1,1,-5)</f>
        <v>-5</v>
      </c>
      <c r="AI159" s="82">
        <f>IF(Consultas!AJ159&gt;700,8,IF(Consultas!AJ159&gt;500,4,IF(Consultas!AJ159&gt;200,-4,IF(Consultas!AJ159&gt;1,-15,-20))))</f>
        <v>8</v>
      </c>
      <c r="AJ159" s="82">
        <f>IF(Consultas!AD159='Parâmetros'!$E$10,0,IF(Consultas!AD159&gt;'Parâmetros'!$A$30,12,IF(Consultas!AD159&gt;'Parâmetros'!$A$31,6,IF(Consultas!AD159&gt;'Parâmetros'!$A$32,0,IF(Consultas!AD159&gt;'Parâmetros'!$A$33,0,IF(Consultas!AD159&gt;'Parâmetros'!$A$34,-3,IF(Consultas!AD159&gt;'Parâmetros'!$A$35,-7,-1)))))))</f>
        <v>12</v>
      </c>
      <c r="AK159" s="82">
        <f>IF(Consultas!AO159='Parâmetros'!$D$1,3,-3)</f>
        <v>-3</v>
      </c>
      <c r="AL159" s="82">
        <f>IF(Consultas!AP159='Parâmetros'!$D$1,5,-3)</f>
        <v>-3</v>
      </c>
      <c r="AM159" s="82">
        <f>IF(Consultas!AL159="N",-6,0)</f>
        <v>0</v>
      </c>
      <c r="AN159" s="82">
        <f>IF(Consultas!AM159="N",-10,0)</f>
        <v>0</v>
      </c>
      <c r="AO159" s="82">
        <f>IF(Consultas!AN159="S",4,-2)</f>
        <v>-2</v>
      </c>
      <c r="AP159" s="39"/>
      <c r="AQ159" s="165">
        <f>IF(Consultas!F159&gt;1,(SUM(F159:AO159)),"N/A")</f>
        <v>33</v>
      </c>
      <c r="AR159" s="78" t="str">
        <f>IF((Consultas!AD159&gt;'Parâmetros'!$A$31),"X",AJ159+Y159+V159+AC159)</f>
        <v>X</v>
      </c>
      <c r="AS159" s="78" t="str">
        <f>IF((Consultas!AD159&gt;'Parâmetros'!$A$31),"X",(H159+I159+J159+Q159+T159+Y159+Z159+AJ159+AN159))</f>
        <v>X</v>
      </c>
      <c r="AT159" s="78">
        <f>IF((Consultas!AD159&lt;'Parâmetros'!$A$31),"X",(AD159+AC159+AB159))</f>
        <v>3</v>
      </c>
      <c r="AU159" s="78">
        <f t="shared" si="1"/>
        <v>3</v>
      </c>
      <c r="AV159" s="82" t="str">
        <f>IF(AQ159="N/A","N/A",IF(AQ159&gt;5,'Parâmetros'!$A$15,(IF(AU159=AR159,'Parâmetros'!$A$17,IF(AU159=AS159,'Parâmetros'!$A$16,'Parâmetros'!$A$14)))))</f>
        <v>SEM-RISCO</v>
      </c>
      <c r="AW159" s="86" t="str">
        <f>IF(AQ159="N/A","N/A",IF(AV159='Parâmetros'!$A$15,'Parâmetros'!$C$15,(IF(AV159='Parâmetros'!$A$17,'Parâmetros'!$C$17,IF(AV159='Parâmetros'!$A$16,'Parâmetros'!$C$16,IF(AV159='Parâmetros'!$A$14,'Parâmetros'!$C$12))))))</f>
        <v>LIBERADO</v>
      </c>
      <c r="AX159" s="82" t="str">
        <f>IF(Consultas!F159&gt;1,(IF(Consultas!F159&gt;5000,"SOLICITAR PED COMPRA","N/A")))</f>
        <v>SOLICITAR PED COMPRA</v>
      </c>
      <c r="AY159" s="167" t="str">
        <f>IF(AND(Consultas!M159&lt;&gt;"S", Consultas!H159="S"), "CHECAGEM REVERSA", "N/A")</f>
        <v>N/A</v>
      </c>
      <c r="AZ159" s="167" t="str">
        <f>IF(Consultas!U159="N","PRECISA CORRIGIR END DIVERGENTE","N/A")</f>
        <v>N/A</v>
      </c>
    </row>
    <row r="160" ht="12.0" customHeight="1">
      <c r="A160" s="39" t="s">
        <v>90</v>
      </c>
      <c r="B160" s="82">
        <f>Consultas!B160</f>
        <v>335</v>
      </c>
      <c r="C160" s="82" t="str">
        <f>Consultas!D160</f>
        <v>Metalpleno</v>
      </c>
      <c r="D160" s="96" t="str">
        <f>Consultas!E160</f>
        <v>144736</v>
      </c>
      <c r="E160" s="104">
        <f>IF(Consultas!AB160&gt;0,YEAR('Parâmetros'!$B$1)-YEAR(Consultas!AB160),"NA")</f>
        <v>6</v>
      </c>
      <c r="F160" s="82">
        <f>IF(Consultas!F160&gt;'Parâmetros'!$B$2,-8,0)</f>
        <v>0</v>
      </c>
      <c r="G160" s="82">
        <f>IF(Consultas!H160='Parâmetros'!$E$1,100,0)</f>
        <v>0</v>
      </c>
      <c r="H160" s="82">
        <f>IF(Consultas!I160='Parâmetros'!$E$1,-4,12)</f>
        <v>-4</v>
      </c>
      <c r="I160" s="82">
        <f>IF(Consultas!J160='Parâmetros'!$E$1,1,-13)</f>
        <v>1</v>
      </c>
      <c r="J160" s="82">
        <f>IF(Consultas!K160='Parâmetros'!$E$1,2,-5)</f>
        <v>2</v>
      </c>
      <c r="K160" s="82" t="str">
        <f>IF(Consultas!L160='Parâmetros'!$D$1,"SOLIC CONTRATO DE ENTREGA","N/A")</f>
        <v>SOLIC CONTRATO DE ENTREGA</v>
      </c>
      <c r="L160" s="82">
        <f>IF(Consultas!R160='Parâmetros'!$E$1,1,-3)</f>
        <v>1</v>
      </c>
      <c r="M160" s="82">
        <f>IF(Consultas!S160&gt;1,(IF(Consultas!S160='Parâmetros'!$E$1,-3,9)))</f>
        <v>-3</v>
      </c>
      <c r="N160" s="82">
        <f>IF(Consultas!T160="S",23,0)</f>
        <v>0</v>
      </c>
      <c r="O160" s="82">
        <f>IF(Consultas!U160='Parâmetros'!$E$1,-3,3)</f>
        <v>3</v>
      </c>
      <c r="P160" s="82">
        <f>IF(Consultas!V160='Parâmetros'!$E$1,-100,2)</f>
        <v>2</v>
      </c>
      <c r="Q160" s="82">
        <f>IF(Consultas!M160='Parâmetros'!$D$1,2,-9)</f>
        <v>2</v>
      </c>
      <c r="R160" s="82">
        <f>IF(Consultas!N160="RJ",-12,0)</f>
        <v>0</v>
      </c>
      <c r="S160" s="82">
        <f>IF(Consultas!O160="-",-3,IF(Consultas!O160=0,-6,IF(Consultas!O160=5,0,IF(Consultas!O160=10,6))))</f>
        <v>0</v>
      </c>
      <c r="T160" s="82">
        <f>IF(Consultas!M160="S",0,(IF(Consultas!P160="S",6,0)))</f>
        <v>0</v>
      </c>
      <c r="U160" s="82">
        <f>IF(Consultas!Q160&gt;97,9,IF(Consultas!Q160&gt;75,0,-7))</f>
        <v>9</v>
      </c>
      <c r="V160" s="82">
        <f>IF(Consultas!W160='Parâmetros'!$E$1,1,-5)</f>
        <v>1</v>
      </c>
      <c r="W160" s="82">
        <f>IF(Consultas!X160="S",3,-3)</f>
        <v>3</v>
      </c>
      <c r="X160" s="82">
        <f>IF(Consultas!Y160="S",0,-7)</f>
        <v>0</v>
      </c>
      <c r="Y160" s="82">
        <f>IF(Consultas!Z160='Parâmetros'!$E$1,2,-8)</f>
        <v>2</v>
      </c>
      <c r="Z160" s="82">
        <f>IF(Consultas!AA160='Parâmetros'!$E$1,-15,1)</f>
        <v>1</v>
      </c>
      <c r="AA160" s="147" t="s">
        <v>140</v>
      </c>
      <c r="AB160" s="82">
        <f>IF(E160="NA","NA",IF(E160&gt;'Parâmetros'!$A$9,8,IF(E160&gt;'Parâmetros'!$A$8,4,IF(E160&gt;'Parâmetros'!$A$7,0,-6))))</f>
        <v>0</v>
      </c>
      <c r="AC160" s="82">
        <f>IF(Consultas!AC160='Parâmetros'!$E$1,0,5)</f>
        <v>0</v>
      </c>
      <c r="AD160" s="82">
        <f>IF(Consultas!AH160='Parâmetros'!$D$1,-10,5)</f>
        <v>-10</v>
      </c>
      <c r="AE160" s="82">
        <f>IF(Consultas!AI160&gt;(Consultas!F160*2),-10,0)</f>
        <v>0</v>
      </c>
      <c r="AF160" s="82">
        <f>IF(Consultas!AD160&gt;1,(IF(Consultas!AI160&gt;(Consultas!AD160),-20,4)))</f>
        <v>4</v>
      </c>
      <c r="AG160" s="82">
        <f>IF(Consultas!AG160='Parâmetros'!$E$1,0,-6)</f>
        <v>0</v>
      </c>
      <c r="AH160" s="82">
        <f>IF(Consultas!AF160='Parâmetros'!$E$1,1,-5)</f>
        <v>1</v>
      </c>
      <c r="AI160" s="82">
        <f>IF(Consultas!AJ160&gt;700,8,IF(Consultas!AJ160&gt;500,4,IF(Consultas!AJ160&gt;200,-4,IF(Consultas!AJ160&gt;1,-15,-20))))</f>
        <v>-4</v>
      </c>
      <c r="AJ160" s="82">
        <f>IF(Consultas!AD160='Parâmetros'!$E$10,0,IF(Consultas!AD160&gt;'Parâmetros'!$A$30,12,IF(Consultas!AD160&gt;'Parâmetros'!$A$31,6,IF(Consultas!AD160&gt;'Parâmetros'!$A$32,0,IF(Consultas!AD160&gt;'Parâmetros'!$A$33,0,IF(Consultas!AD160&gt;'Parâmetros'!$A$34,-3,IF(Consultas!AD160&gt;'Parâmetros'!$A$35,-7,-1)))))))</f>
        <v>12</v>
      </c>
      <c r="AK160" s="82">
        <f>IF(Consultas!AO160='Parâmetros'!$D$1,3,-3)</f>
        <v>-3</v>
      </c>
      <c r="AL160" s="82">
        <f>IF(Consultas!AP160='Parâmetros'!$D$1,5,-3)</f>
        <v>-3</v>
      </c>
      <c r="AM160" s="82">
        <f>IF(Consultas!AL160="N",-6,0)</f>
        <v>0</v>
      </c>
      <c r="AN160" s="82">
        <f>IF(Consultas!AM160="N",-10,0)</f>
        <v>0</v>
      </c>
      <c r="AO160" s="82">
        <f>IF(Consultas!AN160="S",4,-2)</f>
        <v>-2</v>
      </c>
      <c r="AP160" s="39"/>
      <c r="AQ160" s="165">
        <f>IF(Consultas!F160&gt;1,(SUM(F160:AO160)),"N/A")</f>
        <v>15</v>
      </c>
      <c r="AR160" s="78" t="str">
        <f>IF((Consultas!AD160&gt;'Parâmetros'!$A$31),"X",AJ160+Y160+V160+AC160)</f>
        <v>X</v>
      </c>
      <c r="AS160" s="78" t="str">
        <f>IF((Consultas!AD160&gt;'Parâmetros'!$A$31),"X",(H160+I160+J160+Q160+T160+Y160+Z160+AJ160+AN160))</f>
        <v>X</v>
      </c>
      <c r="AT160" s="78">
        <f>IF((Consultas!AD160&lt;'Parâmetros'!$A$31),"X",(AD160+AC160+AB160))</f>
        <v>-10</v>
      </c>
      <c r="AU160" s="78">
        <f t="shared" si="1"/>
        <v>-10</v>
      </c>
      <c r="AV160" s="82" t="str">
        <f>IF(AQ160="N/A","N/A",IF(AQ160&gt;5,'Parâmetros'!$A$15,(IF(AU160=AR160,'Parâmetros'!$A$17,IF(AU160=AS160,'Parâmetros'!$A$16,'Parâmetros'!$A$14)))))</f>
        <v>SEM-RISCO</v>
      </c>
      <c r="AW160" s="86" t="str">
        <f>IF(AQ160="N/A","N/A",IF(AV160='Parâmetros'!$A$15,'Parâmetros'!$C$15,(IF(AV160='Parâmetros'!$A$17,'Parâmetros'!$C$17,IF(AV160='Parâmetros'!$A$16,'Parâmetros'!$C$16,IF(AV160='Parâmetros'!$A$14,'Parâmetros'!$C$12))))))</f>
        <v>LIBERADO</v>
      </c>
      <c r="AX160" s="82" t="str">
        <f>IF(Consultas!F160&gt;1,(IF(Consultas!F160&gt;5000,"SOLICITAR PED COMPRA","N/A")))</f>
        <v>N/A</v>
      </c>
      <c r="AY160" s="167" t="str">
        <f>IF(AND(Consultas!M160&lt;&gt;"S", Consultas!H160="S"), "CHECAGEM REVERSA", "N/A")</f>
        <v>N/A</v>
      </c>
      <c r="AZ160" s="167" t="str">
        <f>IF(Consultas!U160="N","PRECISA CORRIGIR END DIVERGENTE","N/A")</f>
        <v>N/A</v>
      </c>
    </row>
    <row r="161" ht="12.0" customHeight="1">
      <c r="A161" s="39" t="s">
        <v>90</v>
      </c>
      <c r="B161" s="82" t="str">
        <f>Consultas!B161</f>
        <v>-</v>
      </c>
      <c r="C161" s="82" t="str">
        <f>Consultas!D161</f>
        <v>Metalpleno</v>
      </c>
      <c r="D161" s="96" t="str">
        <f>Consultas!E161</f>
        <v>-</v>
      </c>
      <c r="E161" s="104">
        <f>IF(Consultas!AB161&gt;0,YEAR('Parâmetros'!$B$1)-YEAR(Consultas!AB161),"NA")</f>
        <v>5</v>
      </c>
      <c r="F161" s="82">
        <f>IF(Consultas!F161&gt;'Parâmetros'!$B$2,-8,0)</f>
        <v>-8</v>
      </c>
      <c r="G161" s="82">
        <f>IF(Consultas!H161='Parâmetros'!$E$1,100,0)</f>
        <v>0</v>
      </c>
      <c r="H161" s="82">
        <f>IF(Consultas!I161='Parâmetros'!$E$1,-4,12)</f>
        <v>-4</v>
      </c>
      <c r="I161" s="82">
        <f>IF(Consultas!J161='Parâmetros'!$E$1,1,-13)</f>
        <v>1</v>
      </c>
      <c r="J161" s="82">
        <f>IF(Consultas!K161='Parâmetros'!$E$1,2,-5)</f>
        <v>2</v>
      </c>
      <c r="K161" s="82" t="str">
        <f>IF(Consultas!L161='Parâmetros'!$D$1,"SOLIC CONTRATO DE ENTREGA","N/A")</f>
        <v>SOLIC CONTRATO DE ENTREGA</v>
      </c>
      <c r="L161" s="82">
        <f>IF(Consultas!R161='Parâmetros'!$E$1,1,-3)</f>
        <v>1</v>
      </c>
      <c r="M161" s="82">
        <f>IF(Consultas!S161&gt;1,(IF(Consultas!S161='Parâmetros'!$E$1,-3,9)))</f>
        <v>-3</v>
      </c>
      <c r="N161" s="82">
        <f>IF(Consultas!T161="S",23,0)</f>
        <v>0</v>
      </c>
      <c r="O161" s="82">
        <f>IF(Consultas!U161='Parâmetros'!$E$1,-3,3)</f>
        <v>3</v>
      </c>
      <c r="P161" s="82">
        <f>IF(Consultas!V161='Parâmetros'!$E$1,-100,2)</f>
        <v>2</v>
      </c>
      <c r="Q161" s="82">
        <f>IF(Consultas!M161='Parâmetros'!$D$1,2,-9)</f>
        <v>2</v>
      </c>
      <c r="R161" s="82">
        <f>IF(Consultas!N161="RJ",-12,0)</f>
        <v>0</v>
      </c>
      <c r="S161" s="82">
        <f>IF(Consultas!O161="-",-3,IF(Consultas!O161=0,-6,IF(Consultas!O161=5,0,IF(Consultas!O161=10,6))))</f>
        <v>0</v>
      </c>
      <c r="T161" s="82">
        <f>IF(Consultas!M161="S",0,(IF(Consultas!P161="S",6,0)))</f>
        <v>0</v>
      </c>
      <c r="U161" s="82">
        <f>IF(Consultas!Q161&gt;97,9,IF(Consultas!Q161&gt;75,0,-7))</f>
        <v>9</v>
      </c>
      <c r="V161" s="82">
        <f>IF(Consultas!W161='Parâmetros'!$E$1,1,-5)</f>
        <v>-5</v>
      </c>
      <c r="W161" s="82">
        <f>IF(Consultas!X161="S",3,-3)</f>
        <v>3</v>
      </c>
      <c r="X161" s="82">
        <f>IF(Consultas!Y161="S",0,-7)</f>
        <v>0</v>
      </c>
      <c r="Y161" s="82">
        <f>IF(Consultas!Z161='Parâmetros'!$E$1,2,-8)</f>
        <v>2</v>
      </c>
      <c r="Z161" s="82">
        <f>IF(Consultas!AA161='Parâmetros'!$E$1,-15,1)</f>
        <v>1</v>
      </c>
      <c r="AA161" s="147" t="s">
        <v>140</v>
      </c>
      <c r="AB161" s="82">
        <f>IF(E161="NA","NA",IF(E161&gt;'Parâmetros'!$A$9,8,IF(E161&gt;'Parâmetros'!$A$8,4,IF(E161&gt;'Parâmetros'!$A$7,0,-6))))</f>
        <v>-6</v>
      </c>
      <c r="AC161" s="82">
        <f>IF(Consultas!AC161='Parâmetros'!$E$1,0,5)</f>
        <v>5</v>
      </c>
      <c r="AD161" s="82">
        <f>IF(Consultas!AH161='Parâmetros'!$D$1,-10,5)</f>
        <v>-10</v>
      </c>
      <c r="AE161" s="82">
        <f>IF(Consultas!AI161&gt;(Consultas!F161*2),-10,0)</f>
        <v>-10</v>
      </c>
      <c r="AF161" s="82">
        <f>IF(Consultas!AD161&gt;1,(IF(Consultas!AI161&gt;(Consultas!AD161),-20,4)))</f>
        <v>4</v>
      </c>
      <c r="AG161" s="82">
        <f>IF(Consultas!AG161='Parâmetros'!$E$1,0,-6)</f>
        <v>0</v>
      </c>
      <c r="AH161" s="82">
        <f>IF(Consultas!AF161='Parâmetros'!$E$1,1,-5)</f>
        <v>-5</v>
      </c>
      <c r="AI161" s="82">
        <f>IF(Consultas!AJ161&gt;700,8,IF(Consultas!AJ161&gt;500,4,IF(Consultas!AJ161&gt;200,-4,IF(Consultas!AJ161&gt;1,-15,-20))))</f>
        <v>4</v>
      </c>
      <c r="AJ161" s="82">
        <f>IF(Consultas!AD161='Parâmetros'!$E$10,0,IF(Consultas!AD161&gt;'Parâmetros'!$A$30,12,IF(Consultas!AD161&gt;'Parâmetros'!$A$31,6,IF(Consultas!AD161&gt;'Parâmetros'!$A$32,0,IF(Consultas!AD161&gt;'Parâmetros'!$A$33,0,IF(Consultas!AD161&gt;'Parâmetros'!$A$34,-3,IF(Consultas!AD161&gt;'Parâmetros'!$A$35,-7,-1)))))))</f>
        <v>12</v>
      </c>
      <c r="AK161" s="82">
        <f>IF(Consultas!AO161='Parâmetros'!$D$1,3,-3)</f>
        <v>-3</v>
      </c>
      <c r="AL161" s="82">
        <f>IF(Consultas!AP161='Parâmetros'!$D$1,5,-3)</f>
        <v>-3</v>
      </c>
      <c r="AM161" s="82">
        <f>IF(Consultas!AL161="N",-6,0)</f>
        <v>0</v>
      </c>
      <c r="AN161" s="82">
        <f>IF(Consultas!AM161="N",-10,0)</f>
        <v>0</v>
      </c>
      <c r="AO161" s="82">
        <f>IF(Consultas!AN161="S",4,-2)</f>
        <v>-2</v>
      </c>
      <c r="AP161" s="39"/>
      <c r="AQ161" s="165">
        <f>IF(Consultas!F161&gt;1,(SUM(F161:AO161)),"N/A")</f>
        <v>-8</v>
      </c>
      <c r="AR161" s="78" t="str">
        <f>IF((Consultas!AD161&gt;'Parâmetros'!$A$31),"X",AJ161+Y161+V161+AC161)</f>
        <v>X</v>
      </c>
      <c r="AS161" s="78" t="str">
        <f>IF((Consultas!AD161&gt;'Parâmetros'!$A$31),"X",(H161+I161+J161+Q161+T161+Y161+Z161+AJ161+AN161))</f>
        <v>X</v>
      </c>
      <c r="AT161" s="78">
        <f>IF((Consultas!AD161&lt;'Parâmetros'!$A$31),"X",(AD161+AC161+AB161))</f>
        <v>-11</v>
      </c>
      <c r="AU161" s="78">
        <f t="shared" si="1"/>
        <v>-11</v>
      </c>
      <c r="AV161" s="78" t="str">
        <f>IF(AQ161="N/A","N/A",IF(AQ161&gt;5,'Parâmetros'!$A$15,(IF(AU161=AR161,'Parâmetros'!$A$17,IF(AU161=AS161,'Parâmetros'!$A$16,'Parâmetros'!$A$14)))))</f>
        <v>GRANDE-OU-FALINDO:</v>
      </c>
      <c r="AW161" s="86" t="str">
        <f>IF(AQ161="N/A","N/A",IF(AV161='Parâmetros'!$A$15,'Parâmetros'!$C$15,(IF(AV161='Parâmetros'!$A$17,'Parâmetros'!$C$17,IF(AV161='Parâmetros'!$A$16,'Parâmetros'!$C$16,IF(AV161='Parâmetros'!$A$14,'Parâmetros'!$C$12))))))</f>
        <v>SE FALINDO SÓ ANTECIPADO | SE GRANDE BUROCR PEGAR CONTATOS FINANCEIRO</v>
      </c>
      <c r="AX161" s="82" t="str">
        <f>IF(Consultas!F161&gt;1,(IF(Consultas!F161&gt;5000,"SOLICITAR PED COMPRA","N/A")))</f>
        <v>SOLICITAR PED COMPRA</v>
      </c>
      <c r="AY161" s="167" t="str">
        <f>IF(AND(Consultas!M161&lt;&gt;"S", Consultas!H161="S"), "CHECAGEM REVERSA", "N/A")</f>
        <v>N/A</v>
      </c>
      <c r="AZ161" s="167" t="str">
        <f>IF(Consultas!U161="N","PRECISA CORRIGIR END DIVERGENTE","N/A")</f>
        <v>N/A</v>
      </c>
    </row>
    <row r="162" ht="12.0" customHeight="1">
      <c r="A162" s="39" t="s">
        <v>90</v>
      </c>
      <c r="B162" s="82">
        <f>Consultas!B162</f>
        <v>330</v>
      </c>
      <c r="C162" s="82" t="str">
        <f>Consultas!D162</f>
        <v>Metalpleno</v>
      </c>
      <c r="D162" s="96" t="str">
        <f>Consultas!E162</f>
        <v>144726</v>
      </c>
      <c r="E162" s="104">
        <f>IF(Consultas!AB162&gt;0,YEAR('Parâmetros'!$B$1)-YEAR(Consultas!AB162),"NA")</f>
        <v>52</v>
      </c>
      <c r="F162" s="82">
        <f>IF(Consultas!F162&gt;'Parâmetros'!$B$2,-8,0)</f>
        <v>0</v>
      </c>
      <c r="G162" s="82">
        <f>IF(Consultas!H162='Parâmetros'!$E$1,100,0)</f>
        <v>0</v>
      </c>
      <c r="H162" s="82">
        <f>IF(Consultas!I162='Parâmetros'!$E$1,-4,12)</f>
        <v>-4</v>
      </c>
      <c r="I162" s="82">
        <f>IF(Consultas!J162='Parâmetros'!$E$1,1,-13)</f>
        <v>1</v>
      </c>
      <c r="J162" s="82">
        <f>IF(Consultas!K162='Parâmetros'!$E$1,2,-5)</f>
        <v>2</v>
      </c>
      <c r="K162" s="82" t="str">
        <f>IF(Consultas!L162='Parâmetros'!$D$1,"SOLIC CONTRATO DE ENTREGA","N/A")</f>
        <v>SOLIC CONTRATO DE ENTREGA</v>
      </c>
      <c r="L162" s="82">
        <f>IF(Consultas!R162='Parâmetros'!$E$1,1,-3)</f>
        <v>1</v>
      </c>
      <c r="M162" s="82">
        <f>IF(Consultas!S162&gt;1,(IF(Consultas!S162='Parâmetros'!$E$1,-3,9)))</f>
        <v>-3</v>
      </c>
      <c r="N162" s="82">
        <f>IF(Consultas!T162="S",23,0)</f>
        <v>0</v>
      </c>
      <c r="O162" s="82">
        <f>IF(Consultas!U162='Parâmetros'!$E$1,-3,3)</f>
        <v>3</v>
      </c>
      <c r="P162" s="82">
        <f>IF(Consultas!V162='Parâmetros'!$E$1,-100,2)</f>
        <v>2</v>
      </c>
      <c r="Q162" s="82">
        <f>IF(Consultas!M162='Parâmetros'!$D$1,2,-9)</f>
        <v>-9</v>
      </c>
      <c r="R162" s="82">
        <f>IF(Consultas!N162="RJ",-12,0)</f>
        <v>0</v>
      </c>
      <c r="S162" s="82">
        <f>IF(Consultas!O162="-",-3,IF(Consultas!O162=0,-6,IF(Consultas!O162=5,0,IF(Consultas!O162=10,6))))</f>
        <v>-6</v>
      </c>
      <c r="T162" s="82">
        <f>IF(Consultas!M162="S",0,(IF(Consultas!P162="S",6,0)))</f>
        <v>6</v>
      </c>
      <c r="U162" s="82">
        <f>IF(Consultas!Q162&gt;97,9,IF(Consultas!Q162&gt;75,0,-7))</f>
        <v>9</v>
      </c>
      <c r="V162" s="82">
        <f>IF(Consultas!W162='Parâmetros'!$E$1,1,-5)</f>
        <v>1</v>
      </c>
      <c r="W162" s="82">
        <f>IF(Consultas!X162="S",3,-3)</f>
        <v>3</v>
      </c>
      <c r="X162" s="82">
        <f>IF(Consultas!Y162="S",0,-7)</f>
        <v>-7</v>
      </c>
      <c r="Y162" s="82">
        <f>IF(Consultas!Z162='Parâmetros'!$E$1,2,-8)</f>
        <v>2</v>
      </c>
      <c r="Z162" s="82">
        <f>IF(Consultas!AA162='Parâmetros'!$E$1,-15,1)</f>
        <v>1</v>
      </c>
      <c r="AA162" s="147" t="s">
        <v>140</v>
      </c>
      <c r="AB162" s="82">
        <f>IF(E162="NA","NA",IF(E162&gt;'Parâmetros'!$A$9,8,IF(E162&gt;'Parâmetros'!$A$8,4,IF(E162&gt;'Parâmetros'!$A$7,0,-6))))</f>
        <v>8</v>
      </c>
      <c r="AC162" s="82">
        <f>IF(Consultas!AC162='Parâmetros'!$E$1,0,5)</f>
        <v>0</v>
      </c>
      <c r="AD162" s="82">
        <f>IF(Consultas!AH162='Parâmetros'!$D$1,-10,5)</f>
        <v>5</v>
      </c>
      <c r="AE162" s="82">
        <f>IF(Consultas!AI162&gt;(Consultas!F162*2),-10,0)</f>
        <v>0</v>
      </c>
      <c r="AF162" s="82">
        <f>IF(Consultas!AD162&gt;1,(IF(Consultas!AI162&gt;(Consultas!AD162),-20,4)))</f>
        <v>4</v>
      </c>
      <c r="AG162" s="82">
        <f>IF(Consultas!AG162='Parâmetros'!$E$1,0,-6)</f>
        <v>0</v>
      </c>
      <c r="AH162" s="82">
        <f>IF(Consultas!AF162='Parâmetros'!$E$1,1,-5)</f>
        <v>1</v>
      </c>
      <c r="AI162" s="82">
        <f>IF(Consultas!AJ162&gt;700,8,IF(Consultas!AJ162&gt;500,4,IF(Consultas!AJ162&gt;200,-4,IF(Consultas!AJ162&gt;1,-15,-20))))</f>
        <v>8</v>
      </c>
      <c r="AJ162" s="82">
        <f>IF(Consultas!AD162='Parâmetros'!$E$10,0,IF(Consultas!AD162&gt;'Parâmetros'!$A$30,12,IF(Consultas!AD162&gt;'Parâmetros'!$A$31,6,IF(Consultas!AD162&gt;'Parâmetros'!$A$32,0,IF(Consultas!AD162&gt;'Parâmetros'!$A$33,0,IF(Consultas!AD162&gt;'Parâmetros'!$A$34,-3,IF(Consultas!AD162&gt;'Parâmetros'!$A$35,-7,-1)))))))</f>
        <v>12</v>
      </c>
      <c r="AK162" s="82">
        <f>IF(Consultas!AO162='Parâmetros'!$D$1,3,-3)</f>
        <v>-3</v>
      </c>
      <c r="AL162" s="82">
        <f>IF(Consultas!AP162='Parâmetros'!$D$1,5,-3)</f>
        <v>-3</v>
      </c>
      <c r="AM162" s="82">
        <f>IF(Consultas!AL162="N",-6,0)</f>
        <v>0</v>
      </c>
      <c r="AN162" s="82">
        <f>IF(Consultas!AM162="N",-10,0)</f>
        <v>0</v>
      </c>
      <c r="AO162" s="82">
        <f>IF(Consultas!AN162="S",4,-2)</f>
        <v>-2</v>
      </c>
      <c r="AP162" s="39"/>
      <c r="AQ162" s="165">
        <f>IF(Consultas!F162&gt;1,(SUM(F162:AO162)),"N/A")</f>
        <v>32</v>
      </c>
      <c r="AR162" s="78" t="str">
        <f>IF((Consultas!AD162&gt;'Parâmetros'!$A$31),"X",AJ162+Y162+V162+AC162)</f>
        <v>X</v>
      </c>
      <c r="AS162" s="78" t="str">
        <f>IF((Consultas!AD162&gt;'Parâmetros'!$A$31),"X",(H162+I162+J162+Q162+T162+Y162+Z162+AJ162+AN162))</f>
        <v>X</v>
      </c>
      <c r="AT162" s="78">
        <f>IF((Consultas!AD162&lt;'Parâmetros'!$A$31),"X",(AD162+AC162+AB162))</f>
        <v>13</v>
      </c>
      <c r="AU162" s="78">
        <f t="shared" si="1"/>
        <v>13</v>
      </c>
      <c r="AV162" s="82" t="str">
        <f>IF(AQ162="N/A","N/A",IF(AQ162&gt;5,'Parâmetros'!$A$15,(IF(AU162=AR162,'Parâmetros'!$A$17,IF(AU162=AS162,'Parâmetros'!$A$16,'Parâmetros'!$A$14)))))</f>
        <v>SEM-RISCO</v>
      </c>
      <c r="AW162" s="86" t="str">
        <f>IF(AQ162="N/A","N/A",IF(AV162='Parâmetros'!$A$15,'Parâmetros'!$C$15,(IF(AV162='Parâmetros'!$A$17,'Parâmetros'!$C$17,IF(AV162='Parâmetros'!$A$16,'Parâmetros'!$C$16,IF(AV162='Parâmetros'!$A$14,'Parâmetros'!$C$12))))))</f>
        <v>LIBERADO</v>
      </c>
      <c r="AX162" s="82" t="str">
        <f>IF(Consultas!F162&gt;1,(IF(Consultas!F162&gt;5000,"SOLICITAR PED COMPRA","N/A")))</f>
        <v>SOLICITAR PED COMPRA</v>
      </c>
      <c r="AY162" s="167" t="str">
        <f>IF(AND(Consultas!M162&lt;&gt;"S", Consultas!H162="S"), "CHECAGEM REVERSA", "N/A")</f>
        <v>CHECAGEM REVERSA</v>
      </c>
      <c r="AZ162" s="167" t="str">
        <f>IF(Consultas!U162="N","PRECISA CORRIGIR END DIVERGENTE","N/A")</f>
        <v>N/A</v>
      </c>
    </row>
    <row r="163" ht="12.0" customHeight="1">
      <c r="A163" s="39" t="s">
        <v>90</v>
      </c>
      <c r="B163" s="82">
        <f>Consultas!B163</f>
        <v>730</v>
      </c>
      <c r="C163" s="82" t="str">
        <f>Consultas!D163</f>
        <v>Oaco</v>
      </c>
      <c r="D163" s="96" t="str">
        <f>Consultas!E163</f>
        <v>068430</v>
      </c>
      <c r="E163" s="104">
        <f>IF(Consultas!AB163&gt;0,YEAR('Parâmetros'!$B$1)-YEAR(Consultas!AB163),"NA")</f>
        <v>21</v>
      </c>
      <c r="F163" s="82">
        <f>IF(Consultas!F163&gt;'Parâmetros'!$B$2,-8,0)</f>
        <v>0</v>
      </c>
      <c r="G163" s="82">
        <f>IF(Consultas!H163='Parâmetros'!$E$1,100,0)</f>
        <v>0</v>
      </c>
      <c r="H163" s="82">
        <f>IF(Consultas!I163='Parâmetros'!$E$1,-4,12)</f>
        <v>-4</v>
      </c>
      <c r="I163" s="82">
        <f>IF(Consultas!J163='Parâmetros'!$E$1,1,-13)</f>
        <v>1</v>
      </c>
      <c r="J163" s="82">
        <f>IF(Consultas!K163='Parâmetros'!$E$1,2,-5)</f>
        <v>2</v>
      </c>
      <c r="K163" s="82" t="str">
        <f>IF(Consultas!L163='Parâmetros'!$D$1,"SOLIC CONTRATO DE ENTREGA","N/A")</f>
        <v>N/A</v>
      </c>
      <c r="L163" s="82">
        <f>IF(Consultas!R163='Parâmetros'!$E$1,1,-3)</f>
        <v>1</v>
      </c>
      <c r="M163" s="82">
        <f>IF(Consultas!S163&gt;1,(IF(Consultas!S163='Parâmetros'!$E$1,-3,9)))</f>
        <v>9</v>
      </c>
      <c r="N163" s="82">
        <f>IF(Consultas!T163="S",23,0)</f>
        <v>23</v>
      </c>
      <c r="O163" s="82">
        <f>IF(Consultas!U163='Parâmetros'!$E$1,-3,3)</f>
        <v>3</v>
      </c>
      <c r="P163" s="82">
        <f>IF(Consultas!V163='Parâmetros'!$E$1,-100,2)</f>
        <v>2</v>
      </c>
      <c r="Q163" s="82">
        <f>IF(Consultas!M163='Parâmetros'!$D$1,2,-9)</f>
        <v>2</v>
      </c>
      <c r="R163" s="82">
        <f>IF(Consultas!N163="RJ",-12,0)</f>
        <v>0</v>
      </c>
      <c r="S163" s="82">
        <f>IF(Consultas!O163="-",-3,IF(Consultas!O163=0,-6,IF(Consultas!O163=5,0,IF(Consultas!O163=10,6))))</f>
        <v>-3</v>
      </c>
      <c r="T163" s="82">
        <f>IF(Consultas!M163="S",0,(IF(Consultas!P163="S",6,0)))</f>
        <v>0</v>
      </c>
      <c r="U163" s="82">
        <f>IF(Consultas!Q163&gt;97,9,IF(Consultas!Q163&gt;75,0,-7))</f>
        <v>9</v>
      </c>
      <c r="V163" s="82">
        <f>IF(Consultas!W163='Parâmetros'!$E$1,1,-5)</f>
        <v>1</v>
      </c>
      <c r="W163" s="82">
        <f>IF(Consultas!X163="S",3,-3)</f>
        <v>3</v>
      </c>
      <c r="X163" s="82">
        <f>IF(Consultas!Y163="S",0,-7)</f>
        <v>0</v>
      </c>
      <c r="Y163" s="82">
        <f>IF(Consultas!Z163='Parâmetros'!$E$1,2,-8)</f>
        <v>2</v>
      </c>
      <c r="Z163" s="82">
        <f>IF(Consultas!AA163='Parâmetros'!$E$1,-15,1)</f>
        <v>1</v>
      </c>
      <c r="AA163" s="147" t="s">
        <v>140</v>
      </c>
      <c r="AB163" s="82">
        <f>IF(E163="NA","NA",IF(E163&gt;'Parâmetros'!$A$9,8,IF(E163&gt;'Parâmetros'!$A$8,4,IF(E163&gt;'Parâmetros'!$A$7,0,-6))))</f>
        <v>4</v>
      </c>
      <c r="AC163" s="82">
        <f>IF(Consultas!AC163='Parâmetros'!$E$1,0,5)</f>
        <v>0</v>
      </c>
      <c r="AD163" s="82">
        <f>IF(Consultas!AH163='Parâmetros'!$D$1,-10,5)</f>
        <v>5</v>
      </c>
      <c r="AE163" s="82">
        <f>IF(Consultas!AI163&gt;(Consultas!F163*2),-10,0)</f>
        <v>0</v>
      </c>
      <c r="AF163" s="82">
        <f>IF(Consultas!AD163&gt;1,(IF(Consultas!AI163&gt;(Consultas!AD163),-20,4)))</f>
        <v>4</v>
      </c>
      <c r="AG163" s="82">
        <f>IF(Consultas!AG163='Parâmetros'!$E$1,0,-6)</f>
        <v>0</v>
      </c>
      <c r="AH163" s="82">
        <f>IF(Consultas!AF163='Parâmetros'!$E$1,1,-5)</f>
        <v>1</v>
      </c>
      <c r="AI163" s="82">
        <f>IF(Consultas!AJ163&gt;700,8,IF(Consultas!AJ163&gt;500,4,IF(Consultas!AJ163&gt;200,-4,IF(Consultas!AJ163&gt;1,-15,-20))))</f>
        <v>8</v>
      </c>
      <c r="AJ163" s="82">
        <f>IF(Consultas!AD163='Parâmetros'!$E$10,0,IF(Consultas!AD163&gt;'Parâmetros'!$A$30,12,IF(Consultas!AD163&gt;'Parâmetros'!$A$31,6,IF(Consultas!AD163&gt;'Parâmetros'!$A$32,0,IF(Consultas!AD163&gt;'Parâmetros'!$A$33,0,IF(Consultas!AD163&gt;'Parâmetros'!$A$34,-3,IF(Consultas!AD163&gt;'Parâmetros'!$A$35,-7,-1)))))))</f>
        <v>12</v>
      </c>
      <c r="AK163" s="82">
        <f>IF(Consultas!AO163='Parâmetros'!$D$1,3,-3)</f>
        <v>-3</v>
      </c>
      <c r="AL163" s="82">
        <f>IF(Consultas!AP163='Parâmetros'!$D$1,5,-3)</f>
        <v>-3</v>
      </c>
      <c r="AM163" s="82">
        <f>IF(Consultas!AL163="N",-6,0)</f>
        <v>0</v>
      </c>
      <c r="AN163" s="82">
        <f>IF(Consultas!AM163="N",-10,0)</f>
        <v>0</v>
      </c>
      <c r="AO163" s="82">
        <f>IF(Consultas!AN163="S",4,-2)</f>
        <v>-2</v>
      </c>
      <c r="AP163" s="39"/>
      <c r="AQ163" s="165">
        <f>IF(Consultas!F163&gt;1,(SUM(F163:AO163)),"N/A")</f>
        <v>78</v>
      </c>
      <c r="AR163" s="78" t="str">
        <f>IF((Consultas!AD163&gt;'Parâmetros'!$A$31),"X",AJ163+Y163+V163+AC163)</f>
        <v>X</v>
      </c>
      <c r="AS163" s="78" t="str">
        <f>IF((Consultas!AD163&gt;'Parâmetros'!$A$31),"X",(H163+I163+J163+Q163+T163+Y163+Z163+AJ163+AN163))</f>
        <v>X</v>
      </c>
      <c r="AT163" s="78">
        <f>IF((Consultas!AD163&lt;'Parâmetros'!$A$31),"X",(AD163+AC163+AB163))</f>
        <v>9</v>
      </c>
      <c r="AU163" s="78">
        <f t="shared" si="1"/>
        <v>9</v>
      </c>
      <c r="AV163" s="82" t="str">
        <f>IF(AQ163="N/A","N/A",IF(AQ163&gt;5,'Parâmetros'!$A$15,(IF(AU163=AR163,'Parâmetros'!$A$17,IF(AU163=AS163,'Parâmetros'!$A$16,'Parâmetros'!$A$14)))))</f>
        <v>SEM-RISCO</v>
      </c>
      <c r="AW163" s="86" t="str">
        <f>IF(AQ163="N/A","N/A",IF(AV163='Parâmetros'!$A$15,'Parâmetros'!$C$15,(IF(AV163='Parâmetros'!$A$17,'Parâmetros'!$C$17,IF(AV163='Parâmetros'!$A$16,'Parâmetros'!$C$16,IF(AV163='Parâmetros'!$A$14,'Parâmetros'!$C$12))))))</f>
        <v>LIBERADO</v>
      </c>
      <c r="AX163" s="82" t="str">
        <f>IF(Consultas!F163&gt;1,(IF(Consultas!F163&gt;5000,"SOLICITAR PED COMPRA","N/A")))</f>
        <v>N/A</v>
      </c>
      <c r="AY163" s="167" t="str">
        <f>IF(AND(Consultas!M163&lt;&gt;"S", Consultas!H163="S"), "CHECAGEM REVERSA", "N/A")</f>
        <v>N/A</v>
      </c>
      <c r="AZ163" s="167" t="str">
        <f>IF(Consultas!U163="N","PRECISA CORRIGIR END DIVERGENTE","N/A")</f>
        <v>N/A</v>
      </c>
    </row>
    <row r="164" ht="12.0" customHeight="1">
      <c r="A164" s="39" t="s">
        <v>90</v>
      </c>
      <c r="B164" s="82">
        <f>Consultas!B164</f>
        <v>1885</v>
      </c>
      <c r="C164" s="82" t="str">
        <f>Consultas!D164</f>
        <v>GsiBW</v>
      </c>
      <c r="D164" s="96" t="str">
        <f>Consultas!E164</f>
        <v>002721</v>
      </c>
      <c r="E164" s="104">
        <f>IF(Consultas!AB164&gt;0,YEAR('Parâmetros'!$B$1)-YEAR(Consultas!AB164),"NA")</f>
        <v>60</v>
      </c>
      <c r="F164" s="82">
        <f>IF(Consultas!F164&gt;'Parâmetros'!$B$2,-8,0)</f>
        <v>0</v>
      </c>
      <c r="G164" s="82">
        <f>IF(Consultas!H164='Parâmetros'!$E$1,100,0)</f>
        <v>0</v>
      </c>
      <c r="H164" s="82">
        <f>IF(Consultas!I164='Parâmetros'!$E$1,-4,12)</f>
        <v>-4</v>
      </c>
      <c r="I164" s="82">
        <f>IF(Consultas!J164='Parâmetros'!$E$1,1,-13)</f>
        <v>1</v>
      </c>
      <c r="J164" s="82">
        <f>IF(Consultas!K164='Parâmetros'!$E$1,2,-5)</f>
        <v>2</v>
      </c>
      <c r="K164" s="82" t="str">
        <f>IF(Consultas!L164='Parâmetros'!$D$1,"SOLIC CONTRATO DE ENTREGA","N/A")</f>
        <v>N/A</v>
      </c>
      <c r="L164" s="82">
        <f>IF(Consultas!R164='Parâmetros'!$E$1,1,-3)</f>
        <v>1</v>
      </c>
      <c r="M164" s="82">
        <f>IF(Consultas!S164&gt;1,(IF(Consultas!S164='Parâmetros'!$E$1,-3,9)))</f>
        <v>9</v>
      </c>
      <c r="N164" s="82">
        <f>IF(Consultas!T164="S",23,0)</f>
        <v>23</v>
      </c>
      <c r="O164" s="82">
        <f>IF(Consultas!U164='Parâmetros'!$E$1,-3,3)</f>
        <v>3</v>
      </c>
      <c r="P164" s="82">
        <f>IF(Consultas!V164='Parâmetros'!$E$1,-100,2)</f>
        <v>2</v>
      </c>
      <c r="Q164" s="82">
        <f>IF(Consultas!M164='Parâmetros'!$D$1,2,-9)</f>
        <v>2</v>
      </c>
      <c r="R164" s="82">
        <f>IF(Consultas!N164="RJ",-12,0)</f>
        <v>0</v>
      </c>
      <c r="S164" s="82">
        <f>IF(Consultas!O164="-",-3,IF(Consultas!O164=0,-6,IF(Consultas!O164=5,0,IF(Consultas!O164=10,6))))</f>
        <v>-3</v>
      </c>
      <c r="T164" s="82">
        <f>IF(Consultas!M164="S",0,(IF(Consultas!P164="S",6,0)))</f>
        <v>0</v>
      </c>
      <c r="U164" s="82">
        <f>IF(Consultas!Q164&gt;97,9,IF(Consultas!Q164&gt;75,0,-7))</f>
        <v>9</v>
      </c>
      <c r="V164" s="82">
        <f>IF(Consultas!W164='Parâmetros'!$E$1,1,-5)</f>
        <v>1</v>
      </c>
      <c r="W164" s="82">
        <f>IF(Consultas!X164="S",3,-3)</f>
        <v>3</v>
      </c>
      <c r="X164" s="82">
        <f>IF(Consultas!Y164="S",0,-7)</f>
        <v>0</v>
      </c>
      <c r="Y164" s="82">
        <f>IF(Consultas!Z164='Parâmetros'!$E$1,2,-8)</f>
        <v>2</v>
      </c>
      <c r="Z164" s="82">
        <f>IF(Consultas!AA164='Parâmetros'!$E$1,-15,1)</f>
        <v>1</v>
      </c>
      <c r="AA164" s="147" t="s">
        <v>140</v>
      </c>
      <c r="AB164" s="82">
        <f>IF(E164="NA","NA",IF(E164&gt;'Parâmetros'!$A$9,8,IF(E164&gt;'Parâmetros'!$A$8,4,IF(E164&gt;'Parâmetros'!$A$7,0,-6))))</f>
        <v>8</v>
      </c>
      <c r="AC164" s="82">
        <f>IF(Consultas!AC164='Parâmetros'!$E$1,0,5)</f>
        <v>5</v>
      </c>
      <c r="AD164" s="82">
        <f>IF(Consultas!AH164='Parâmetros'!$D$1,-10,5)</f>
        <v>5</v>
      </c>
      <c r="AE164" s="82">
        <f>IF(Consultas!AI164&gt;(Consultas!F164*2),-10,0)</f>
        <v>0</v>
      </c>
      <c r="AF164" s="82">
        <f>IF(Consultas!AD164&gt;1,(IF(Consultas!AI164&gt;(Consultas!AD164),-20,4)))</f>
        <v>4</v>
      </c>
      <c r="AG164" s="82">
        <f>IF(Consultas!AG164='Parâmetros'!$E$1,0,-6)</f>
        <v>0</v>
      </c>
      <c r="AH164" s="82">
        <f>IF(Consultas!AF164='Parâmetros'!$E$1,1,-5)</f>
        <v>1</v>
      </c>
      <c r="AI164" s="82">
        <f>IF(Consultas!AJ164&gt;700,8,IF(Consultas!AJ164&gt;500,4,IF(Consultas!AJ164&gt;200,-4,IF(Consultas!AJ164&gt;1,-15,-20))))</f>
        <v>4</v>
      </c>
      <c r="AJ164" s="82">
        <f>IF(Consultas!AD164='Parâmetros'!$E$10,0,IF(Consultas!AD164&gt;'Parâmetros'!$A$30,12,IF(Consultas!AD164&gt;'Parâmetros'!$A$31,6,IF(Consultas!AD164&gt;'Parâmetros'!$A$32,0,IF(Consultas!AD164&gt;'Parâmetros'!$A$33,0,IF(Consultas!AD164&gt;'Parâmetros'!$A$34,-3,IF(Consultas!AD164&gt;'Parâmetros'!$A$35,-7,-1)))))))</f>
        <v>12</v>
      </c>
      <c r="AK164" s="82">
        <f>IF(Consultas!AO164='Parâmetros'!$D$1,3,-3)</f>
        <v>-3</v>
      </c>
      <c r="AL164" s="82">
        <f>IF(Consultas!AP164='Parâmetros'!$D$1,5,-3)</f>
        <v>-3</v>
      </c>
      <c r="AM164" s="82">
        <f>IF(Consultas!AL164="N",-6,0)</f>
        <v>0</v>
      </c>
      <c r="AN164" s="82">
        <f>IF(Consultas!AM164="N",-10,0)</f>
        <v>0</v>
      </c>
      <c r="AO164" s="82">
        <f>IF(Consultas!AN164="S",4,-2)</f>
        <v>-2</v>
      </c>
      <c r="AP164" s="39"/>
      <c r="AQ164" s="165">
        <f>IF(Consultas!F164&gt;1,(SUM(F164:AO164)),"N/A")</f>
        <v>83</v>
      </c>
      <c r="AR164" s="78" t="str">
        <f>IF((Consultas!AD164&gt;'Parâmetros'!$A$31),"X",AJ164+Y164+V164+AC164)</f>
        <v>X</v>
      </c>
      <c r="AS164" s="78" t="str">
        <f>IF((Consultas!AD164&gt;'Parâmetros'!$A$31),"X",(H164+I164+J164+Q164+T164+Y164+Z164+AJ164+AN164))</f>
        <v>X</v>
      </c>
      <c r="AT164" s="78">
        <f>IF((Consultas!AD164&lt;'Parâmetros'!$A$31),"X",(AD164+AC164+AB164))</f>
        <v>18</v>
      </c>
      <c r="AU164" s="78">
        <f t="shared" si="1"/>
        <v>18</v>
      </c>
      <c r="AV164" s="82" t="str">
        <f>IF(AQ164="N/A","N/A",IF(AQ164&gt;5,'Parâmetros'!$A$15,(IF(AU164=AR164,'Parâmetros'!$A$17,IF(AU164=AS164,'Parâmetros'!$A$16,'Parâmetros'!$A$14)))))</f>
        <v>SEM-RISCO</v>
      </c>
      <c r="AW164" s="86" t="str">
        <f>IF(AQ164="N/A","N/A",IF(AV164='Parâmetros'!$A$15,'Parâmetros'!$C$15,(IF(AV164='Parâmetros'!$A$17,'Parâmetros'!$C$17,IF(AV164='Parâmetros'!$A$16,'Parâmetros'!$C$16,IF(AV164='Parâmetros'!$A$14,'Parâmetros'!$C$12))))))</f>
        <v>LIBERADO</v>
      </c>
      <c r="AX164" s="82" t="str">
        <f>IF(Consultas!F164&gt;1,(IF(Consultas!F164&gt;5000,"SOLICITAR PED COMPRA","N/A")))</f>
        <v>N/A</v>
      </c>
      <c r="AY164" s="167" t="str">
        <f>IF(AND(Consultas!M164&lt;&gt;"S", Consultas!H164="S"), "CHECAGEM REVERSA", "N/A")</f>
        <v>N/A</v>
      </c>
      <c r="AZ164" s="167" t="str">
        <f>IF(Consultas!U164="N","PRECISA CORRIGIR END DIVERGENTE","N/A")</f>
        <v>N/A</v>
      </c>
    </row>
    <row r="165" ht="12.0" customHeight="1">
      <c r="A165" s="39" t="s">
        <v>90</v>
      </c>
      <c r="B165" s="82">
        <f>Consultas!B165</f>
        <v>332</v>
      </c>
      <c r="C165" s="82" t="str">
        <f>Consultas!D165</f>
        <v>Metalpleno</v>
      </c>
      <c r="D165" s="96" t="str">
        <f>Consultas!E165</f>
        <v>036195</v>
      </c>
      <c r="E165" s="104">
        <f>IF(Consultas!AB165&gt;0,YEAR('Parâmetros'!$B$1)-YEAR(Consultas!AB165),"NA")</f>
        <v>54</v>
      </c>
      <c r="F165" s="82">
        <f>IF(Consultas!F165&gt;'Parâmetros'!$B$2,-8,0)</f>
        <v>0</v>
      </c>
      <c r="G165" s="82">
        <f>IF(Consultas!H165='Parâmetros'!$E$1,100,0)</f>
        <v>0</v>
      </c>
      <c r="H165" s="82">
        <f>IF(Consultas!I165='Parâmetros'!$E$1,-4,12)</f>
        <v>-4</v>
      </c>
      <c r="I165" s="82">
        <f>IF(Consultas!J165='Parâmetros'!$E$1,1,-13)</f>
        <v>1</v>
      </c>
      <c r="J165" s="82">
        <f>IF(Consultas!K165='Parâmetros'!$E$1,2,-5)</f>
        <v>2</v>
      </c>
      <c r="K165" s="82" t="str">
        <f>IF(Consultas!L165='Parâmetros'!$D$1,"SOLIC CONTRATO DE ENTREGA","N/A")</f>
        <v>SOLIC CONTRATO DE ENTREGA</v>
      </c>
      <c r="L165" s="82">
        <f>IF(Consultas!R165='Parâmetros'!$E$1,1,-3)</f>
        <v>1</v>
      </c>
      <c r="M165" s="82">
        <f>IF(Consultas!S165&gt;1,(IF(Consultas!S165='Parâmetros'!$E$1,-3,9)))</f>
        <v>-3</v>
      </c>
      <c r="N165" s="82">
        <f>IF(Consultas!T165="S",23,0)</f>
        <v>0</v>
      </c>
      <c r="O165" s="82">
        <f>IF(Consultas!U165='Parâmetros'!$E$1,-3,3)</f>
        <v>3</v>
      </c>
      <c r="P165" s="82">
        <f>IF(Consultas!V165='Parâmetros'!$E$1,-100,2)</f>
        <v>2</v>
      </c>
      <c r="Q165" s="82">
        <f>IF(Consultas!M165='Parâmetros'!$D$1,2,-9)</f>
        <v>2</v>
      </c>
      <c r="R165" s="82">
        <f>IF(Consultas!N165="RJ",-12,0)</f>
        <v>0</v>
      </c>
      <c r="S165" s="82">
        <f>IF(Consultas!O165="-",-3,IF(Consultas!O165=0,-6,IF(Consultas!O165=5,0,IF(Consultas!O165=10,6))))</f>
        <v>0</v>
      </c>
      <c r="T165" s="82">
        <f>IF(Consultas!M165="S",0,(IF(Consultas!P165="S",6,0)))</f>
        <v>0</v>
      </c>
      <c r="U165" s="82">
        <f>IF(Consultas!Q165&gt;97,9,IF(Consultas!Q165&gt;75,0,-7))</f>
        <v>9</v>
      </c>
      <c r="V165" s="82">
        <f>IF(Consultas!W165='Parâmetros'!$E$1,1,-5)</f>
        <v>1</v>
      </c>
      <c r="W165" s="82">
        <f>IF(Consultas!X165="S",3,-3)</f>
        <v>3</v>
      </c>
      <c r="X165" s="82">
        <f>IF(Consultas!Y165="S",0,-7)</f>
        <v>0</v>
      </c>
      <c r="Y165" s="82">
        <f>IF(Consultas!Z165='Parâmetros'!$E$1,2,-8)</f>
        <v>2</v>
      </c>
      <c r="Z165" s="82">
        <f>IF(Consultas!AA165='Parâmetros'!$E$1,-15,1)</f>
        <v>1</v>
      </c>
      <c r="AA165" s="147" t="s">
        <v>140</v>
      </c>
      <c r="AB165" s="82">
        <f>IF(E165="NA","NA",IF(E165&gt;'Parâmetros'!$A$9,8,IF(E165&gt;'Parâmetros'!$A$8,4,IF(E165&gt;'Parâmetros'!$A$7,0,-6))))</f>
        <v>8</v>
      </c>
      <c r="AC165" s="82">
        <f>IF(Consultas!AC165='Parâmetros'!$E$1,0,5)</f>
        <v>5</v>
      </c>
      <c r="AD165" s="82">
        <f>IF(Consultas!AH165='Parâmetros'!$D$1,-10,5)</f>
        <v>5</v>
      </c>
      <c r="AE165" s="82">
        <f>IF(Consultas!AI165&gt;(Consultas!F165*2),-10,0)</f>
        <v>0</v>
      </c>
      <c r="AF165" s="82">
        <f>IF(Consultas!AD165&gt;1,(IF(Consultas!AI165&gt;(Consultas!AD165),-20,4)))</f>
        <v>4</v>
      </c>
      <c r="AG165" s="82">
        <f>IF(Consultas!AG165='Parâmetros'!$E$1,0,-6)</f>
        <v>0</v>
      </c>
      <c r="AH165" s="82">
        <f>IF(Consultas!AF165='Parâmetros'!$E$1,1,-5)</f>
        <v>1</v>
      </c>
      <c r="AI165" s="82">
        <f>IF(Consultas!AJ165&gt;700,8,IF(Consultas!AJ165&gt;500,4,IF(Consultas!AJ165&gt;200,-4,IF(Consultas!AJ165&gt;1,-15,-20))))</f>
        <v>4</v>
      </c>
      <c r="AJ165" s="82">
        <f>IF(Consultas!AD165='Parâmetros'!$E$10,0,IF(Consultas!AD165&gt;'Parâmetros'!$A$30,12,IF(Consultas!AD165&gt;'Parâmetros'!$A$31,6,IF(Consultas!AD165&gt;'Parâmetros'!$A$32,0,IF(Consultas!AD165&gt;'Parâmetros'!$A$33,0,IF(Consultas!AD165&gt;'Parâmetros'!$A$34,-3,IF(Consultas!AD165&gt;'Parâmetros'!$A$35,-7,-1)))))))</f>
        <v>12</v>
      </c>
      <c r="AK165" s="82">
        <f>IF(Consultas!AO165='Parâmetros'!$D$1,3,-3)</f>
        <v>-3</v>
      </c>
      <c r="AL165" s="82">
        <f>IF(Consultas!AP165='Parâmetros'!$D$1,5,-3)</f>
        <v>-3</v>
      </c>
      <c r="AM165" s="82">
        <f>IF(Consultas!AL165="N",-6,0)</f>
        <v>0</v>
      </c>
      <c r="AN165" s="82">
        <f>IF(Consultas!AM165="N",-10,0)</f>
        <v>0</v>
      </c>
      <c r="AO165" s="82">
        <f>IF(Consultas!AN165="S",4,-2)</f>
        <v>-2</v>
      </c>
      <c r="AP165" s="39"/>
      <c r="AQ165" s="165">
        <f>IF(Consultas!F165&gt;1,(SUM(F165:AO165)),"N/A")</f>
        <v>51</v>
      </c>
      <c r="AR165" s="78" t="str">
        <f>IF((Consultas!AD165&gt;'Parâmetros'!$A$31),"X",AJ165+Y165+V165+AC165)</f>
        <v>X</v>
      </c>
      <c r="AS165" s="78" t="str">
        <f>IF((Consultas!AD165&gt;'Parâmetros'!$A$31),"X",(H165+I165+J165+Q165+T165+Y165+Z165+AJ165+AN165))</f>
        <v>X</v>
      </c>
      <c r="AT165" s="78">
        <f>IF((Consultas!AD165&lt;'Parâmetros'!$A$31),"X",(AD165+AC165+AB165))</f>
        <v>18</v>
      </c>
      <c r="AU165" s="78">
        <f t="shared" si="1"/>
        <v>18</v>
      </c>
      <c r="AV165" s="82" t="str">
        <f>IF(AQ165="N/A","N/A",IF(AQ165&gt;5,'Parâmetros'!$A$15,(IF(AU165=AR165,'Parâmetros'!$A$17,IF(AU165=AS165,'Parâmetros'!$A$16,'Parâmetros'!$A$14)))))</f>
        <v>SEM-RISCO</v>
      </c>
      <c r="AW165" s="86" t="str">
        <f>IF(AQ165="N/A","N/A",IF(AV165='Parâmetros'!$A$15,'Parâmetros'!$C$15,(IF(AV165='Parâmetros'!$A$17,'Parâmetros'!$C$17,IF(AV165='Parâmetros'!$A$16,'Parâmetros'!$C$16,IF(AV165='Parâmetros'!$A$14,'Parâmetros'!$C$12))))))</f>
        <v>LIBERADO</v>
      </c>
      <c r="AX165" s="82" t="str">
        <f>IF(Consultas!F165&gt;1,(IF(Consultas!F165&gt;5000,"SOLICITAR PED COMPRA","N/A")))</f>
        <v>SOLICITAR PED COMPRA</v>
      </c>
      <c r="AY165" s="167" t="str">
        <f>IF(AND(Consultas!M165&lt;&gt;"S", Consultas!H165="S"), "CHECAGEM REVERSA", "N/A")</f>
        <v>N/A</v>
      </c>
      <c r="AZ165" s="167" t="str">
        <f>IF(Consultas!U165="N","PRECISA CORRIGIR END DIVERGENTE","N/A")</f>
        <v>N/A</v>
      </c>
    </row>
    <row r="166" ht="12.0" customHeight="1">
      <c r="A166" s="39" t="s">
        <v>90</v>
      </c>
      <c r="B166" s="82">
        <f>Consultas!B166</f>
        <v>1886</v>
      </c>
      <c r="C166" s="82" t="str">
        <f>Consultas!D166</f>
        <v>Metalpleno</v>
      </c>
      <c r="D166" s="96" t="str">
        <f>Consultas!E166</f>
        <v>028225</v>
      </c>
      <c r="E166" s="104">
        <f>IF(Consultas!AB166&gt;0,YEAR('Parâmetros'!$B$1)-YEAR(Consultas!AB166),"NA")</f>
        <v>60</v>
      </c>
      <c r="F166" s="82">
        <f>IF(Consultas!F166&gt;'Parâmetros'!$B$2,-8,0)</f>
        <v>0</v>
      </c>
      <c r="G166" s="82">
        <f>IF(Consultas!H166='Parâmetros'!$E$1,100,0)</f>
        <v>0</v>
      </c>
      <c r="H166" s="82">
        <f>IF(Consultas!I166='Parâmetros'!$E$1,-4,12)</f>
        <v>-4</v>
      </c>
      <c r="I166" s="82">
        <f>IF(Consultas!J166='Parâmetros'!$E$1,1,-13)</f>
        <v>1</v>
      </c>
      <c r="J166" s="82">
        <f>IF(Consultas!K166='Parâmetros'!$E$1,2,-5)</f>
        <v>2</v>
      </c>
      <c r="K166" s="82" t="str">
        <f>IF(Consultas!L166='Parâmetros'!$D$1,"SOLIC CONTRATO DE ENTREGA","N/A")</f>
        <v>N/A</v>
      </c>
      <c r="L166" s="82">
        <f>IF(Consultas!R166='Parâmetros'!$E$1,1,-3)</f>
        <v>1</v>
      </c>
      <c r="M166" s="82">
        <f>IF(Consultas!S166&gt;1,(IF(Consultas!S166='Parâmetros'!$E$1,-3,9)))</f>
        <v>9</v>
      </c>
      <c r="N166" s="82">
        <f>IF(Consultas!T166="S",23,0)</f>
        <v>23</v>
      </c>
      <c r="O166" s="82">
        <f>IF(Consultas!U166='Parâmetros'!$E$1,-3,3)</f>
        <v>3</v>
      </c>
      <c r="P166" s="82">
        <f>IF(Consultas!V166='Parâmetros'!$E$1,-100,2)</f>
        <v>2</v>
      </c>
      <c r="Q166" s="82">
        <f>IF(Consultas!M166='Parâmetros'!$D$1,2,-9)</f>
        <v>2</v>
      </c>
      <c r="R166" s="82">
        <f>IF(Consultas!N166="RJ",-12,0)</f>
        <v>0</v>
      </c>
      <c r="S166" s="82">
        <f>IF(Consultas!O166="-",-3,IF(Consultas!O166=0,-6,IF(Consultas!O166=5,0,IF(Consultas!O166=10,6))))</f>
        <v>-3</v>
      </c>
      <c r="T166" s="82">
        <f>IF(Consultas!M166="S",0,(IF(Consultas!P166="S",6,0)))</f>
        <v>0</v>
      </c>
      <c r="U166" s="82">
        <f>IF(Consultas!Q166&gt;97,9,IF(Consultas!Q166&gt;75,0,-7))</f>
        <v>9</v>
      </c>
      <c r="V166" s="82">
        <f>IF(Consultas!W166='Parâmetros'!$E$1,1,-5)</f>
        <v>1</v>
      </c>
      <c r="W166" s="82">
        <f>IF(Consultas!X166="S",3,-3)</f>
        <v>3</v>
      </c>
      <c r="X166" s="82">
        <f>IF(Consultas!Y166="S",0,-7)</f>
        <v>0</v>
      </c>
      <c r="Y166" s="82">
        <f>IF(Consultas!Z166='Parâmetros'!$E$1,2,-8)</f>
        <v>2</v>
      </c>
      <c r="Z166" s="82">
        <f>IF(Consultas!AA166='Parâmetros'!$E$1,-15,1)</f>
        <v>1</v>
      </c>
      <c r="AA166" s="147" t="s">
        <v>140</v>
      </c>
      <c r="AB166" s="82">
        <f>IF(E166="NA","NA",IF(E166&gt;'Parâmetros'!$A$9,8,IF(E166&gt;'Parâmetros'!$A$8,4,IF(E166&gt;'Parâmetros'!$A$7,0,-6))))</f>
        <v>8</v>
      </c>
      <c r="AC166" s="82">
        <f>IF(Consultas!AC166='Parâmetros'!$E$1,0,5)</f>
        <v>5</v>
      </c>
      <c r="AD166" s="82">
        <f>IF(Consultas!AH166='Parâmetros'!$D$1,-10,5)</f>
        <v>-10</v>
      </c>
      <c r="AE166" s="82">
        <f>IF(Consultas!AI166&gt;(Consultas!F166*2),-10,0)</f>
        <v>-10</v>
      </c>
      <c r="AF166" s="82">
        <f>IF(Consultas!AD166&gt;1,(IF(Consultas!AI166&gt;(Consultas!AD166),-20,4)))</f>
        <v>4</v>
      </c>
      <c r="AG166" s="82">
        <f>IF(Consultas!AG166='Parâmetros'!$E$1,0,-6)</f>
        <v>0</v>
      </c>
      <c r="AH166" s="82">
        <f>IF(Consultas!AF166='Parâmetros'!$E$1,1,-5)</f>
        <v>-5</v>
      </c>
      <c r="AI166" s="82">
        <f>IF(Consultas!AJ166&gt;700,8,IF(Consultas!AJ166&gt;500,4,IF(Consultas!AJ166&gt;200,-4,IF(Consultas!AJ166&gt;1,-15,-20))))</f>
        <v>-20</v>
      </c>
      <c r="AJ166" s="82">
        <f>IF(Consultas!AD166='Parâmetros'!$E$10,0,IF(Consultas!AD166&gt;'Parâmetros'!$A$30,12,IF(Consultas!AD166&gt;'Parâmetros'!$A$31,6,IF(Consultas!AD166&gt;'Parâmetros'!$A$32,0,IF(Consultas!AD166&gt;'Parâmetros'!$A$33,0,IF(Consultas!AD166&gt;'Parâmetros'!$A$34,-3,IF(Consultas!AD166&gt;'Parâmetros'!$A$35,-7,-1)))))))</f>
        <v>12</v>
      </c>
      <c r="AK166" s="82">
        <f>IF(Consultas!AO166='Parâmetros'!$D$1,3,-3)</f>
        <v>-3</v>
      </c>
      <c r="AL166" s="82">
        <f>IF(Consultas!AP166='Parâmetros'!$D$1,5,-3)</f>
        <v>-3</v>
      </c>
      <c r="AM166" s="82">
        <f>IF(Consultas!AL166="N",-6,0)</f>
        <v>0</v>
      </c>
      <c r="AN166" s="82">
        <f>IF(Consultas!AM166="N",-10,0)</f>
        <v>0</v>
      </c>
      <c r="AO166" s="82">
        <f>IF(Consultas!AN166="S",4,-2)</f>
        <v>-2</v>
      </c>
      <c r="AP166" s="39"/>
      <c r="AQ166" s="165">
        <f>IF(Consultas!F166&gt;1,(SUM(F166:AO166)),"N/A")</f>
        <v>28</v>
      </c>
      <c r="AR166" s="78" t="str">
        <f>IF((Consultas!AD166&gt;'Parâmetros'!$A$31),"X",AJ166+Y166+V166+AC166)</f>
        <v>X</v>
      </c>
      <c r="AS166" s="78" t="str">
        <f>IF((Consultas!AD166&gt;'Parâmetros'!$A$31),"X",(H166+I166+J166+Q166+T166+Y166+Z166+AJ166+AN166))</f>
        <v>X</v>
      </c>
      <c r="AT166" s="78">
        <f>IF((Consultas!AD166&lt;'Parâmetros'!$A$31),"X",(AD166+AC166+AB166))</f>
        <v>3</v>
      </c>
      <c r="AU166" s="78">
        <f t="shared" si="1"/>
        <v>3</v>
      </c>
      <c r="AV166" s="82" t="str">
        <f>IF(AQ166="N/A","N/A",IF(AQ166&gt;5,'Parâmetros'!$A$15,(IF(AU166=AR166,'Parâmetros'!$A$17,IF(AU166=AS166,'Parâmetros'!$A$16,'Parâmetros'!$A$14)))))</f>
        <v>SEM-RISCO</v>
      </c>
      <c r="AW166" s="86" t="str">
        <f>IF(AQ166="N/A","N/A",IF(AV166='Parâmetros'!$A$15,'Parâmetros'!$C$15,(IF(AV166='Parâmetros'!$A$17,'Parâmetros'!$C$17,IF(AV166='Parâmetros'!$A$16,'Parâmetros'!$C$16,IF(AV166='Parâmetros'!$A$14,'Parâmetros'!$C$12))))))</f>
        <v>LIBERADO</v>
      </c>
      <c r="AX166" s="82" t="str">
        <f>IF(Consultas!F166&gt;1,(IF(Consultas!F166&gt;5000,"SOLICITAR PED COMPRA","N/A")))</f>
        <v>N/A</v>
      </c>
      <c r="AY166" s="167" t="str">
        <f>IF(AND(Consultas!M166&lt;&gt;"S", Consultas!H166="S"), "CHECAGEM REVERSA", "N/A")</f>
        <v>N/A</v>
      </c>
      <c r="AZ166" s="167" t="str">
        <f>IF(Consultas!U166="N","PRECISA CORRIGIR END DIVERGENTE","N/A")</f>
        <v>N/A</v>
      </c>
    </row>
    <row r="167" ht="12.0" customHeight="1">
      <c r="A167" s="39" t="s">
        <v>90</v>
      </c>
      <c r="B167" s="82">
        <f>Consultas!B167</f>
        <v>1887</v>
      </c>
      <c r="C167" s="82" t="str">
        <f>Consultas!D167</f>
        <v>Metalpleno</v>
      </c>
      <c r="D167" s="96" t="str">
        <f>Consultas!E167</f>
        <v>028225</v>
      </c>
      <c r="E167" s="104">
        <f>IF(Consultas!AB167&gt;0,YEAR('Parâmetros'!$B$1)-YEAR(Consultas!AB167),"NA")</f>
        <v>60</v>
      </c>
      <c r="F167" s="82">
        <f>IF(Consultas!F167&gt;'Parâmetros'!$B$2,-8,0)</f>
        <v>0</v>
      </c>
      <c r="G167" s="82">
        <f>IF(Consultas!H167='Parâmetros'!$E$1,100,0)</f>
        <v>0</v>
      </c>
      <c r="H167" s="82">
        <f>IF(Consultas!I167='Parâmetros'!$E$1,-4,12)</f>
        <v>-4</v>
      </c>
      <c r="I167" s="82">
        <f>IF(Consultas!J167='Parâmetros'!$E$1,1,-13)</f>
        <v>1</v>
      </c>
      <c r="J167" s="82">
        <f>IF(Consultas!K167='Parâmetros'!$E$1,2,-5)</f>
        <v>2</v>
      </c>
      <c r="K167" s="82" t="str">
        <f>IF(Consultas!L167='Parâmetros'!$D$1,"SOLIC CONTRATO DE ENTREGA","N/A")</f>
        <v>N/A</v>
      </c>
      <c r="L167" s="82">
        <f>IF(Consultas!R167='Parâmetros'!$E$1,1,-3)</f>
        <v>1</v>
      </c>
      <c r="M167" s="82">
        <f>IF(Consultas!S167&gt;1,(IF(Consultas!S167='Parâmetros'!$E$1,-3,9)))</f>
        <v>9</v>
      </c>
      <c r="N167" s="82">
        <f>IF(Consultas!T167="S",23,0)</f>
        <v>23</v>
      </c>
      <c r="O167" s="82">
        <f>IF(Consultas!U167='Parâmetros'!$E$1,-3,3)</f>
        <v>3</v>
      </c>
      <c r="P167" s="82">
        <f>IF(Consultas!V167='Parâmetros'!$E$1,-100,2)</f>
        <v>2</v>
      </c>
      <c r="Q167" s="82">
        <f>IF(Consultas!M167='Parâmetros'!$D$1,2,-9)</f>
        <v>2</v>
      </c>
      <c r="R167" s="82">
        <f>IF(Consultas!N167="RJ",-12,0)</f>
        <v>0</v>
      </c>
      <c r="S167" s="82">
        <f>IF(Consultas!O167="-",-3,IF(Consultas!O167=0,-6,IF(Consultas!O167=5,0,IF(Consultas!O167=10,6))))</f>
        <v>-3</v>
      </c>
      <c r="T167" s="82">
        <f>IF(Consultas!M167="S",0,(IF(Consultas!P167="S",6,0)))</f>
        <v>0</v>
      </c>
      <c r="U167" s="82">
        <f>IF(Consultas!Q167&gt;97,9,IF(Consultas!Q167&gt;75,0,-7))</f>
        <v>9</v>
      </c>
      <c r="V167" s="82">
        <f>IF(Consultas!W167='Parâmetros'!$E$1,1,-5)</f>
        <v>1</v>
      </c>
      <c r="W167" s="82">
        <f>IF(Consultas!X167="S",3,-3)</f>
        <v>3</v>
      </c>
      <c r="X167" s="82">
        <f>IF(Consultas!Y167="S",0,-7)</f>
        <v>0</v>
      </c>
      <c r="Y167" s="82">
        <f>IF(Consultas!Z167='Parâmetros'!$E$1,2,-8)</f>
        <v>2</v>
      </c>
      <c r="Z167" s="82">
        <f>IF(Consultas!AA167='Parâmetros'!$E$1,-15,1)</f>
        <v>1</v>
      </c>
      <c r="AA167" s="147" t="s">
        <v>140</v>
      </c>
      <c r="AB167" s="82">
        <f>IF(E167="NA","NA",IF(E167&gt;'Parâmetros'!$A$9,8,IF(E167&gt;'Parâmetros'!$A$8,4,IF(E167&gt;'Parâmetros'!$A$7,0,-6))))</f>
        <v>8</v>
      </c>
      <c r="AC167" s="82">
        <f>IF(Consultas!AC167='Parâmetros'!$E$1,0,5)</f>
        <v>5</v>
      </c>
      <c r="AD167" s="82">
        <f>IF(Consultas!AH167='Parâmetros'!$D$1,-10,5)</f>
        <v>-10</v>
      </c>
      <c r="AE167" s="82">
        <f>IF(Consultas!AI167&gt;(Consultas!F167*2),-10,0)</f>
        <v>-10</v>
      </c>
      <c r="AF167" s="82">
        <f>IF(Consultas!AD167&gt;1,(IF(Consultas!AI167&gt;(Consultas!AD167),-20,4)))</f>
        <v>4</v>
      </c>
      <c r="AG167" s="82">
        <f>IF(Consultas!AG167='Parâmetros'!$E$1,0,-6)</f>
        <v>0</v>
      </c>
      <c r="AH167" s="82">
        <f>IF(Consultas!AF167='Parâmetros'!$E$1,1,-5)</f>
        <v>-5</v>
      </c>
      <c r="AI167" s="82">
        <f>IF(Consultas!AJ167&gt;700,8,IF(Consultas!AJ167&gt;500,4,IF(Consultas!AJ167&gt;200,-4,IF(Consultas!AJ167&gt;1,-15,-20))))</f>
        <v>-20</v>
      </c>
      <c r="AJ167" s="82">
        <f>IF(Consultas!AD167='Parâmetros'!$E$10,0,IF(Consultas!AD167&gt;'Parâmetros'!$A$30,12,IF(Consultas!AD167&gt;'Parâmetros'!$A$31,6,IF(Consultas!AD167&gt;'Parâmetros'!$A$32,0,IF(Consultas!AD167&gt;'Parâmetros'!$A$33,0,IF(Consultas!AD167&gt;'Parâmetros'!$A$34,-3,IF(Consultas!AD167&gt;'Parâmetros'!$A$35,-7,-1)))))))</f>
        <v>12</v>
      </c>
      <c r="AK167" s="82">
        <f>IF(Consultas!AO167='Parâmetros'!$D$1,3,-3)</f>
        <v>-3</v>
      </c>
      <c r="AL167" s="82">
        <f>IF(Consultas!AP167='Parâmetros'!$D$1,5,-3)</f>
        <v>-3</v>
      </c>
      <c r="AM167" s="82">
        <f>IF(Consultas!AL167="N",-6,0)</f>
        <v>0</v>
      </c>
      <c r="AN167" s="82">
        <f>IF(Consultas!AM167="N",-10,0)</f>
        <v>0</v>
      </c>
      <c r="AO167" s="82">
        <f>IF(Consultas!AN167="S",4,-2)</f>
        <v>-2</v>
      </c>
      <c r="AP167" s="39"/>
      <c r="AQ167" s="165">
        <f>IF(Consultas!F167&gt;1,(SUM(F167:AO167)),"N/A")</f>
        <v>28</v>
      </c>
      <c r="AR167" s="78" t="str">
        <f>IF((Consultas!AD167&gt;'Parâmetros'!$A$31),"X",AJ167+Y167+V167+AC167)</f>
        <v>X</v>
      </c>
      <c r="AS167" s="78" t="str">
        <f>IF((Consultas!AD167&gt;'Parâmetros'!$A$31),"X",(H167+I167+J167+Q167+T167+Y167+Z167+AJ167+AN167))</f>
        <v>X</v>
      </c>
      <c r="AT167" s="78">
        <f>IF((Consultas!AD167&lt;'Parâmetros'!$A$31),"X",(AD167+AC167+AB167))</f>
        <v>3</v>
      </c>
      <c r="AU167" s="78">
        <f t="shared" si="1"/>
        <v>3</v>
      </c>
      <c r="AV167" s="82" t="str">
        <f>IF(AQ167="N/A","N/A",IF(AQ167&gt;5,'Parâmetros'!$A$15,(IF(AU167=AR167,'Parâmetros'!$A$17,IF(AU167=AS167,'Parâmetros'!$A$16,'Parâmetros'!$A$14)))))</f>
        <v>SEM-RISCO</v>
      </c>
      <c r="AW167" s="86" t="str">
        <f>IF(AQ167="N/A","N/A",IF(AV167='Parâmetros'!$A$15,'Parâmetros'!$C$15,(IF(AV167='Parâmetros'!$A$17,'Parâmetros'!$C$17,IF(AV167='Parâmetros'!$A$16,'Parâmetros'!$C$16,IF(AV167='Parâmetros'!$A$14,'Parâmetros'!$C$12))))))</f>
        <v>LIBERADO</v>
      </c>
      <c r="AX167" s="82" t="str">
        <f>IF(Consultas!F167&gt;1,(IF(Consultas!F167&gt;5000,"SOLICITAR PED COMPRA","N/A")))</f>
        <v>N/A</v>
      </c>
      <c r="AY167" s="167" t="str">
        <f>IF(AND(Consultas!M167&lt;&gt;"S", Consultas!H167="S"), "CHECAGEM REVERSA", "N/A")</f>
        <v>N/A</v>
      </c>
      <c r="AZ167" s="167" t="str">
        <f>IF(Consultas!U167="N","PRECISA CORRIGIR END DIVERGENTE","N/A")</f>
        <v>N/A</v>
      </c>
    </row>
    <row r="168" ht="12.0" customHeight="1">
      <c r="A168" s="39" t="s">
        <v>90</v>
      </c>
      <c r="B168" s="82">
        <f>Consultas!B168</f>
        <v>333</v>
      </c>
      <c r="C168" s="82" t="str">
        <f>Consultas!D168</f>
        <v>Metalpleno</v>
      </c>
      <c r="D168" s="96" t="str">
        <f>Consultas!E168</f>
        <v>143972</v>
      </c>
      <c r="E168" s="104">
        <f>IF(Consultas!AB168&gt;0,YEAR('Parâmetros'!$B$1)-YEAR(Consultas!AB168),"NA")</f>
        <v>17</v>
      </c>
      <c r="F168" s="82">
        <f>IF(Consultas!F168&gt;'Parâmetros'!$B$2,-8,0)</f>
        <v>0</v>
      </c>
      <c r="G168" s="82">
        <f>IF(Consultas!H168='Parâmetros'!$E$1,100,0)</f>
        <v>0</v>
      </c>
      <c r="H168" s="82">
        <f>IF(Consultas!I168='Parâmetros'!$E$1,-4,12)</f>
        <v>-4</v>
      </c>
      <c r="I168" s="82">
        <f>IF(Consultas!J168='Parâmetros'!$E$1,1,-13)</f>
        <v>1</v>
      </c>
      <c r="J168" s="82">
        <f>IF(Consultas!K168='Parâmetros'!$E$1,2,-5)</f>
        <v>2</v>
      </c>
      <c r="K168" s="82" t="str">
        <f>IF(Consultas!L168='Parâmetros'!$D$1,"SOLIC CONTRATO DE ENTREGA","N/A")</f>
        <v>SOLIC CONTRATO DE ENTREGA</v>
      </c>
      <c r="L168" s="82">
        <f>IF(Consultas!R168='Parâmetros'!$E$1,1,-3)</f>
        <v>1</v>
      </c>
      <c r="M168" s="82">
        <f>IF(Consultas!S168&gt;1,(IF(Consultas!S168='Parâmetros'!$E$1,-3,9)))</f>
        <v>9</v>
      </c>
      <c r="N168" s="82">
        <f>IF(Consultas!T168="S",23,0)</f>
        <v>0</v>
      </c>
      <c r="O168" s="82">
        <f>IF(Consultas!U168='Parâmetros'!$E$1,-3,3)</f>
        <v>3</v>
      </c>
      <c r="P168" s="82">
        <f>IF(Consultas!V168='Parâmetros'!$E$1,-100,2)</f>
        <v>2</v>
      </c>
      <c r="Q168" s="82">
        <f>IF(Consultas!M168='Parâmetros'!$D$1,2,-9)</f>
        <v>-9</v>
      </c>
      <c r="R168" s="82">
        <f>IF(Consultas!N168="RJ",-12,0)</f>
        <v>0</v>
      </c>
      <c r="S168" s="82">
        <f>IF(Consultas!O168="-",-3,IF(Consultas!O168=0,-6,IF(Consultas!O168=5,0,IF(Consultas!O168=10,6))))</f>
        <v>-6</v>
      </c>
      <c r="T168" s="82">
        <f>IF(Consultas!M168="S",0,(IF(Consultas!P168="S",6,0)))</f>
        <v>6</v>
      </c>
      <c r="U168" s="82">
        <f>IF(Consultas!Q168&gt;97,9,IF(Consultas!Q168&gt;75,0,-7))</f>
        <v>9</v>
      </c>
      <c r="V168" s="82">
        <f>IF(Consultas!W168='Parâmetros'!$E$1,1,-5)</f>
        <v>1</v>
      </c>
      <c r="W168" s="82">
        <f>IF(Consultas!X168="S",3,-3)</f>
        <v>3</v>
      </c>
      <c r="X168" s="82">
        <f>IF(Consultas!Y168="S",0,-7)</f>
        <v>0</v>
      </c>
      <c r="Y168" s="82">
        <f>IF(Consultas!Z168='Parâmetros'!$E$1,2,-8)</f>
        <v>2</v>
      </c>
      <c r="Z168" s="82">
        <f>IF(Consultas!AA168='Parâmetros'!$E$1,-15,1)</f>
        <v>1</v>
      </c>
      <c r="AA168" s="147" t="s">
        <v>140</v>
      </c>
      <c r="AB168" s="82">
        <f>IF(E168="NA","NA",IF(E168&gt;'Parâmetros'!$A$9,8,IF(E168&gt;'Parâmetros'!$A$8,4,IF(E168&gt;'Parâmetros'!$A$7,0,-6))))</f>
        <v>4</v>
      </c>
      <c r="AC168" s="82">
        <f>IF(Consultas!AC168='Parâmetros'!$E$1,0,5)</f>
        <v>5</v>
      </c>
      <c r="AD168" s="82">
        <f>IF(Consultas!AH168='Parâmetros'!$D$1,-10,5)</f>
        <v>5</v>
      </c>
      <c r="AE168" s="82">
        <f>IF(Consultas!AI168&gt;(Consultas!F168*2),-10,0)</f>
        <v>0</v>
      </c>
      <c r="AF168" s="82">
        <f>IF(Consultas!AD168&gt;1,(IF(Consultas!AI168&gt;(Consultas!AD168),-20,4)))</f>
        <v>4</v>
      </c>
      <c r="AG168" s="82">
        <f>IF(Consultas!AG168='Parâmetros'!$E$1,0,-6)</f>
        <v>0</v>
      </c>
      <c r="AH168" s="82">
        <f>IF(Consultas!AF168='Parâmetros'!$E$1,1,-5)</f>
        <v>1</v>
      </c>
      <c r="AI168" s="82">
        <f>IF(Consultas!AJ168&gt;700,8,IF(Consultas!AJ168&gt;500,4,IF(Consultas!AJ168&gt;200,-4,IF(Consultas!AJ168&gt;1,-15,-20))))</f>
        <v>4</v>
      </c>
      <c r="AJ168" s="82">
        <f>IF(Consultas!AD168='Parâmetros'!$E$10,0,IF(Consultas!AD168&gt;'Parâmetros'!$A$30,12,IF(Consultas!AD168&gt;'Parâmetros'!$A$31,6,IF(Consultas!AD168&gt;'Parâmetros'!$A$32,0,IF(Consultas!AD168&gt;'Parâmetros'!$A$33,0,IF(Consultas!AD168&gt;'Parâmetros'!$A$34,-3,IF(Consultas!AD168&gt;'Parâmetros'!$A$35,-7,-1)))))))</f>
        <v>12</v>
      </c>
      <c r="AK168" s="82">
        <f>IF(Consultas!AO168='Parâmetros'!$D$1,3,-3)</f>
        <v>-3</v>
      </c>
      <c r="AL168" s="82">
        <f>IF(Consultas!AP168='Parâmetros'!$D$1,5,-3)</f>
        <v>-3</v>
      </c>
      <c r="AM168" s="82">
        <f>IF(Consultas!AL168="N",-6,0)</f>
        <v>0</v>
      </c>
      <c r="AN168" s="82">
        <f>IF(Consultas!AM168="N",-10,0)</f>
        <v>0</v>
      </c>
      <c r="AO168" s="82">
        <f>IF(Consultas!AN168="S",4,-2)</f>
        <v>-2</v>
      </c>
      <c r="AP168" s="39"/>
      <c r="AQ168" s="165">
        <f>IF(Consultas!F168&gt;1,(SUM(F168:AO168)),"N/A")</f>
        <v>48</v>
      </c>
      <c r="AR168" s="78" t="str">
        <f>IF((Consultas!AD168&gt;'Parâmetros'!$A$31),"X",AJ168+Y168+V168+AC168)</f>
        <v>X</v>
      </c>
      <c r="AS168" s="78" t="str">
        <f>IF((Consultas!AD168&gt;'Parâmetros'!$A$31),"X",(H168+I168+J168+Q168+T168+Y168+Z168+AJ168+AN168))</f>
        <v>X</v>
      </c>
      <c r="AT168" s="78">
        <f>IF((Consultas!AD168&lt;'Parâmetros'!$A$31),"X",(AD168+AC168+AB168))</f>
        <v>14</v>
      </c>
      <c r="AU168" s="78">
        <f t="shared" si="1"/>
        <v>14</v>
      </c>
      <c r="AV168" s="82" t="str">
        <f>IF(AQ168="N/A","N/A",IF(AQ168&gt;5,'Parâmetros'!$A$15,(IF(AU168=AR168,'Parâmetros'!$A$17,IF(AU168=AS168,'Parâmetros'!$A$16,'Parâmetros'!$A$14)))))</f>
        <v>SEM-RISCO</v>
      </c>
      <c r="AW168" s="86" t="str">
        <f>IF(AQ168="N/A","N/A",IF(AV168='Parâmetros'!$A$15,'Parâmetros'!$C$15,(IF(AV168='Parâmetros'!$A$17,'Parâmetros'!$C$17,IF(AV168='Parâmetros'!$A$16,'Parâmetros'!$C$16,IF(AV168='Parâmetros'!$A$14,'Parâmetros'!$C$12))))))</f>
        <v>LIBERADO</v>
      </c>
      <c r="AX168" s="82" t="str">
        <f>IF(Consultas!F168&gt;1,(IF(Consultas!F168&gt;5000,"SOLICITAR PED COMPRA","N/A")))</f>
        <v>SOLICITAR PED COMPRA</v>
      </c>
      <c r="AY168" s="167" t="str">
        <f>IF(AND(Consultas!M168&lt;&gt;"S", Consultas!H168="S"), "CHECAGEM REVERSA", "N/A")</f>
        <v>CHECAGEM REVERSA</v>
      </c>
      <c r="AZ168" s="167" t="str">
        <f>IF(Consultas!U168="N","PRECISA CORRIGIR END DIVERGENTE","N/A")</f>
        <v>N/A</v>
      </c>
    </row>
    <row r="169" ht="12.0" customHeight="1">
      <c r="A169" s="39" t="s">
        <v>90</v>
      </c>
      <c r="B169" s="82">
        <f>Consultas!B169</f>
        <v>334</v>
      </c>
      <c r="C169" s="82" t="str">
        <f>Consultas!D169</f>
        <v>Metalpleno</v>
      </c>
      <c r="D169" s="96" t="str">
        <f>Consultas!E169</f>
        <v>144733</v>
      </c>
      <c r="E169" s="104">
        <f>IF(Consultas!AB169&gt;0,YEAR('Parâmetros'!$B$1)-YEAR(Consultas!AB169),"NA")</f>
        <v>9</v>
      </c>
      <c r="F169" s="82">
        <f>IF(Consultas!F169&gt;'Parâmetros'!$B$2,-8,0)</f>
        <v>0</v>
      </c>
      <c r="G169" s="82">
        <f>IF(Consultas!H169='Parâmetros'!$E$1,100,0)</f>
        <v>0</v>
      </c>
      <c r="H169" s="82">
        <f>IF(Consultas!I169='Parâmetros'!$E$1,-4,12)</f>
        <v>-4</v>
      </c>
      <c r="I169" s="82">
        <f>IF(Consultas!J169='Parâmetros'!$E$1,1,-13)</f>
        <v>1</v>
      </c>
      <c r="J169" s="82">
        <f>IF(Consultas!K169='Parâmetros'!$E$1,2,-5)</f>
        <v>2</v>
      </c>
      <c r="K169" s="82" t="str">
        <f>IF(Consultas!L169='Parâmetros'!$D$1,"SOLIC CONTRATO DE ENTREGA","N/A")</f>
        <v>SOLIC CONTRATO DE ENTREGA</v>
      </c>
      <c r="L169" s="82">
        <f>IF(Consultas!R169='Parâmetros'!$E$1,1,-3)</f>
        <v>1</v>
      </c>
      <c r="M169" s="82">
        <f>IF(Consultas!S169&gt;1,(IF(Consultas!S169='Parâmetros'!$E$1,-3,9)))</f>
        <v>-3</v>
      </c>
      <c r="N169" s="82">
        <f>IF(Consultas!T169="S",23,0)</f>
        <v>0</v>
      </c>
      <c r="O169" s="82">
        <f>IF(Consultas!U169='Parâmetros'!$E$1,-3,3)</f>
        <v>3</v>
      </c>
      <c r="P169" s="82">
        <f>IF(Consultas!V169='Parâmetros'!$E$1,-100,2)</f>
        <v>2</v>
      </c>
      <c r="Q169" s="82">
        <f>IF(Consultas!M169='Parâmetros'!$D$1,2,-9)</f>
        <v>2</v>
      </c>
      <c r="R169" s="82">
        <f>IF(Consultas!N169="RJ",-12,0)</f>
        <v>0</v>
      </c>
      <c r="S169" s="82">
        <f>IF(Consultas!O169="-",-3,IF(Consultas!O169=0,-6,IF(Consultas!O169=5,0,IF(Consultas!O169=10,6))))</f>
        <v>0</v>
      </c>
      <c r="T169" s="82">
        <f>IF(Consultas!M169="S",0,(IF(Consultas!P169="S",6,0)))</f>
        <v>0</v>
      </c>
      <c r="U169" s="82">
        <f>IF(Consultas!Q169&gt;97,9,IF(Consultas!Q169&gt;75,0,-7))</f>
        <v>9</v>
      </c>
      <c r="V169" s="82">
        <f>IF(Consultas!W169='Parâmetros'!$E$1,1,-5)</f>
        <v>1</v>
      </c>
      <c r="W169" s="82">
        <f>IF(Consultas!X169="S",3,-3)</f>
        <v>3</v>
      </c>
      <c r="X169" s="82">
        <f>IF(Consultas!Y169="S",0,-7)</f>
        <v>0</v>
      </c>
      <c r="Y169" s="82">
        <f>IF(Consultas!Z169='Parâmetros'!$E$1,2,-8)</f>
        <v>2</v>
      </c>
      <c r="Z169" s="82">
        <f>IF(Consultas!AA169='Parâmetros'!$E$1,-15,1)</f>
        <v>1</v>
      </c>
      <c r="AA169" s="147" t="s">
        <v>140</v>
      </c>
      <c r="AB169" s="82">
        <f>IF(E169="NA","NA",IF(E169&gt;'Parâmetros'!$A$9,8,IF(E169&gt;'Parâmetros'!$A$8,4,IF(E169&gt;'Parâmetros'!$A$7,0,-6))))</f>
        <v>0</v>
      </c>
      <c r="AC169" s="82">
        <f>IF(Consultas!AC169='Parâmetros'!$E$1,0,5)</f>
        <v>0</v>
      </c>
      <c r="AD169" s="82">
        <f>IF(Consultas!AH169='Parâmetros'!$D$1,-10,5)</f>
        <v>5</v>
      </c>
      <c r="AE169" s="82">
        <f>IF(Consultas!AI169&gt;(Consultas!F169*2),-10,0)</f>
        <v>0</v>
      </c>
      <c r="AF169" s="82">
        <f>IF(Consultas!AD169&gt;1,(IF(Consultas!AI169&gt;(Consultas!AD169),-20,4)))</f>
        <v>4</v>
      </c>
      <c r="AG169" s="82">
        <f>IF(Consultas!AG169='Parâmetros'!$E$1,0,-6)</f>
        <v>0</v>
      </c>
      <c r="AH169" s="82">
        <f>IF(Consultas!AF169='Parâmetros'!$E$1,1,-5)</f>
        <v>1</v>
      </c>
      <c r="AI169" s="82">
        <f>IF(Consultas!AJ169&gt;700,8,IF(Consultas!AJ169&gt;500,4,IF(Consultas!AJ169&gt;200,-4,IF(Consultas!AJ169&gt;1,-15,-20))))</f>
        <v>8</v>
      </c>
      <c r="AJ169" s="82">
        <f>IF(Consultas!AD169='Parâmetros'!$E$10,0,IF(Consultas!AD169&gt;'Parâmetros'!$A$30,12,IF(Consultas!AD169&gt;'Parâmetros'!$A$31,6,IF(Consultas!AD169&gt;'Parâmetros'!$A$32,0,IF(Consultas!AD169&gt;'Parâmetros'!$A$33,0,IF(Consultas!AD169&gt;'Parâmetros'!$A$34,-3,IF(Consultas!AD169&gt;'Parâmetros'!$A$35,-7,-1)))))))</f>
        <v>12</v>
      </c>
      <c r="AK169" s="82">
        <f>IF(Consultas!AO169='Parâmetros'!$D$1,3,-3)</f>
        <v>-3</v>
      </c>
      <c r="AL169" s="82">
        <f>IF(Consultas!AP169='Parâmetros'!$D$1,5,-3)</f>
        <v>-3</v>
      </c>
      <c r="AM169" s="82">
        <f>IF(Consultas!AL169="N",-6,0)</f>
        <v>0</v>
      </c>
      <c r="AN169" s="82">
        <f>IF(Consultas!AM169="N",-10,0)</f>
        <v>0</v>
      </c>
      <c r="AO169" s="82">
        <f>IF(Consultas!AN169="S",4,-2)</f>
        <v>-2</v>
      </c>
      <c r="AP169" s="39"/>
      <c r="AQ169" s="165">
        <f>IF(Consultas!F169&gt;1,(SUM(F169:AO169)),"N/A")</f>
        <v>42</v>
      </c>
      <c r="AR169" s="78" t="str">
        <f>IF((Consultas!AD169&gt;'Parâmetros'!$A$31),"X",AJ169+Y169+V169+AC169)</f>
        <v>X</v>
      </c>
      <c r="AS169" s="78" t="str">
        <f>IF((Consultas!AD169&gt;'Parâmetros'!$A$31),"X",(H169+I169+J169+Q169+T169+Y169+Z169+AJ169+AN169))</f>
        <v>X</v>
      </c>
      <c r="AT169" s="78">
        <f>IF((Consultas!AD169&lt;'Parâmetros'!$A$31),"X",(AD169+AC169+AB169))</f>
        <v>5</v>
      </c>
      <c r="AU169" s="78">
        <f t="shared" si="1"/>
        <v>5</v>
      </c>
      <c r="AV169" s="82" t="str">
        <f>IF(AQ169="N/A","N/A",IF(AQ169&gt;5,'Parâmetros'!$A$15,(IF(AU169=AR169,'Parâmetros'!$A$17,IF(AU169=AS169,'Parâmetros'!$A$16,'Parâmetros'!$A$14)))))</f>
        <v>SEM-RISCO</v>
      </c>
      <c r="AW169" s="86" t="str">
        <f>IF(AQ169="N/A","N/A",IF(AV169='Parâmetros'!$A$15,'Parâmetros'!$C$15,(IF(AV169='Parâmetros'!$A$17,'Parâmetros'!$C$17,IF(AV169='Parâmetros'!$A$16,'Parâmetros'!$C$16,IF(AV169='Parâmetros'!$A$14,'Parâmetros'!$C$12))))))</f>
        <v>LIBERADO</v>
      </c>
      <c r="AX169" s="82" t="str">
        <f>IF(Consultas!F169&gt;1,(IF(Consultas!F169&gt;5000,"SOLICITAR PED COMPRA","N/A")))</f>
        <v>SOLICITAR PED COMPRA</v>
      </c>
      <c r="AY169" s="167" t="str">
        <f>IF(AND(Consultas!M169&lt;&gt;"S", Consultas!H169="S"), "CHECAGEM REVERSA", "N/A")</f>
        <v>N/A</v>
      </c>
      <c r="AZ169" s="167" t="str">
        <f>IF(Consultas!U169="N","PRECISA CORRIGIR END DIVERGENTE","N/A")</f>
        <v>N/A</v>
      </c>
    </row>
    <row r="170" ht="12.0" customHeight="1">
      <c r="A170" s="39" t="s">
        <v>90</v>
      </c>
      <c r="B170" s="82">
        <f>Consultas!B170</f>
        <v>336</v>
      </c>
      <c r="C170" s="82" t="str">
        <f>Consultas!D170</f>
        <v>Metalpleno</v>
      </c>
      <c r="D170" s="96" t="str">
        <f>Consultas!E170</f>
        <v>144737</v>
      </c>
      <c r="E170" s="104">
        <f>IF(Consultas!AB170&gt;0,YEAR('Parâmetros'!$B$1)-YEAR(Consultas!AB170),"NA")</f>
        <v>12</v>
      </c>
      <c r="F170" s="82">
        <f>IF(Consultas!F170&gt;'Parâmetros'!$B$2,-8,0)</f>
        <v>0</v>
      </c>
      <c r="G170" s="82">
        <f>IF(Consultas!H170='Parâmetros'!$E$1,100,0)</f>
        <v>0</v>
      </c>
      <c r="H170" s="82">
        <f>IF(Consultas!I170='Parâmetros'!$E$1,-4,12)</f>
        <v>12</v>
      </c>
      <c r="I170" s="82">
        <f>IF(Consultas!J170='Parâmetros'!$E$1,1,-13)</f>
        <v>1</v>
      </c>
      <c r="J170" s="82">
        <f>IF(Consultas!K170='Parâmetros'!$E$1,2,-5)</f>
        <v>2</v>
      </c>
      <c r="K170" s="82" t="str">
        <f>IF(Consultas!L170='Parâmetros'!$D$1,"SOLIC CONTRATO DE ENTREGA","N/A")</f>
        <v>SOLIC CONTRATO DE ENTREGA</v>
      </c>
      <c r="L170" s="82">
        <f>IF(Consultas!R170='Parâmetros'!$E$1,1,-3)</f>
        <v>1</v>
      </c>
      <c r="M170" s="82">
        <f>IF(Consultas!S170&gt;1,(IF(Consultas!S170='Parâmetros'!$E$1,-3,9)))</f>
        <v>-3</v>
      </c>
      <c r="N170" s="82">
        <f>IF(Consultas!T170="S",23,0)</f>
        <v>0</v>
      </c>
      <c r="O170" s="82">
        <f>IF(Consultas!U170='Parâmetros'!$E$1,-3,3)</f>
        <v>3</v>
      </c>
      <c r="P170" s="82">
        <f>IF(Consultas!V170='Parâmetros'!$E$1,-100,2)</f>
        <v>2</v>
      </c>
      <c r="Q170" s="82">
        <f>IF(Consultas!M170='Parâmetros'!$D$1,2,-9)</f>
        <v>-9</v>
      </c>
      <c r="R170" s="82">
        <f>IF(Consultas!N170="RJ",-12,0)</f>
        <v>0</v>
      </c>
      <c r="S170" s="82">
        <f>IF(Consultas!O170="-",-3,IF(Consultas!O170=0,-6,IF(Consultas!O170=5,0,IF(Consultas!O170=10,6))))</f>
        <v>-6</v>
      </c>
      <c r="T170" s="82">
        <f>IF(Consultas!M170="S",0,(IF(Consultas!P170="S",6,0)))</f>
        <v>0</v>
      </c>
      <c r="U170" s="82">
        <f>IF(Consultas!Q170&gt;97,9,IF(Consultas!Q170&gt;75,0,-7))</f>
        <v>9</v>
      </c>
      <c r="V170" s="82">
        <f>IF(Consultas!W170='Parâmetros'!$E$1,1,-5)</f>
        <v>1</v>
      </c>
      <c r="W170" s="82">
        <f>IF(Consultas!X170="S",3,-3)</f>
        <v>3</v>
      </c>
      <c r="X170" s="82">
        <f>IF(Consultas!Y170="S",0,-7)</f>
        <v>0</v>
      </c>
      <c r="Y170" s="82">
        <f>IF(Consultas!Z170='Parâmetros'!$E$1,2,-8)</f>
        <v>2</v>
      </c>
      <c r="Z170" s="82">
        <f>IF(Consultas!AA170='Parâmetros'!$E$1,-15,1)</f>
        <v>1</v>
      </c>
      <c r="AA170" s="147" t="s">
        <v>140</v>
      </c>
      <c r="AB170" s="82">
        <f>IF(E170="NA","NA",IF(E170&gt;'Parâmetros'!$A$9,8,IF(E170&gt;'Parâmetros'!$A$8,4,IF(E170&gt;'Parâmetros'!$A$7,0,-6))))</f>
        <v>0</v>
      </c>
      <c r="AC170" s="82">
        <f>IF(Consultas!AC170='Parâmetros'!$E$1,0,5)</f>
        <v>0</v>
      </c>
      <c r="AD170" s="82">
        <f>IF(Consultas!AH170='Parâmetros'!$D$1,-10,5)</f>
        <v>5</v>
      </c>
      <c r="AE170" s="82">
        <f>IF(Consultas!AI170&gt;(Consultas!F170*2),-10,0)</f>
        <v>0</v>
      </c>
      <c r="AF170" s="82">
        <f>IF(Consultas!AD170&gt;1,(IF(Consultas!AI170&gt;(Consultas!AD170),-20,4)))</f>
        <v>4</v>
      </c>
      <c r="AG170" s="82">
        <f>IF(Consultas!AG170='Parâmetros'!$E$1,0,-6)</f>
        <v>0</v>
      </c>
      <c r="AH170" s="82">
        <f>IF(Consultas!AF170='Parâmetros'!$E$1,1,-5)</f>
        <v>1</v>
      </c>
      <c r="AI170" s="82">
        <f>IF(Consultas!AJ170&gt;700,8,IF(Consultas!AJ170&gt;500,4,IF(Consultas!AJ170&gt;200,-4,IF(Consultas!AJ170&gt;1,-15,-20))))</f>
        <v>8</v>
      </c>
      <c r="AJ170" s="82">
        <f>IF(Consultas!AD170='Parâmetros'!$E$10,0,IF(Consultas!AD170&gt;'Parâmetros'!$A$30,12,IF(Consultas!AD170&gt;'Parâmetros'!$A$31,6,IF(Consultas!AD170&gt;'Parâmetros'!$A$32,0,IF(Consultas!AD170&gt;'Parâmetros'!$A$33,0,IF(Consultas!AD170&gt;'Parâmetros'!$A$34,-3,IF(Consultas!AD170&gt;'Parâmetros'!$A$35,-7,-1)))))))</f>
        <v>12</v>
      </c>
      <c r="AK170" s="82">
        <f>IF(Consultas!AO170='Parâmetros'!$D$1,3,-3)</f>
        <v>-3</v>
      </c>
      <c r="AL170" s="82">
        <f>IF(Consultas!AP170='Parâmetros'!$D$1,5,-3)</f>
        <v>-3</v>
      </c>
      <c r="AM170" s="82">
        <f>IF(Consultas!AL170="N",-6,0)</f>
        <v>0</v>
      </c>
      <c r="AN170" s="82">
        <f>IF(Consultas!AM170="N",-10,0)</f>
        <v>0</v>
      </c>
      <c r="AO170" s="82">
        <f>IF(Consultas!AN170="S",4,-2)</f>
        <v>-2</v>
      </c>
      <c r="AP170" s="39"/>
      <c r="AQ170" s="165">
        <f>IF(Consultas!F170&gt;1,(SUM(F170:AO170)),"N/A")</f>
        <v>41</v>
      </c>
      <c r="AR170" s="78" t="str">
        <f>IF((Consultas!AD170&gt;'Parâmetros'!$A$31),"X",AJ170+Y170+V170+AC170)</f>
        <v>X</v>
      </c>
      <c r="AS170" s="78" t="str">
        <f>IF((Consultas!AD170&gt;'Parâmetros'!$A$31),"X",(H170+I170+J170+Q170+T170+Y170+Z170+AJ170+AN170))</f>
        <v>X</v>
      </c>
      <c r="AT170" s="78">
        <f>IF((Consultas!AD170&lt;'Parâmetros'!$A$31),"X",(AD170+AC170+AB170))</f>
        <v>5</v>
      </c>
      <c r="AU170" s="78">
        <f t="shared" si="1"/>
        <v>5</v>
      </c>
      <c r="AV170" s="82" t="str">
        <f>IF(AQ170="N/A","N/A",IF(AQ170&gt;5,'Parâmetros'!$A$15,(IF(AU170=AR170,'Parâmetros'!$A$17,IF(AU170=AS170,'Parâmetros'!$A$16,'Parâmetros'!$A$14)))))</f>
        <v>SEM-RISCO</v>
      </c>
      <c r="AW170" s="86" t="str">
        <f>IF(AQ170="N/A","N/A",IF(AV170='Parâmetros'!$A$15,'Parâmetros'!$C$15,(IF(AV170='Parâmetros'!$A$17,'Parâmetros'!$C$17,IF(AV170='Parâmetros'!$A$16,'Parâmetros'!$C$16,IF(AV170='Parâmetros'!$A$14,'Parâmetros'!$C$12))))))</f>
        <v>LIBERADO</v>
      </c>
      <c r="AX170" s="82" t="str">
        <f>IF(Consultas!F170&gt;1,(IF(Consultas!F170&gt;5000,"SOLICITAR PED COMPRA","N/A")))</f>
        <v>N/A</v>
      </c>
      <c r="AY170" s="167" t="str">
        <f>IF(AND(Consultas!M170&lt;&gt;"S", Consultas!H170="S"), "CHECAGEM REVERSA", "N/A")</f>
        <v>CHECAGEM REVERSA</v>
      </c>
      <c r="AZ170" s="167" t="str">
        <f>IF(Consultas!U170="N","PRECISA CORRIGIR END DIVERGENTE","N/A")</f>
        <v>N/A</v>
      </c>
    </row>
    <row r="171" ht="12.0" customHeight="1">
      <c r="A171" s="39" t="s">
        <v>90</v>
      </c>
      <c r="B171" s="82">
        <f>Consultas!B171</f>
        <v>337</v>
      </c>
      <c r="C171" s="82" t="str">
        <f>Consultas!D171</f>
        <v>Metalpleno</v>
      </c>
      <c r="D171" s="96" t="str">
        <f>Consultas!E171</f>
        <v>017306</v>
      </c>
      <c r="E171" s="104">
        <f>IF(Consultas!AB171&gt;0,YEAR('Parâmetros'!$B$1)-YEAR(Consultas!AB171),"NA")</f>
        <v>19</v>
      </c>
      <c r="F171" s="82">
        <f>IF(Consultas!F171&gt;'Parâmetros'!$B$2,-8,0)</f>
        <v>0</v>
      </c>
      <c r="G171" s="82">
        <f>IF(Consultas!H171='Parâmetros'!$E$1,100,0)</f>
        <v>0</v>
      </c>
      <c r="H171" s="82">
        <f>IF(Consultas!I171='Parâmetros'!$E$1,-4,12)</f>
        <v>-4</v>
      </c>
      <c r="I171" s="82">
        <f>IF(Consultas!J171='Parâmetros'!$E$1,1,-13)</f>
        <v>1</v>
      </c>
      <c r="J171" s="82">
        <f>IF(Consultas!K171='Parâmetros'!$E$1,2,-5)</f>
        <v>2</v>
      </c>
      <c r="K171" s="82" t="str">
        <f>IF(Consultas!L171='Parâmetros'!$D$1,"SOLIC CONTRATO DE ENTREGA","N/A")</f>
        <v>SOLIC CONTRATO DE ENTREGA</v>
      </c>
      <c r="L171" s="82">
        <f>IF(Consultas!R171='Parâmetros'!$E$1,1,-3)</f>
        <v>1</v>
      </c>
      <c r="M171" s="82">
        <f>IF(Consultas!S171&gt;1,(IF(Consultas!S171='Parâmetros'!$E$1,-3,9)))</f>
        <v>-3</v>
      </c>
      <c r="N171" s="82">
        <f>IF(Consultas!T171="S",23,0)</f>
        <v>0</v>
      </c>
      <c r="O171" s="82">
        <f>IF(Consultas!U171='Parâmetros'!$E$1,-3,3)</f>
        <v>3</v>
      </c>
      <c r="P171" s="82">
        <f>IF(Consultas!V171='Parâmetros'!$E$1,-100,2)</f>
        <v>2</v>
      </c>
      <c r="Q171" s="82">
        <f>IF(Consultas!M171='Parâmetros'!$D$1,2,-9)</f>
        <v>2</v>
      </c>
      <c r="R171" s="82">
        <f>IF(Consultas!N171="RJ",-12,0)</f>
        <v>0</v>
      </c>
      <c r="S171" s="82">
        <f>IF(Consultas!O171="-",-3,IF(Consultas!O171=0,-6,IF(Consultas!O171=5,0,IF(Consultas!O171=10,6))))</f>
        <v>-3</v>
      </c>
      <c r="T171" s="82">
        <f>IF(Consultas!M171="S",0,(IF(Consultas!P171="S",6,0)))</f>
        <v>0</v>
      </c>
      <c r="U171" s="82">
        <f>IF(Consultas!Q171&gt;97,9,IF(Consultas!Q171&gt;75,0,-7))</f>
        <v>9</v>
      </c>
      <c r="V171" s="82">
        <f>IF(Consultas!W171='Parâmetros'!$E$1,1,-5)</f>
        <v>1</v>
      </c>
      <c r="W171" s="82">
        <f>IF(Consultas!X171="S",3,-3)</f>
        <v>3</v>
      </c>
      <c r="X171" s="82">
        <f>IF(Consultas!Y171="S",0,-7)</f>
        <v>0</v>
      </c>
      <c r="Y171" s="82">
        <f>IF(Consultas!Z171='Parâmetros'!$E$1,2,-8)</f>
        <v>2</v>
      </c>
      <c r="Z171" s="82">
        <f>IF(Consultas!AA171='Parâmetros'!$E$1,-15,1)</f>
        <v>1</v>
      </c>
      <c r="AA171" s="147" t="s">
        <v>140</v>
      </c>
      <c r="AB171" s="82">
        <f>IF(E171="NA","NA",IF(E171&gt;'Parâmetros'!$A$9,8,IF(E171&gt;'Parâmetros'!$A$8,4,IF(E171&gt;'Parâmetros'!$A$7,0,-6))))</f>
        <v>4</v>
      </c>
      <c r="AC171" s="82">
        <f>IF(Consultas!AC171='Parâmetros'!$E$1,0,5)</f>
        <v>0</v>
      </c>
      <c r="AD171" s="82">
        <f>IF(Consultas!AH171='Parâmetros'!$D$1,-10,5)</f>
        <v>5</v>
      </c>
      <c r="AE171" s="82">
        <f>IF(Consultas!AI171&gt;(Consultas!F171*2),-10,0)</f>
        <v>0</v>
      </c>
      <c r="AF171" s="82">
        <f>IF(Consultas!AD171&gt;1,(IF(Consultas!AI171&gt;(Consultas!AD171),-20,4)))</f>
        <v>4</v>
      </c>
      <c r="AG171" s="82">
        <f>IF(Consultas!AG171='Parâmetros'!$E$1,0,-6)</f>
        <v>0</v>
      </c>
      <c r="AH171" s="82">
        <f>IF(Consultas!AF171='Parâmetros'!$E$1,1,-5)</f>
        <v>-5</v>
      </c>
      <c r="AI171" s="82">
        <f>IF(Consultas!AJ171&gt;700,8,IF(Consultas!AJ171&gt;500,4,IF(Consultas!AJ171&gt;200,-4,IF(Consultas!AJ171&gt;1,-15,-20))))</f>
        <v>4</v>
      </c>
      <c r="AJ171" s="82">
        <f>IF(Consultas!AD171='Parâmetros'!$E$10,0,IF(Consultas!AD171&gt;'Parâmetros'!$A$30,12,IF(Consultas!AD171&gt;'Parâmetros'!$A$31,6,IF(Consultas!AD171&gt;'Parâmetros'!$A$32,0,IF(Consultas!AD171&gt;'Parâmetros'!$A$33,0,IF(Consultas!AD171&gt;'Parâmetros'!$A$34,-3,IF(Consultas!AD171&gt;'Parâmetros'!$A$35,-7,-1)))))))</f>
        <v>12</v>
      </c>
      <c r="AK171" s="82">
        <f>IF(Consultas!AO171='Parâmetros'!$D$1,3,-3)</f>
        <v>-3</v>
      </c>
      <c r="AL171" s="82">
        <f>IF(Consultas!AP171='Parâmetros'!$D$1,5,-3)</f>
        <v>-3</v>
      </c>
      <c r="AM171" s="82">
        <f>IF(Consultas!AL171="N",-6,0)</f>
        <v>0</v>
      </c>
      <c r="AN171" s="82">
        <f>IF(Consultas!AM171="N",-10,0)</f>
        <v>0</v>
      </c>
      <c r="AO171" s="82">
        <f>IF(Consultas!AN171="S",4,-2)</f>
        <v>-2</v>
      </c>
      <c r="AP171" s="39"/>
      <c r="AQ171" s="165">
        <f>IF(Consultas!F171&gt;1,(SUM(F171:AO171)),"N/A")</f>
        <v>33</v>
      </c>
      <c r="AR171" s="78" t="str">
        <f>IF((Consultas!AD171&gt;'Parâmetros'!$A$31),"X",AJ171+Y171+V171+AC171)</f>
        <v>X</v>
      </c>
      <c r="AS171" s="78" t="str">
        <f>IF((Consultas!AD171&gt;'Parâmetros'!$A$31),"X",(H171+I171+J171+Q171+T171+Y171+Z171+AJ171+AN171))</f>
        <v>X</v>
      </c>
      <c r="AT171" s="78">
        <f>IF((Consultas!AD171&lt;'Parâmetros'!$A$31),"X",(AD171+AC171+AB171))</f>
        <v>9</v>
      </c>
      <c r="AU171" s="78">
        <f t="shared" si="1"/>
        <v>9</v>
      </c>
      <c r="AV171" s="82" t="str">
        <f>IF(AQ171="N/A","N/A",IF(AQ171&gt;5,'Parâmetros'!$A$15,(IF(AU171=AR171,'Parâmetros'!$A$17,IF(AU171=AS171,'Parâmetros'!$A$16,'Parâmetros'!$A$14)))))</f>
        <v>SEM-RISCO</v>
      </c>
      <c r="AW171" s="86" t="str">
        <f>IF(AQ171="N/A","N/A",IF(AV171='Parâmetros'!$A$15,'Parâmetros'!$C$15,(IF(AV171='Parâmetros'!$A$17,'Parâmetros'!$C$17,IF(AV171='Parâmetros'!$A$16,'Parâmetros'!$C$16,IF(AV171='Parâmetros'!$A$14,'Parâmetros'!$C$12))))))</f>
        <v>LIBERADO</v>
      </c>
      <c r="AX171" s="82" t="str">
        <f>IF(Consultas!F171&gt;1,(IF(Consultas!F171&gt;5000,"SOLICITAR PED COMPRA","N/A")))</f>
        <v>SOLICITAR PED COMPRA</v>
      </c>
      <c r="AY171" s="167" t="str">
        <f>IF(AND(Consultas!M171&lt;&gt;"S", Consultas!H171="S"), "CHECAGEM REVERSA", "N/A")</f>
        <v>N/A</v>
      </c>
      <c r="AZ171" s="167" t="str">
        <f>IF(Consultas!U171="N","PRECISA CORRIGIR END DIVERGENTE","N/A")</f>
        <v>N/A</v>
      </c>
    </row>
    <row r="172" ht="12.0" customHeight="1">
      <c r="A172" s="39" t="s">
        <v>90</v>
      </c>
      <c r="B172" s="82">
        <f>Consultas!B172</f>
        <v>735</v>
      </c>
      <c r="C172" s="82" t="str">
        <f>Consultas!D172</f>
        <v>Oaco</v>
      </c>
      <c r="D172" s="96" t="str">
        <f>Consultas!E172</f>
        <v>007847</v>
      </c>
      <c r="E172" s="104">
        <f>IF(Consultas!AB172&gt;0,YEAR('Parâmetros'!$B$1)-YEAR(Consultas!AB172),"NA")</f>
        <v>59</v>
      </c>
      <c r="F172" s="82">
        <f>IF(Consultas!F172&gt;'Parâmetros'!$B$2,-8,0)</f>
        <v>0</v>
      </c>
      <c r="G172" s="82">
        <f>IF(Consultas!H172='Parâmetros'!$E$1,100,0)</f>
        <v>0</v>
      </c>
      <c r="H172" s="82">
        <f>IF(Consultas!I172='Parâmetros'!$E$1,-4,12)</f>
        <v>-4</v>
      </c>
      <c r="I172" s="82">
        <f>IF(Consultas!J172='Parâmetros'!$E$1,1,-13)</f>
        <v>1</v>
      </c>
      <c r="J172" s="82">
        <f>IF(Consultas!K172='Parâmetros'!$E$1,2,-5)</f>
        <v>2</v>
      </c>
      <c r="K172" s="82" t="str">
        <f>IF(Consultas!L172='Parâmetros'!$D$1,"SOLIC CONTRATO DE ENTREGA","N/A")</f>
        <v>N/A</v>
      </c>
      <c r="L172" s="82">
        <f>IF(Consultas!R172='Parâmetros'!$E$1,1,-3)</f>
        <v>1</v>
      </c>
      <c r="M172" s="82">
        <f>IF(Consultas!S172&gt;1,(IF(Consultas!S172='Parâmetros'!$E$1,-3,9)))</f>
        <v>9</v>
      </c>
      <c r="N172" s="82">
        <f>IF(Consultas!T172="S",23,0)</f>
        <v>0</v>
      </c>
      <c r="O172" s="82">
        <f>IF(Consultas!U172='Parâmetros'!$E$1,-3,3)</f>
        <v>3</v>
      </c>
      <c r="P172" s="82">
        <f>IF(Consultas!V172='Parâmetros'!$E$1,-100,2)</f>
        <v>2</v>
      </c>
      <c r="Q172" s="82">
        <f>IF(Consultas!M172='Parâmetros'!$D$1,2,-9)</f>
        <v>2</v>
      </c>
      <c r="R172" s="82">
        <f>IF(Consultas!N172="RJ",-12,0)</f>
        <v>0</v>
      </c>
      <c r="S172" s="82">
        <f>IF(Consultas!O172="-",-3,IF(Consultas!O172=0,-6,IF(Consultas!O172=5,0,IF(Consultas!O172=10,6))))</f>
        <v>0</v>
      </c>
      <c r="T172" s="82">
        <f>IF(Consultas!M172="S",0,(IF(Consultas!P172="S",6,0)))</f>
        <v>0</v>
      </c>
      <c r="U172" s="82">
        <f>IF(Consultas!Q172&gt;97,9,IF(Consultas!Q172&gt;75,0,-7))</f>
        <v>9</v>
      </c>
      <c r="V172" s="82">
        <f>IF(Consultas!W172='Parâmetros'!$E$1,1,-5)</f>
        <v>1</v>
      </c>
      <c r="W172" s="82">
        <f>IF(Consultas!X172="S",3,-3)</f>
        <v>3</v>
      </c>
      <c r="X172" s="82">
        <f>IF(Consultas!Y172="S",0,-7)</f>
        <v>0</v>
      </c>
      <c r="Y172" s="82">
        <f>IF(Consultas!Z172='Parâmetros'!$E$1,2,-8)</f>
        <v>2</v>
      </c>
      <c r="Z172" s="82">
        <f>IF(Consultas!AA172='Parâmetros'!$E$1,-15,1)</f>
        <v>1</v>
      </c>
      <c r="AA172" s="147" t="s">
        <v>140</v>
      </c>
      <c r="AB172" s="82">
        <f>IF(E172="NA","NA",IF(E172&gt;'Parâmetros'!$A$9,8,IF(E172&gt;'Parâmetros'!$A$8,4,IF(E172&gt;'Parâmetros'!$A$7,0,-6))))</f>
        <v>8</v>
      </c>
      <c r="AC172" s="82">
        <f>IF(Consultas!AC172='Parâmetros'!$E$1,0,5)</f>
        <v>5</v>
      </c>
      <c r="AD172" s="82">
        <f>IF(Consultas!AH172='Parâmetros'!$D$1,-10,5)</f>
        <v>5</v>
      </c>
      <c r="AE172" s="82">
        <f>IF(Consultas!AI172&gt;(Consultas!F172*2),-10,0)</f>
        <v>0</v>
      </c>
      <c r="AF172" s="82" t="b">
        <f>IF(Consultas!AD172&gt;1,(IF(Consultas!AI172&gt;(Consultas!AD172),-20,4)))</f>
        <v>0</v>
      </c>
      <c r="AG172" s="82">
        <f>IF(Consultas!AG172='Parâmetros'!$E$1,0,-6)</f>
        <v>0</v>
      </c>
      <c r="AH172" s="82">
        <f>IF(Consultas!AF172='Parâmetros'!$E$1,1,-5)</f>
        <v>1</v>
      </c>
      <c r="AI172" s="82">
        <f>IF(Consultas!AJ172&gt;700,8,IF(Consultas!AJ172&gt;500,4,IF(Consultas!AJ172&gt;200,-4,IF(Consultas!AJ172&gt;1,-15,-20))))</f>
        <v>4</v>
      </c>
      <c r="AJ172" s="82">
        <f>IF(Consultas!AD172='Parâmetros'!$E$10,0,IF(Consultas!AD172&gt;'Parâmetros'!$A$30,12,IF(Consultas!AD172&gt;'Parâmetros'!$A$31,6,IF(Consultas!AD172&gt;'Parâmetros'!$A$32,0,IF(Consultas!AD172&gt;'Parâmetros'!$A$33,0,IF(Consultas!AD172&gt;'Parâmetros'!$A$34,-3,IF(Consultas!AD172&gt;'Parâmetros'!$A$35,-7,-1)))))))</f>
        <v>-1</v>
      </c>
      <c r="AK172" s="82">
        <f>IF(Consultas!AO172='Parâmetros'!$D$1,3,-3)</f>
        <v>-3</v>
      </c>
      <c r="AL172" s="82">
        <f>IF(Consultas!AP172='Parâmetros'!$D$1,5,-3)</f>
        <v>-3</v>
      </c>
      <c r="AM172" s="82">
        <f>IF(Consultas!AL172="N",-6,0)</f>
        <v>0</v>
      </c>
      <c r="AN172" s="82">
        <f>IF(Consultas!AM172="N",-10,0)</f>
        <v>0</v>
      </c>
      <c r="AO172" s="82">
        <f>IF(Consultas!AN172="S",4,-2)</f>
        <v>-2</v>
      </c>
      <c r="AP172" s="39"/>
      <c r="AQ172" s="165">
        <f>IF(Consultas!F172&gt;1,(SUM(F172:AO172)),"N/A")</f>
        <v>46</v>
      </c>
      <c r="AR172" s="78">
        <f>IF((Consultas!AD172&gt;'Parâmetros'!$A$31),"X",AJ172+Y172+V172+AC172)</f>
        <v>7</v>
      </c>
      <c r="AS172" s="78">
        <f>IF((Consultas!AD172&gt;'Parâmetros'!$A$31),"X",(H172+I172+J172+Q172+T172+Y172+Z172+AJ172+AN172))</f>
        <v>3</v>
      </c>
      <c r="AT172" s="78" t="str">
        <f>IF((Consultas!AD172&lt;'Parâmetros'!$A$31),"X",(AD172+AC172+AB172))</f>
        <v>X</v>
      </c>
      <c r="AU172" s="78">
        <f t="shared" si="1"/>
        <v>3</v>
      </c>
      <c r="AV172" s="82" t="str">
        <f>IF(AQ172="N/A","N/A",IF(AQ172&gt;5,'Parâmetros'!$A$15,(IF(AU172=AR172,'Parâmetros'!$A$17,IF(AU172=AS172,'Parâmetros'!$A$16,'Parâmetros'!$A$14)))))</f>
        <v>SEM-RISCO</v>
      </c>
      <c r="AW172" s="86" t="str">
        <f>IF(AQ172="N/A","N/A",IF(AV172='Parâmetros'!$A$15,'Parâmetros'!$C$15,(IF(AV172='Parâmetros'!$A$17,'Parâmetros'!$C$17,IF(AV172='Parâmetros'!$A$16,'Parâmetros'!$C$16,IF(AV172='Parâmetros'!$A$14,'Parâmetros'!$C$12))))))</f>
        <v>LIBERADO</v>
      </c>
      <c r="AX172" s="82" t="str">
        <f>IF(Consultas!F172&gt;1,(IF(Consultas!F172&gt;5000,"SOLICITAR PED COMPRA","N/A")))</f>
        <v>N/A</v>
      </c>
      <c r="AY172" s="167" t="str">
        <f>IF(AND(Consultas!M172&lt;&gt;"S", Consultas!H172="S"), "CHECAGEM REVERSA", "N/A")</f>
        <v>N/A</v>
      </c>
      <c r="AZ172" s="167" t="str">
        <f>IF(Consultas!U172="N","PRECISA CORRIGIR END DIVERGENTE","N/A")</f>
        <v>N/A</v>
      </c>
    </row>
    <row r="173" ht="12.0" customHeight="1">
      <c r="A173" s="39" t="s">
        <v>90</v>
      </c>
      <c r="B173" s="82">
        <f>Consultas!B173</f>
        <v>338</v>
      </c>
      <c r="C173" s="82" t="str">
        <f>Consultas!D173</f>
        <v>Metalpleno</v>
      </c>
      <c r="D173" s="96" t="str">
        <f>Consultas!E173</f>
        <v>144733</v>
      </c>
      <c r="E173" s="104">
        <f>IF(Consultas!AB173&gt;0,YEAR('Parâmetros'!$B$1)-YEAR(Consultas!AB173),"NA")</f>
        <v>9</v>
      </c>
      <c r="F173" s="82">
        <f>IF(Consultas!F173&gt;'Parâmetros'!$B$2,-8,0)</f>
        <v>0</v>
      </c>
      <c r="G173" s="82">
        <f>IF(Consultas!H173='Parâmetros'!$E$1,100,0)</f>
        <v>0</v>
      </c>
      <c r="H173" s="82">
        <f>IF(Consultas!I173='Parâmetros'!$E$1,-4,12)</f>
        <v>-4</v>
      </c>
      <c r="I173" s="82">
        <f>IF(Consultas!J173='Parâmetros'!$E$1,1,-13)</f>
        <v>1</v>
      </c>
      <c r="J173" s="82">
        <f>IF(Consultas!K173='Parâmetros'!$E$1,2,-5)</f>
        <v>2</v>
      </c>
      <c r="K173" s="82" t="str">
        <f>IF(Consultas!L173='Parâmetros'!$D$1,"SOLIC CONTRATO DE ENTREGA","N/A")</f>
        <v>SOLIC CONTRATO DE ENTREGA</v>
      </c>
      <c r="L173" s="82">
        <f>IF(Consultas!R173='Parâmetros'!$E$1,1,-3)</f>
        <v>1</v>
      </c>
      <c r="M173" s="82">
        <f>IF(Consultas!S173&gt;1,(IF(Consultas!S173='Parâmetros'!$E$1,-3,9)))</f>
        <v>-3</v>
      </c>
      <c r="N173" s="82">
        <f>IF(Consultas!T173="S",23,0)</f>
        <v>0</v>
      </c>
      <c r="O173" s="82">
        <f>IF(Consultas!U173='Parâmetros'!$E$1,-3,3)</f>
        <v>3</v>
      </c>
      <c r="P173" s="82">
        <f>IF(Consultas!V173='Parâmetros'!$E$1,-100,2)</f>
        <v>2</v>
      </c>
      <c r="Q173" s="82">
        <f>IF(Consultas!M173='Parâmetros'!$D$1,2,-9)</f>
        <v>2</v>
      </c>
      <c r="R173" s="82">
        <f>IF(Consultas!N173="RJ",-12,0)</f>
        <v>0</v>
      </c>
      <c r="S173" s="82">
        <f>IF(Consultas!O173="-",-3,IF(Consultas!O173=0,-6,IF(Consultas!O173=5,0,IF(Consultas!O173=10,6))))</f>
        <v>0</v>
      </c>
      <c r="T173" s="82">
        <f>IF(Consultas!M173="S",0,(IF(Consultas!P173="S",6,0)))</f>
        <v>0</v>
      </c>
      <c r="U173" s="82">
        <f>IF(Consultas!Q173&gt;97,9,IF(Consultas!Q173&gt;75,0,-7))</f>
        <v>9</v>
      </c>
      <c r="V173" s="82">
        <f>IF(Consultas!W173='Parâmetros'!$E$1,1,-5)</f>
        <v>1</v>
      </c>
      <c r="W173" s="82">
        <f>IF(Consultas!X173="S",3,-3)</f>
        <v>3</v>
      </c>
      <c r="X173" s="82">
        <f>IF(Consultas!Y173="S",0,-7)</f>
        <v>0</v>
      </c>
      <c r="Y173" s="82">
        <f>IF(Consultas!Z173='Parâmetros'!$E$1,2,-8)</f>
        <v>2</v>
      </c>
      <c r="Z173" s="82">
        <f>IF(Consultas!AA173='Parâmetros'!$E$1,-15,1)</f>
        <v>1</v>
      </c>
      <c r="AA173" s="147" t="s">
        <v>140</v>
      </c>
      <c r="AB173" s="82">
        <f>IF(E173="NA","NA",IF(E173&gt;'Parâmetros'!$A$9,8,IF(E173&gt;'Parâmetros'!$A$8,4,IF(E173&gt;'Parâmetros'!$A$7,0,-6))))</f>
        <v>0</v>
      </c>
      <c r="AC173" s="82">
        <f>IF(Consultas!AC173='Parâmetros'!$E$1,0,5)</f>
        <v>0</v>
      </c>
      <c r="AD173" s="82">
        <f>IF(Consultas!AH173='Parâmetros'!$D$1,-10,5)</f>
        <v>5</v>
      </c>
      <c r="AE173" s="82">
        <f>IF(Consultas!AI173&gt;(Consultas!F173*2),-10,0)</f>
        <v>0</v>
      </c>
      <c r="AF173" s="82">
        <f>IF(Consultas!AD173&gt;1,(IF(Consultas!AI173&gt;(Consultas!AD173),-20,4)))</f>
        <v>4</v>
      </c>
      <c r="AG173" s="82">
        <f>IF(Consultas!AG173='Parâmetros'!$E$1,0,-6)</f>
        <v>0</v>
      </c>
      <c r="AH173" s="82">
        <f>IF(Consultas!AF173='Parâmetros'!$E$1,1,-5)</f>
        <v>1</v>
      </c>
      <c r="AI173" s="82">
        <f>IF(Consultas!AJ173&gt;700,8,IF(Consultas!AJ173&gt;500,4,IF(Consultas!AJ173&gt;200,-4,IF(Consultas!AJ173&gt;1,-15,-20))))</f>
        <v>8</v>
      </c>
      <c r="AJ173" s="82">
        <f>IF(Consultas!AD173='Parâmetros'!$E$10,0,IF(Consultas!AD173&gt;'Parâmetros'!$A$30,12,IF(Consultas!AD173&gt;'Parâmetros'!$A$31,6,IF(Consultas!AD173&gt;'Parâmetros'!$A$32,0,IF(Consultas!AD173&gt;'Parâmetros'!$A$33,0,IF(Consultas!AD173&gt;'Parâmetros'!$A$34,-3,IF(Consultas!AD173&gt;'Parâmetros'!$A$35,-7,-1)))))))</f>
        <v>12</v>
      </c>
      <c r="AK173" s="82">
        <f>IF(Consultas!AO173='Parâmetros'!$D$1,3,-3)</f>
        <v>-3</v>
      </c>
      <c r="AL173" s="82">
        <f>IF(Consultas!AP173='Parâmetros'!$D$1,5,-3)</f>
        <v>-3</v>
      </c>
      <c r="AM173" s="82">
        <f>IF(Consultas!AL173="N",-6,0)</f>
        <v>0</v>
      </c>
      <c r="AN173" s="82">
        <f>IF(Consultas!AM173="N",-10,0)</f>
        <v>0</v>
      </c>
      <c r="AO173" s="82">
        <f>IF(Consultas!AN173="S",4,-2)</f>
        <v>-2</v>
      </c>
      <c r="AP173" s="39"/>
      <c r="AQ173" s="165">
        <f>IF(Consultas!F173&gt;1,(SUM(F173:AO173)),"N/A")</f>
        <v>42</v>
      </c>
      <c r="AR173" s="78" t="str">
        <f>IF((Consultas!AD173&gt;'Parâmetros'!$A$31),"X",AJ173+Y173+V173+AC173)</f>
        <v>X</v>
      </c>
      <c r="AS173" s="78" t="str">
        <f>IF((Consultas!AD173&gt;'Parâmetros'!$A$31),"X",(H173+I173+J173+Q173+T173+Y173+Z173+AJ173+AN173))</f>
        <v>X</v>
      </c>
      <c r="AT173" s="78">
        <f>IF((Consultas!AD173&lt;'Parâmetros'!$A$31),"X",(AD173+AC173+AB173))</f>
        <v>5</v>
      </c>
      <c r="AU173" s="78">
        <f t="shared" si="1"/>
        <v>5</v>
      </c>
      <c r="AV173" s="82" t="str">
        <f>IF(AQ173="N/A","N/A",IF(AQ173&gt;5,'Parâmetros'!$A$15,(IF(AU173=AR173,'Parâmetros'!$A$17,IF(AU173=AS173,'Parâmetros'!$A$16,'Parâmetros'!$A$14)))))</f>
        <v>SEM-RISCO</v>
      </c>
      <c r="AW173" s="86" t="str">
        <f>IF(AQ173="N/A","N/A",IF(AV173='Parâmetros'!$A$15,'Parâmetros'!$C$15,(IF(AV173='Parâmetros'!$A$17,'Parâmetros'!$C$17,IF(AV173='Parâmetros'!$A$16,'Parâmetros'!$C$16,IF(AV173='Parâmetros'!$A$14,'Parâmetros'!$C$12))))))</f>
        <v>LIBERADO</v>
      </c>
      <c r="AX173" s="82" t="str">
        <f>IF(Consultas!F173&gt;1,(IF(Consultas!F173&gt;5000,"SOLICITAR PED COMPRA","N/A")))</f>
        <v>SOLICITAR PED COMPRA</v>
      </c>
      <c r="AY173" s="167" t="str">
        <f>IF(AND(Consultas!M173&lt;&gt;"S", Consultas!H173="S"), "CHECAGEM REVERSA", "N/A")</f>
        <v>N/A</v>
      </c>
      <c r="AZ173" s="167" t="str">
        <f>IF(Consultas!U173="N","PRECISA CORRIGIR END DIVERGENTE","N/A")</f>
        <v>N/A</v>
      </c>
    </row>
    <row r="174" ht="12.0" customHeight="1">
      <c r="A174" s="39" t="s">
        <v>90</v>
      </c>
      <c r="B174" s="82">
        <f>Consultas!B174</f>
        <v>339</v>
      </c>
      <c r="C174" s="82" t="str">
        <f>Consultas!D174</f>
        <v>Metalpleno</v>
      </c>
      <c r="D174" s="96" t="str">
        <f>Consultas!E174</f>
        <v>144740</v>
      </c>
      <c r="E174" s="104">
        <f>IF(Consultas!AB174&gt;0,YEAR('Parâmetros'!$B$1)-YEAR(Consultas!AB174),"NA")</f>
        <v>33</v>
      </c>
      <c r="F174" s="82">
        <f>IF(Consultas!F174&gt;'Parâmetros'!$B$2,-8,0)</f>
        <v>0</v>
      </c>
      <c r="G174" s="82">
        <f>IF(Consultas!H174='Parâmetros'!$E$1,100,0)</f>
        <v>0</v>
      </c>
      <c r="H174" s="82">
        <f>IF(Consultas!I174='Parâmetros'!$E$1,-4,12)</f>
        <v>12</v>
      </c>
      <c r="I174" s="82">
        <f>IF(Consultas!J174='Parâmetros'!$E$1,1,-13)</f>
        <v>1</v>
      </c>
      <c r="J174" s="82">
        <f>IF(Consultas!K174='Parâmetros'!$E$1,2,-5)</f>
        <v>2</v>
      </c>
      <c r="K174" s="82" t="str">
        <f>IF(Consultas!L174='Parâmetros'!$D$1,"SOLIC CONTRATO DE ENTREGA","N/A")</f>
        <v>SOLIC CONTRATO DE ENTREGA</v>
      </c>
      <c r="L174" s="82">
        <f>IF(Consultas!R174='Parâmetros'!$E$1,1,-3)</f>
        <v>1</v>
      </c>
      <c r="M174" s="82">
        <f>IF(Consultas!S174&gt;1,(IF(Consultas!S174='Parâmetros'!$E$1,-3,9)))</f>
        <v>-3</v>
      </c>
      <c r="N174" s="82">
        <f>IF(Consultas!T174="S",23,0)</f>
        <v>0</v>
      </c>
      <c r="O174" s="82">
        <f>IF(Consultas!U174='Parâmetros'!$E$1,-3,3)</f>
        <v>3</v>
      </c>
      <c r="P174" s="82">
        <f>IF(Consultas!V174='Parâmetros'!$E$1,-100,2)</f>
        <v>2</v>
      </c>
      <c r="Q174" s="82">
        <f>IF(Consultas!M174='Parâmetros'!$D$1,2,-9)</f>
        <v>-9</v>
      </c>
      <c r="R174" s="82">
        <f>IF(Consultas!N174="RJ",-12,0)</f>
        <v>0</v>
      </c>
      <c r="S174" s="82">
        <f>IF(Consultas!O174="-",-3,IF(Consultas!O174=0,-6,IF(Consultas!O174=5,0,IF(Consultas!O174=10,6))))</f>
        <v>-6</v>
      </c>
      <c r="T174" s="82">
        <f>IF(Consultas!M174="S",0,(IF(Consultas!P174="S",6,0)))</f>
        <v>6</v>
      </c>
      <c r="U174" s="82">
        <f>IF(Consultas!Q174&gt;97,9,IF(Consultas!Q174&gt;75,0,-7))</f>
        <v>9</v>
      </c>
      <c r="V174" s="82">
        <f>IF(Consultas!W174='Parâmetros'!$E$1,1,-5)</f>
        <v>1</v>
      </c>
      <c r="W174" s="82">
        <f>IF(Consultas!X174="S",3,-3)</f>
        <v>3</v>
      </c>
      <c r="X174" s="82">
        <f>IF(Consultas!Y174="S",0,-7)</f>
        <v>-7</v>
      </c>
      <c r="Y174" s="82">
        <f>IF(Consultas!Z174='Parâmetros'!$E$1,2,-8)</f>
        <v>2</v>
      </c>
      <c r="Z174" s="82">
        <f>IF(Consultas!AA174='Parâmetros'!$E$1,-15,1)</f>
        <v>1</v>
      </c>
      <c r="AA174" s="147" t="s">
        <v>140</v>
      </c>
      <c r="AB174" s="82">
        <f>IF(E174="NA","NA",IF(E174&gt;'Parâmetros'!$A$9,8,IF(E174&gt;'Parâmetros'!$A$8,4,IF(E174&gt;'Parâmetros'!$A$7,0,-6))))</f>
        <v>8</v>
      </c>
      <c r="AC174" s="82">
        <f>IF(Consultas!AC174='Parâmetros'!$E$1,0,5)</f>
        <v>0</v>
      </c>
      <c r="AD174" s="82">
        <f>IF(Consultas!AH174='Parâmetros'!$D$1,-10,5)</f>
        <v>5</v>
      </c>
      <c r="AE174" s="82">
        <f>IF(Consultas!AI174&gt;(Consultas!F174*2),-10,0)</f>
        <v>0</v>
      </c>
      <c r="AF174" s="82">
        <f>IF(Consultas!AD174&gt;1,(IF(Consultas!AI174&gt;(Consultas!AD174),-20,4)))</f>
        <v>4</v>
      </c>
      <c r="AG174" s="82">
        <f>IF(Consultas!AG174='Parâmetros'!$E$1,0,-6)</f>
        <v>0</v>
      </c>
      <c r="AH174" s="82">
        <f>IF(Consultas!AF174='Parâmetros'!$E$1,1,-5)</f>
        <v>1</v>
      </c>
      <c r="AI174" s="82">
        <f>IF(Consultas!AJ174&gt;700,8,IF(Consultas!AJ174&gt;500,4,IF(Consultas!AJ174&gt;200,-4,IF(Consultas!AJ174&gt;1,-15,-20))))</f>
        <v>8</v>
      </c>
      <c r="AJ174" s="82">
        <f>IF(Consultas!AD174='Parâmetros'!$E$10,0,IF(Consultas!AD174&gt;'Parâmetros'!$A$30,12,IF(Consultas!AD174&gt;'Parâmetros'!$A$31,6,IF(Consultas!AD174&gt;'Parâmetros'!$A$32,0,IF(Consultas!AD174&gt;'Parâmetros'!$A$33,0,IF(Consultas!AD174&gt;'Parâmetros'!$A$34,-3,IF(Consultas!AD174&gt;'Parâmetros'!$A$35,-7,-1)))))))</f>
        <v>12</v>
      </c>
      <c r="AK174" s="82">
        <f>IF(Consultas!AO174='Parâmetros'!$D$1,3,-3)</f>
        <v>-3</v>
      </c>
      <c r="AL174" s="82">
        <f>IF(Consultas!AP174='Parâmetros'!$D$1,5,-3)</f>
        <v>-3</v>
      </c>
      <c r="AM174" s="82">
        <f>IF(Consultas!AL174="N",-6,0)</f>
        <v>0</v>
      </c>
      <c r="AN174" s="82">
        <f>IF(Consultas!AM174="N",-10,0)</f>
        <v>0</v>
      </c>
      <c r="AO174" s="82">
        <f>IF(Consultas!AN174="S",4,-2)</f>
        <v>-2</v>
      </c>
      <c r="AP174" s="39"/>
      <c r="AQ174" s="165">
        <f>IF(Consultas!F174&gt;1,(SUM(F174:AO174)),"N/A")</f>
        <v>48</v>
      </c>
      <c r="AR174" s="78" t="str">
        <f>IF((Consultas!AD174&gt;'Parâmetros'!$A$31),"X",AJ174+Y174+V174+AC174)</f>
        <v>X</v>
      </c>
      <c r="AS174" s="78" t="str">
        <f>IF((Consultas!AD174&gt;'Parâmetros'!$A$31),"X",(H174+I174+J174+Q174+T174+Y174+Z174+AJ174+AN174))</f>
        <v>X</v>
      </c>
      <c r="AT174" s="78">
        <f>IF((Consultas!AD174&lt;'Parâmetros'!$A$31),"X",(AD174+AC174+AB174))</f>
        <v>13</v>
      </c>
      <c r="AU174" s="78">
        <f t="shared" si="1"/>
        <v>13</v>
      </c>
      <c r="AV174" s="82" t="str">
        <f>IF(AQ174="N/A","N/A",IF(AQ174&gt;5,'Parâmetros'!$A$15,(IF(AU174=AR174,'Parâmetros'!$A$17,IF(AU174=AS174,'Parâmetros'!$A$16,'Parâmetros'!$A$14)))))</f>
        <v>SEM-RISCO</v>
      </c>
      <c r="AW174" s="86" t="str">
        <f>IF(AQ174="N/A","N/A",IF(AV174='Parâmetros'!$A$15,'Parâmetros'!$C$15,(IF(AV174='Parâmetros'!$A$17,'Parâmetros'!$C$17,IF(AV174='Parâmetros'!$A$16,'Parâmetros'!$C$16,IF(AV174='Parâmetros'!$A$14,'Parâmetros'!$C$12))))))</f>
        <v>LIBERADO</v>
      </c>
      <c r="AX174" s="82" t="str">
        <f>IF(Consultas!F174&gt;1,(IF(Consultas!F174&gt;5000,"SOLICITAR PED COMPRA","N/A")))</f>
        <v>N/A</v>
      </c>
      <c r="AY174" s="167" t="str">
        <f>IF(AND(Consultas!M174&lt;&gt;"S", Consultas!H174="S"), "CHECAGEM REVERSA", "N/A")</f>
        <v>CHECAGEM REVERSA</v>
      </c>
      <c r="AZ174" s="167" t="str">
        <f>IF(Consultas!U174="N","PRECISA CORRIGIR END DIVERGENTE","N/A")</f>
        <v>N/A</v>
      </c>
    </row>
    <row r="175" ht="12.0" customHeight="1">
      <c r="A175" s="39" t="s">
        <v>90</v>
      </c>
      <c r="B175" s="82">
        <f>Consultas!B175</f>
        <v>340</v>
      </c>
      <c r="C175" s="82" t="str">
        <f>Consultas!D175</f>
        <v>Metalpleno</v>
      </c>
      <c r="D175" s="96" t="str">
        <f>Consultas!E175</f>
        <v>144741</v>
      </c>
      <c r="E175" s="104">
        <f>IF(Consultas!AB175&gt;0,YEAR('Parâmetros'!$B$1)-YEAR(Consultas!AB175),"NA")</f>
        <v>26</v>
      </c>
      <c r="F175" s="82">
        <f>IF(Consultas!F175&gt;'Parâmetros'!$B$2,-8,0)</f>
        <v>0</v>
      </c>
      <c r="G175" s="82">
        <f>IF(Consultas!H175='Parâmetros'!$E$1,100,0)</f>
        <v>0</v>
      </c>
      <c r="H175" s="82">
        <f>IF(Consultas!I175='Parâmetros'!$E$1,-4,12)</f>
        <v>-4</v>
      </c>
      <c r="I175" s="82">
        <f>IF(Consultas!J175='Parâmetros'!$E$1,1,-13)</f>
        <v>1</v>
      </c>
      <c r="J175" s="82">
        <f>IF(Consultas!K175='Parâmetros'!$E$1,2,-5)</f>
        <v>2</v>
      </c>
      <c r="K175" s="82" t="str">
        <f>IF(Consultas!L175='Parâmetros'!$D$1,"SOLIC CONTRATO DE ENTREGA","N/A")</f>
        <v>SOLIC CONTRATO DE ENTREGA</v>
      </c>
      <c r="L175" s="82">
        <f>IF(Consultas!R175='Parâmetros'!$E$1,1,-3)</f>
        <v>1</v>
      </c>
      <c r="M175" s="82">
        <f>IF(Consultas!S175&gt;1,(IF(Consultas!S175='Parâmetros'!$E$1,-3,9)))</f>
        <v>-3</v>
      </c>
      <c r="N175" s="82">
        <f>IF(Consultas!T175="S",23,0)</f>
        <v>0</v>
      </c>
      <c r="O175" s="82">
        <f>IF(Consultas!U175='Parâmetros'!$E$1,-3,3)</f>
        <v>3</v>
      </c>
      <c r="P175" s="82">
        <f>IF(Consultas!V175='Parâmetros'!$E$1,-100,2)</f>
        <v>2</v>
      </c>
      <c r="Q175" s="82">
        <f>IF(Consultas!M175='Parâmetros'!$D$1,2,-9)</f>
        <v>2</v>
      </c>
      <c r="R175" s="82">
        <f>IF(Consultas!N175="RJ",-12,0)</f>
        <v>0</v>
      </c>
      <c r="S175" s="82">
        <f>IF(Consultas!O175="-",-3,IF(Consultas!O175=0,-6,IF(Consultas!O175=5,0,IF(Consultas!O175=10,6))))</f>
        <v>-3</v>
      </c>
      <c r="T175" s="82">
        <f>IF(Consultas!M175="S",0,(IF(Consultas!P175="S",6,0)))</f>
        <v>0</v>
      </c>
      <c r="U175" s="82">
        <f>IF(Consultas!Q175&gt;97,9,IF(Consultas!Q175&gt;75,0,-7))</f>
        <v>9</v>
      </c>
      <c r="V175" s="82">
        <f>IF(Consultas!W175='Parâmetros'!$E$1,1,-5)</f>
        <v>1</v>
      </c>
      <c r="W175" s="82">
        <f>IF(Consultas!X175="S",3,-3)</f>
        <v>3</v>
      </c>
      <c r="X175" s="82">
        <f>IF(Consultas!Y175="S",0,-7)</f>
        <v>0</v>
      </c>
      <c r="Y175" s="82">
        <f>IF(Consultas!Z175='Parâmetros'!$E$1,2,-8)</f>
        <v>2</v>
      </c>
      <c r="Z175" s="82">
        <f>IF(Consultas!AA175='Parâmetros'!$E$1,-15,1)</f>
        <v>1</v>
      </c>
      <c r="AA175" s="147" t="s">
        <v>140</v>
      </c>
      <c r="AB175" s="82">
        <f>IF(E175="NA","NA",IF(E175&gt;'Parâmetros'!$A$9,8,IF(E175&gt;'Parâmetros'!$A$8,4,IF(E175&gt;'Parâmetros'!$A$7,0,-6))))</f>
        <v>4</v>
      </c>
      <c r="AC175" s="82">
        <f>IF(Consultas!AC175='Parâmetros'!$E$1,0,5)</f>
        <v>0</v>
      </c>
      <c r="AD175" s="82">
        <f>IF(Consultas!AH175='Parâmetros'!$D$1,-10,5)</f>
        <v>5</v>
      </c>
      <c r="AE175" s="82">
        <f>IF(Consultas!AI175&gt;(Consultas!F175*2),-10,0)</f>
        <v>0</v>
      </c>
      <c r="AF175" s="82">
        <f>IF(Consultas!AD175&gt;1,(IF(Consultas!AI175&gt;(Consultas!AD175),-20,4)))</f>
        <v>4</v>
      </c>
      <c r="AG175" s="82">
        <f>IF(Consultas!AG175='Parâmetros'!$E$1,0,-6)</f>
        <v>0</v>
      </c>
      <c r="AH175" s="82">
        <f>IF(Consultas!AF175='Parâmetros'!$E$1,1,-5)</f>
        <v>1</v>
      </c>
      <c r="AI175" s="82">
        <f>IF(Consultas!AJ175&gt;700,8,IF(Consultas!AJ175&gt;500,4,IF(Consultas!AJ175&gt;200,-4,IF(Consultas!AJ175&gt;1,-15,-20))))</f>
        <v>4</v>
      </c>
      <c r="AJ175" s="82">
        <f>IF(Consultas!AD175='Parâmetros'!$E$10,0,IF(Consultas!AD175&gt;'Parâmetros'!$A$30,12,IF(Consultas!AD175&gt;'Parâmetros'!$A$31,6,IF(Consultas!AD175&gt;'Parâmetros'!$A$32,0,IF(Consultas!AD175&gt;'Parâmetros'!$A$33,0,IF(Consultas!AD175&gt;'Parâmetros'!$A$34,-3,IF(Consultas!AD175&gt;'Parâmetros'!$A$35,-7,-1)))))))</f>
        <v>12</v>
      </c>
      <c r="AK175" s="82">
        <f>IF(Consultas!AO175='Parâmetros'!$D$1,3,-3)</f>
        <v>-3</v>
      </c>
      <c r="AL175" s="82">
        <f>IF(Consultas!AP175='Parâmetros'!$D$1,5,-3)</f>
        <v>-3</v>
      </c>
      <c r="AM175" s="82">
        <f>IF(Consultas!AL175="N",-6,0)</f>
        <v>0</v>
      </c>
      <c r="AN175" s="82">
        <f>IF(Consultas!AM175="N",-10,0)</f>
        <v>0</v>
      </c>
      <c r="AO175" s="82">
        <f>IF(Consultas!AN175="S",4,-2)</f>
        <v>-2</v>
      </c>
      <c r="AP175" s="39"/>
      <c r="AQ175" s="165">
        <f>IF(Consultas!F175&gt;1,(SUM(F175:AO175)),"N/A")</f>
        <v>39</v>
      </c>
      <c r="AR175" s="78" t="str">
        <f>IF((Consultas!AD175&gt;'Parâmetros'!$A$31),"X",AJ175+Y175+V175+AC175)</f>
        <v>X</v>
      </c>
      <c r="AS175" s="78" t="str">
        <f>IF((Consultas!AD175&gt;'Parâmetros'!$A$31),"X",(H175+I175+J175+Q175+T175+Y175+Z175+AJ175+AN175))</f>
        <v>X</v>
      </c>
      <c r="AT175" s="78">
        <f>IF((Consultas!AD175&lt;'Parâmetros'!$A$31),"X",(AD175+AC175+AB175))</f>
        <v>9</v>
      </c>
      <c r="AU175" s="78">
        <f t="shared" si="1"/>
        <v>9</v>
      </c>
      <c r="AV175" s="82" t="str">
        <f>IF(AQ175="N/A","N/A",IF(AQ175&gt;5,'Parâmetros'!$A$15,(IF(AU175=AR175,'Parâmetros'!$A$17,IF(AU175=AS175,'Parâmetros'!$A$16,'Parâmetros'!$A$14)))))</f>
        <v>SEM-RISCO</v>
      </c>
      <c r="AW175" s="86" t="str">
        <f>IF(AQ175="N/A","N/A",IF(AV175='Parâmetros'!$A$15,'Parâmetros'!$C$15,(IF(AV175='Parâmetros'!$A$17,'Parâmetros'!$C$17,IF(AV175='Parâmetros'!$A$16,'Parâmetros'!$C$16,IF(AV175='Parâmetros'!$A$14,'Parâmetros'!$C$12))))))</f>
        <v>LIBERADO</v>
      </c>
      <c r="AX175" s="82" t="str">
        <f>IF(Consultas!F175&gt;1,(IF(Consultas!F175&gt;5000,"SOLICITAR PED COMPRA","N/A")))</f>
        <v>N/A</v>
      </c>
      <c r="AY175" s="167" t="str">
        <f>IF(AND(Consultas!M175&lt;&gt;"S", Consultas!H175="S"), "CHECAGEM REVERSA", "N/A")</f>
        <v>N/A</v>
      </c>
      <c r="AZ175" s="167" t="str">
        <f>IF(Consultas!U175="N","PRECISA CORRIGIR END DIVERGENTE","N/A")</f>
        <v>N/A</v>
      </c>
    </row>
    <row r="176" ht="12.0" customHeight="1">
      <c r="A176" s="39" t="s">
        <v>90</v>
      </c>
      <c r="B176" s="82">
        <f>Consultas!B176</f>
        <v>341</v>
      </c>
      <c r="C176" s="82" t="str">
        <f>Consultas!D176</f>
        <v>Metalpleno</v>
      </c>
      <c r="D176" s="96" t="str">
        <f>Consultas!E176</f>
        <v>144742</v>
      </c>
      <c r="E176" s="104">
        <f>IF(Consultas!AB176&gt;0,YEAR('Parâmetros'!$B$1)-YEAR(Consultas!AB176),"NA")</f>
        <v>21</v>
      </c>
      <c r="F176" s="82">
        <f>IF(Consultas!F176&gt;'Parâmetros'!$B$2,-8,0)</f>
        <v>-8</v>
      </c>
      <c r="G176" s="82">
        <f>IF(Consultas!H176='Parâmetros'!$E$1,100,0)</f>
        <v>0</v>
      </c>
      <c r="H176" s="82">
        <f>IF(Consultas!I176='Parâmetros'!$E$1,-4,12)</f>
        <v>-4</v>
      </c>
      <c r="I176" s="82">
        <f>IF(Consultas!J176='Parâmetros'!$E$1,1,-13)</f>
        <v>1</v>
      </c>
      <c r="J176" s="82">
        <f>IF(Consultas!K176='Parâmetros'!$E$1,2,-5)</f>
        <v>2</v>
      </c>
      <c r="K176" s="82" t="str">
        <f>IF(Consultas!L176='Parâmetros'!$D$1,"SOLIC CONTRATO DE ENTREGA","N/A")</f>
        <v>SOLIC CONTRATO DE ENTREGA</v>
      </c>
      <c r="L176" s="82">
        <f>IF(Consultas!R176='Parâmetros'!$E$1,1,-3)</f>
        <v>1</v>
      </c>
      <c r="M176" s="82">
        <f>IF(Consultas!S176&gt;1,(IF(Consultas!S176='Parâmetros'!$E$1,-3,9)))</f>
        <v>-3</v>
      </c>
      <c r="N176" s="82">
        <f>IF(Consultas!T176="S",23,0)</f>
        <v>0</v>
      </c>
      <c r="O176" s="82">
        <f>IF(Consultas!U176='Parâmetros'!$E$1,-3,3)</f>
        <v>3</v>
      </c>
      <c r="P176" s="82">
        <f>IF(Consultas!V176='Parâmetros'!$E$1,-100,2)</f>
        <v>2</v>
      </c>
      <c r="Q176" s="82">
        <f>IF(Consultas!M176='Parâmetros'!$D$1,2,-9)</f>
        <v>2</v>
      </c>
      <c r="R176" s="82">
        <f>IF(Consultas!N176="RJ",-12,0)</f>
        <v>0</v>
      </c>
      <c r="S176" s="82">
        <f>IF(Consultas!O176="-",-3,IF(Consultas!O176=0,-6,IF(Consultas!O176=5,0,IF(Consultas!O176=10,6))))</f>
        <v>-3</v>
      </c>
      <c r="T176" s="82">
        <f>IF(Consultas!M176="S",0,(IF(Consultas!P176="S",6,0)))</f>
        <v>0</v>
      </c>
      <c r="U176" s="82">
        <f>IF(Consultas!Q176&gt;97,9,IF(Consultas!Q176&gt;75,0,-7))</f>
        <v>9</v>
      </c>
      <c r="V176" s="82">
        <f>IF(Consultas!W176='Parâmetros'!$E$1,1,-5)</f>
        <v>-5</v>
      </c>
      <c r="W176" s="82">
        <f>IF(Consultas!X176="S",3,-3)</f>
        <v>3</v>
      </c>
      <c r="X176" s="82">
        <f>IF(Consultas!Y176="S",0,-7)</f>
        <v>0</v>
      </c>
      <c r="Y176" s="82">
        <f>IF(Consultas!Z176='Parâmetros'!$E$1,2,-8)</f>
        <v>2</v>
      </c>
      <c r="Z176" s="82">
        <f>IF(Consultas!AA176='Parâmetros'!$E$1,-15,1)</f>
        <v>1</v>
      </c>
      <c r="AA176" s="147" t="s">
        <v>140</v>
      </c>
      <c r="AB176" s="82">
        <f>IF(E176="NA","NA",IF(E176&gt;'Parâmetros'!$A$9,8,IF(E176&gt;'Parâmetros'!$A$8,4,IF(E176&gt;'Parâmetros'!$A$7,0,-6))))</f>
        <v>4</v>
      </c>
      <c r="AC176" s="82">
        <f>IF(Consultas!AC176='Parâmetros'!$E$1,0,5)</f>
        <v>5</v>
      </c>
      <c r="AD176" s="82">
        <f>IF(Consultas!AH176='Parâmetros'!$D$1,-10,5)</f>
        <v>5</v>
      </c>
      <c r="AE176" s="82">
        <f>IF(Consultas!AI176&gt;(Consultas!F176*2),-10,0)</f>
        <v>0</v>
      </c>
      <c r="AF176" s="82">
        <f>IF(Consultas!AD176&gt;1,(IF(Consultas!AI176&gt;(Consultas!AD176),-20,4)))</f>
        <v>4</v>
      </c>
      <c r="AG176" s="82">
        <f>IF(Consultas!AG176='Parâmetros'!$E$1,0,-6)</f>
        <v>0</v>
      </c>
      <c r="AH176" s="82">
        <f>IF(Consultas!AF176='Parâmetros'!$E$1,1,-5)</f>
        <v>1</v>
      </c>
      <c r="AI176" s="82">
        <f>IF(Consultas!AJ176&gt;700,8,IF(Consultas!AJ176&gt;500,4,IF(Consultas!AJ176&gt;200,-4,IF(Consultas!AJ176&gt;1,-15,-20))))</f>
        <v>4</v>
      </c>
      <c r="AJ176" s="82">
        <f>IF(Consultas!AD176='Parâmetros'!$E$10,0,IF(Consultas!AD176&gt;'Parâmetros'!$A$30,12,IF(Consultas!AD176&gt;'Parâmetros'!$A$31,6,IF(Consultas!AD176&gt;'Parâmetros'!$A$32,0,IF(Consultas!AD176&gt;'Parâmetros'!$A$33,0,IF(Consultas!AD176&gt;'Parâmetros'!$A$34,-3,IF(Consultas!AD176&gt;'Parâmetros'!$A$35,-7,-1)))))))</f>
        <v>12</v>
      </c>
      <c r="AK176" s="82">
        <f>IF(Consultas!AO176='Parâmetros'!$D$1,3,-3)</f>
        <v>-3</v>
      </c>
      <c r="AL176" s="82">
        <f>IF(Consultas!AP176='Parâmetros'!$D$1,5,-3)</f>
        <v>-3</v>
      </c>
      <c r="AM176" s="82">
        <f>IF(Consultas!AL176="N",-6,0)</f>
        <v>0</v>
      </c>
      <c r="AN176" s="82">
        <f>IF(Consultas!AM176="N",-10,0)</f>
        <v>0</v>
      </c>
      <c r="AO176" s="82">
        <f>IF(Consultas!AN176="S",4,-2)</f>
        <v>-2</v>
      </c>
      <c r="AP176" s="39"/>
      <c r="AQ176" s="165">
        <f>IF(Consultas!F176&gt;1,(SUM(F176:AO176)),"N/A")</f>
        <v>30</v>
      </c>
      <c r="AR176" s="78" t="str">
        <f>IF((Consultas!AD176&gt;'Parâmetros'!$A$31),"X",AJ176+Y176+V176+AC176)</f>
        <v>X</v>
      </c>
      <c r="AS176" s="78" t="str">
        <f>IF((Consultas!AD176&gt;'Parâmetros'!$A$31),"X",(H176+I176+J176+Q176+T176+Y176+Z176+AJ176+AN176))</f>
        <v>X</v>
      </c>
      <c r="AT176" s="78">
        <f>IF((Consultas!AD176&lt;'Parâmetros'!$A$31),"X",(AD176+AC176+AB176))</f>
        <v>14</v>
      </c>
      <c r="AU176" s="78">
        <f t="shared" si="1"/>
        <v>14</v>
      </c>
      <c r="AV176" s="82" t="str">
        <f>IF(AQ176="N/A","N/A",IF(AQ176&gt;5,'Parâmetros'!$A$15,(IF(AU176=AR176,'Parâmetros'!$A$17,IF(AU176=AS176,'Parâmetros'!$A$16,'Parâmetros'!$A$14)))))</f>
        <v>SEM-RISCO</v>
      </c>
      <c r="AW176" s="86" t="str">
        <f>IF(AQ176="N/A","N/A",IF(AV176='Parâmetros'!$A$15,'Parâmetros'!$C$15,(IF(AV176='Parâmetros'!$A$17,'Parâmetros'!$C$17,IF(AV176='Parâmetros'!$A$16,'Parâmetros'!$C$16,IF(AV176='Parâmetros'!$A$14,'Parâmetros'!$C$12))))))</f>
        <v>LIBERADO</v>
      </c>
      <c r="AX176" s="82" t="str">
        <f>IF(Consultas!F176&gt;1,(IF(Consultas!F176&gt;5000,"SOLICITAR PED COMPRA","N/A")))</f>
        <v>SOLICITAR PED COMPRA</v>
      </c>
      <c r="AY176" s="167" t="str">
        <f>IF(AND(Consultas!M176&lt;&gt;"S", Consultas!H176="S"), "CHECAGEM REVERSA", "N/A")</f>
        <v>N/A</v>
      </c>
      <c r="AZ176" s="167" t="str">
        <f>IF(Consultas!U176="N","PRECISA CORRIGIR END DIVERGENTE","N/A")</f>
        <v>N/A</v>
      </c>
    </row>
    <row r="177" ht="12.0" customHeight="1">
      <c r="A177" s="39" t="s">
        <v>90</v>
      </c>
      <c r="B177" s="82">
        <f>Consultas!B177</f>
        <v>737</v>
      </c>
      <c r="C177" s="82" t="str">
        <f>Consultas!D177</f>
        <v>Oaco</v>
      </c>
      <c r="D177" s="96" t="str">
        <f>Consultas!E177</f>
        <v>035764</v>
      </c>
      <c r="E177" s="104">
        <f>IF(Consultas!AB177&gt;0,YEAR('Parâmetros'!$B$1)-YEAR(Consultas!AB177),"NA")</f>
        <v>6</v>
      </c>
      <c r="F177" s="82">
        <f>IF(Consultas!F177&gt;'Parâmetros'!$B$2,-8,0)</f>
        <v>0</v>
      </c>
      <c r="G177" s="82">
        <f>IF(Consultas!H177='Parâmetros'!$E$1,100,0)</f>
        <v>0</v>
      </c>
      <c r="H177" s="82">
        <f>IF(Consultas!I177='Parâmetros'!$E$1,-4,12)</f>
        <v>-4</v>
      </c>
      <c r="I177" s="82">
        <f>IF(Consultas!J177='Parâmetros'!$E$1,1,-13)</f>
        <v>1</v>
      </c>
      <c r="J177" s="82">
        <f>IF(Consultas!K177='Parâmetros'!$E$1,2,-5)</f>
        <v>2</v>
      </c>
      <c r="K177" s="82" t="str">
        <f>IF(Consultas!L177='Parâmetros'!$D$1,"SOLIC CONTRATO DE ENTREGA","N/A")</f>
        <v>N/A</v>
      </c>
      <c r="L177" s="82">
        <f>IF(Consultas!R177='Parâmetros'!$E$1,1,-3)</f>
        <v>1</v>
      </c>
      <c r="M177" s="82">
        <f>IF(Consultas!S177&gt;1,(IF(Consultas!S177='Parâmetros'!$E$1,-3,9)))</f>
        <v>9</v>
      </c>
      <c r="N177" s="82">
        <f>IF(Consultas!T177="S",23,0)</f>
        <v>23</v>
      </c>
      <c r="O177" s="82">
        <f>IF(Consultas!U177='Parâmetros'!$E$1,-3,3)</f>
        <v>3</v>
      </c>
      <c r="P177" s="82">
        <f>IF(Consultas!V177='Parâmetros'!$E$1,-100,2)</f>
        <v>2</v>
      </c>
      <c r="Q177" s="82">
        <f>IF(Consultas!M177='Parâmetros'!$D$1,2,-9)</f>
        <v>2</v>
      </c>
      <c r="R177" s="82">
        <f>IF(Consultas!N177="RJ",-12,0)</f>
        <v>0</v>
      </c>
      <c r="S177" s="82">
        <f>IF(Consultas!O177="-",-3,IF(Consultas!O177=0,-6,IF(Consultas!O177=5,0,IF(Consultas!O177=10,6))))</f>
        <v>-6</v>
      </c>
      <c r="T177" s="82">
        <f>IF(Consultas!M177="S",0,(IF(Consultas!P177="S",6,0)))</f>
        <v>0</v>
      </c>
      <c r="U177" s="82">
        <f>IF(Consultas!Q177&gt;97,9,IF(Consultas!Q177&gt;75,0,-7))</f>
        <v>9</v>
      </c>
      <c r="V177" s="82">
        <f>IF(Consultas!W177='Parâmetros'!$E$1,1,-5)</f>
        <v>1</v>
      </c>
      <c r="W177" s="82">
        <f>IF(Consultas!X177="S",3,-3)</f>
        <v>3</v>
      </c>
      <c r="X177" s="82">
        <f>IF(Consultas!Y177="S",0,-7)</f>
        <v>0</v>
      </c>
      <c r="Y177" s="82">
        <f>IF(Consultas!Z177='Parâmetros'!$E$1,2,-8)</f>
        <v>2</v>
      </c>
      <c r="Z177" s="82">
        <f>IF(Consultas!AA177='Parâmetros'!$E$1,-15,1)</f>
        <v>1</v>
      </c>
      <c r="AA177" s="147" t="s">
        <v>140</v>
      </c>
      <c r="AB177" s="82">
        <f>IF(E177="NA","NA",IF(E177&gt;'Parâmetros'!$A$9,8,IF(E177&gt;'Parâmetros'!$A$8,4,IF(E177&gt;'Parâmetros'!$A$7,0,-6))))</f>
        <v>0</v>
      </c>
      <c r="AC177" s="82">
        <f>IF(Consultas!AC177='Parâmetros'!$E$1,0,5)</f>
        <v>0</v>
      </c>
      <c r="AD177" s="82">
        <f>IF(Consultas!AH177='Parâmetros'!$D$1,-10,5)</f>
        <v>-10</v>
      </c>
      <c r="AE177" s="82">
        <f>IF(Consultas!AI177&gt;(Consultas!F177*2),-10,0)</f>
        <v>0</v>
      </c>
      <c r="AF177" s="82">
        <f>IF(Consultas!AD177&gt;1,(IF(Consultas!AI177&gt;(Consultas!AD177),-20,4)))</f>
        <v>4</v>
      </c>
      <c r="AG177" s="82">
        <f>IF(Consultas!AG177='Parâmetros'!$E$1,0,-6)</f>
        <v>0</v>
      </c>
      <c r="AH177" s="82">
        <f>IF(Consultas!AF177='Parâmetros'!$E$1,1,-5)</f>
        <v>1</v>
      </c>
      <c r="AI177" s="82">
        <f>IF(Consultas!AJ177&gt;700,8,IF(Consultas!AJ177&gt;500,4,IF(Consultas!AJ177&gt;200,-4,IF(Consultas!AJ177&gt;1,-15,-20))))</f>
        <v>8</v>
      </c>
      <c r="AJ177" s="82">
        <f>IF(Consultas!AD177='Parâmetros'!$E$10,0,IF(Consultas!AD177&gt;'Parâmetros'!$A$30,12,IF(Consultas!AD177&gt;'Parâmetros'!$A$31,6,IF(Consultas!AD177&gt;'Parâmetros'!$A$32,0,IF(Consultas!AD177&gt;'Parâmetros'!$A$33,0,IF(Consultas!AD177&gt;'Parâmetros'!$A$34,-3,IF(Consultas!AD177&gt;'Parâmetros'!$A$35,-7,-1)))))))</f>
        <v>12</v>
      </c>
      <c r="AK177" s="82">
        <f>IF(Consultas!AO177='Parâmetros'!$D$1,3,-3)</f>
        <v>-3</v>
      </c>
      <c r="AL177" s="82">
        <f>IF(Consultas!AP177='Parâmetros'!$D$1,5,-3)</f>
        <v>-3</v>
      </c>
      <c r="AM177" s="82">
        <f>IF(Consultas!AL177="N",-6,0)</f>
        <v>0</v>
      </c>
      <c r="AN177" s="82">
        <f>IF(Consultas!AM177="N",-10,0)</f>
        <v>0</v>
      </c>
      <c r="AO177" s="82">
        <f>IF(Consultas!AN177="S",4,-2)</f>
        <v>-2</v>
      </c>
      <c r="AP177" s="39"/>
      <c r="AQ177" s="165">
        <f>IF(Consultas!F177&gt;1,(SUM(F177:AO177)),"N/A")</f>
        <v>56</v>
      </c>
      <c r="AR177" s="78" t="str">
        <f>IF((Consultas!AD177&gt;'Parâmetros'!$A$31),"X",AJ177+Y177+V177+AC177)</f>
        <v>X</v>
      </c>
      <c r="AS177" s="78" t="str">
        <f>IF((Consultas!AD177&gt;'Parâmetros'!$A$31),"X",(H177+I177+J177+Q177+T177+Y177+Z177+AJ177+AN177))</f>
        <v>X</v>
      </c>
      <c r="AT177" s="78">
        <f>IF((Consultas!AD177&lt;'Parâmetros'!$A$31),"X",(AD177+AC177+AB177))</f>
        <v>-10</v>
      </c>
      <c r="AU177" s="78">
        <f t="shared" si="1"/>
        <v>-10</v>
      </c>
      <c r="AV177" s="82" t="str">
        <f>IF(AQ177="N/A","N/A",IF(AQ177&gt;5,'Parâmetros'!$A$15,(IF(AU177=AR177,'Parâmetros'!$A$17,IF(AU177=AS177,'Parâmetros'!$A$16,'Parâmetros'!$A$14)))))</f>
        <v>SEM-RISCO</v>
      </c>
      <c r="AW177" s="86" t="str">
        <f>IF(AQ177="N/A","N/A",IF(AV177='Parâmetros'!$A$15,'Parâmetros'!$C$15,(IF(AV177='Parâmetros'!$A$17,'Parâmetros'!$C$17,IF(AV177='Parâmetros'!$A$16,'Parâmetros'!$C$16,IF(AV177='Parâmetros'!$A$14,'Parâmetros'!$C$12))))))</f>
        <v>LIBERADO</v>
      </c>
      <c r="AX177" s="82" t="str">
        <f>IF(Consultas!F177&gt;1,(IF(Consultas!F177&gt;5000,"SOLICITAR PED COMPRA","N/A")))</f>
        <v>N/A</v>
      </c>
      <c r="AY177" s="167" t="str">
        <f>IF(AND(Consultas!M177&lt;&gt;"S", Consultas!H177="S"), "CHECAGEM REVERSA", "N/A")</f>
        <v>N/A</v>
      </c>
      <c r="AZ177" s="167" t="str">
        <f>IF(Consultas!U177="N","PRECISA CORRIGIR END DIVERGENTE","N/A")</f>
        <v>N/A</v>
      </c>
    </row>
    <row r="178" ht="12.0" customHeight="1">
      <c r="A178" s="39" t="s">
        <v>90</v>
      </c>
      <c r="B178" s="82">
        <f>Consultas!B178</f>
        <v>343</v>
      </c>
      <c r="C178" s="82" t="str">
        <f>Consultas!D178</f>
        <v>Metalpleno</v>
      </c>
      <c r="D178" s="96" t="str">
        <f>Consultas!E178</f>
        <v>143634</v>
      </c>
      <c r="E178" s="104">
        <f>IF(Consultas!AB178&gt;0,YEAR('Parâmetros'!$B$1)-YEAR(Consultas!AB178),"NA")</f>
        <v>41</v>
      </c>
      <c r="F178" s="82">
        <f>IF(Consultas!F178&gt;'Parâmetros'!$B$2,-8,0)</f>
        <v>0</v>
      </c>
      <c r="G178" s="82">
        <f>IF(Consultas!H178='Parâmetros'!$E$1,100,0)</f>
        <v>0</v>
      </c>
      <c r="H178" s="82">
        <f>IF(Consultas!I178='Parâmetros'!$E$1,-4,12)</f>
        <v>-4</v>
      </c>
      <c r="I178" s="82">
        <f>IF(Consultas!J178='Parâmetros'!$E$1,1,-13)</f>
        <v>1</v>
      </c>
      <c r="J178" s="82">
        <f>IF(Consultas!K178='Parâmetros'!$E$1,2,-5)</f>
        <v>2</v>
      </c>
      <c r="K178" s="82" t="str">
        <f>IF(Consultas!L178='Parâmetros'!$D$1,"SOLIC CONTRATO DE ENTREGA","N/A")</f>
        <v>SOLIC CONTRATO DE ENTREGA</v>
      </c>
      <c r="L178" s="82">
        <f>IF(Consultas!R178='Parâmetros'!$E$1,1,-3)</f>
        <v>1</v>
      </c>
      <c r="M178" s="82">
        <f>IF(Consultas!S178&gt;1,(IF(Consultas!S178='Parâmetros'!$E$1,-3,9)))</f>
        <v>9</v>
      </c>
      <c r="N178" s="82">
        <f>IF(Consultas!T178="S",23,0)</f>
        <v>0</v>
      </c>
      <c r="O178" s="82">
        <f>IF(Consultas!U178='Parâmetros'!$E$1,-3,3)</f>
        <v>3</v>
      </c>
      <c r="P178" s="82">
        <f>IF(Consultas!V178='Parâmetros'!$E$1,-100,2)</f>
        <v>2</v>
      </c>
      <c r="Q178" s="82">
        <f>IF(Consultas!M178='Parâmetros'!$D$1,2,-9)</f>
        <v>2</v>
      </c>
      <c r="R178" s="82">
        <f>IF(Consultas!N178="RJ",-12,0)</f>
        <v>0</v>
      </c>
      <c r="S178" s="82">
        <f>IF(Consultas!O178="-",-3,IF(Consultas!O178=0,-6,IF(Consultas!O178=5,0,IF(Consultas!O178=10,6))))</f>
        <v>0</v>
      </c>
      <c r="T178" s="82">
        <f>IF(Consultas!M178="S",0,(IF(Consultas!P178="S",6,0)))</f>
        <v>0</v>
      </c>
      <c r="U178" s="82">
        <f>IF(Consultas!Q178&gt;97,9,IF(Consultas!Q178&gt;75,0,-7))</f>
        <v>9</v>
      </c>
      <c r="V178" s="82">
        <f>IF(Consultas!W178='Parâmetros'!$E$1,1,-5)</f>
        <v>1</v>
      </c>
      <c r="W178" s="82">
        <f>IF(Consultas!X178="S",3,-3)</f>
        <v>3</v>
      </c>
      <c r="X178" s="82">
        <f>IF(Consultas!Y178="S",0,-7)</f>
        <v>-7</v>
      </c>
      <c r="Y178" s="82">
        <f>IF(Consultas!Z178='Parâmetros'!$E$1,2,-8)</f>
        <v>2</v>
      </c>
      <c r="Z178" s="82">
        <f>IF(Consultas!AA178='Parâmetros'!$E$1,-15,1)</f>
        <v>1</v>
      </c>
      <c r="AA178" s="147" t="s">
        <v>140</v>
      </c>
      <c r="AB178" s="82">
        <f>IF(E178="NA","NA",IF(E178&gt;'Parâmetros'!$A$9,8,IF(E178&gt;'Parâmetros'!$A$8,4,IF(E178&gt;'Parâmetros'!$A$7,0,-6))))</f>
        <v>8</v>
      </c>
      <c r="AC178" s="82">
        <f>IF(Consultas!AC178='Parâmetros'!$E$1,0,5)</f>
        <v>5</v>
      </c>
      <c r="AD178" s="82">
        <f>IF(Consultas!AH178='Parâmetros'!$D$1,-10,5)</f>
        <v>-10</v>
      </c>
      <c r="AE178" s="82">
        <f>IF(Consultas!AI178&gt;(Consultas!F178*2),-10,0)</f>
        <v>0</v>
      </c>
      <c r="AF178" s="82">
        <f>IF(Consultas!AD178&gt;1,(IF(Consultas!AI178&gt;(Consultas!AD178),-20,4)))</f>
        <v>4</v>
      </c>
      <c r="AG178" s="82">
        <f>IF(Consultas!AG178='Parâmetros'!$E$1,0,-6)</f>
        <v>0</v>
      </c>
      <c r="AH178" s="82">
        <f>IF(Consultas!AF178='Parâmetros'!$E$1,1,-5)</f>
        <v>-5</v>
      </c>
      <c r="AI178" s="82">
        <f>IF(Consultas!AJ178&gt;700,8,IF(Consultas!AJ178&gt;500,4,IF(Consultas!AJ178&gt;200,-4,IF(Consultas!AJ178&gt;1,-15,-20))))</f>
        <v>8</v>
      </c>
      <c r="AJ178" s="82">
        <f>IF(Consultas!AD178='Parâmetros'!$E$10,0,IF(Consultas!AD178&gt;'Parâmetros'!$A$30,12,IF(Consultas!AD178&gt;'Parâmetros'!$A$31,6,IF(Consultas!AD178&gt;'Parâmetros'!$A$32,0,IF(Consultas!AD178&gt;'Parâmetros'!$A$33,0,IF(Consultas!AD178&gt;'Parâmetros'!$A$34,-3,IF(Consultas!AD178&gt;'Parâmetros'!$A$35,-7,-1)))))))</f>
        <v>12</v>
      </c>
      <c r="AK178" s="82">
        <f>IF(Consultas!AO178='Parâmetros'!$D$1,3,-3)</f>
        <v>-3</v>
      </c>
      <c r="AL178" s="82">
        <f>IF(Consultas!AP178='Parâmetros'!$D$1,5,-3)</f>
        <v>-3</v>
      </c>
      <c r="AM178" s="82">
        <f>IF(Consultas!AL178="N",-6,0)</f>
        <v>0</v>
      </c>
      <c r="AN178" s="82">
        <f>IF(Consultas!AM178="N",-10,0)</f>
        <v>0</v>
      </c>
      <c r="AO178" s="82">
        <f>IF(Consultas!AN178="S",4,-2)</f>
        <v>-2</v>
      </c>
      <c r="AP178" s="39"/>
      <c r="AQ178" s="165">
        <f>IF(Consultas!F178&gt;1,(SUM(F178:AO178)),"N/A")</f>
        <v>39</v>
      </c>
      <c r="AR178" s="78" t="str">
        <f>IF((Consultas!AD178&gt;'Parâmetros'!$A$31),"X",AJ178+Y178+V178+AC178)</f>
        <v>X</v>
      </c>
      <c r="AS178" s="78" t="str">
        <f>IF((Consultas!AD178&gt;'Parâmetros'!$A$31),"X",(H178+I178+J178+Q178+T178+Y178+Z178+AJ178+AN178))</f>
        <v>X</v>
      </c>
      <c r="AT178" s="78">
        <f>IF((Consultas!AD178&lt;'Parâmetros'!$A$31),"X",(AD178+AC178+AB178))</f>
        <v>3</v>
      </c>
      <c r="AU178" s="78">
        <f t="shared" si="1"/>
        <v>3</v>
      </c>
      <c r="AV178" s="82" t="str">
        <f>IF(AQ178="N/A","N/A",IF(AQ178&gt;5,'Parâmetros'!$A$15,(IF(AU178=AR178,'Parâmetros'!$A$17,IF(AU178=AS178,'Parâmetros'!$A$16,'Parâmetros'!$A$14)))))</f>
        <v>SEM-RISCO</v>
      </c>
      <c r="AW178" s="86" t="str">
        <f>IF(AQ178="N/A","N/A",IF(AV178='Parâmetros'!$A$15,'Parâmetros'!$C$15,(IF(AV178='Parâmetros'!$A$17,'Parâmetros'!$C$17,IF(AV178='Parâmetros'!$A$16,'Parâmetros'!$C$16,IF(AV178='Parâmetros'!$A$14,'Parâmetros'!$C$12))))))</f>
        <v>LIBERADO</v>
      </c>
      <c r="AX178" s="82" t="str">
        <f>IF(Consultas!F178&gt;1,(IF(Consultas!F178&gt;5000,"SOLICITAR PED COMPRA","N/A")))</f>
        <v>SOLICITAR PED COMPRA</v>
      </c>
      <c r="AY178" s="167" t="str">
        <f>IF(AND(Consultas!M178&lt;&gt;"S", Consultas!H178="S"), "CHECAGEM REVERSA", "N/A")</f>
        <v>N/A</v>
      </c>
      <c r="AZ178" s="167" t="str">
        <f>IF(Consultas!U178="N","PRECISA CORRIGIR END DIVERGENTE","N/A")</f>
        <v>N/A</v>
      </c>
    </row>
    <row r="179" ht="12.0" customHeight="1">
      <c r="A179" s="39" t="s">
        <v>90</v>
      </c>
      <c r="B179" s="82">
        <f>Consultas!B179</f>
        <v>745</v>
      </c>
      <c r="C179" s="82" t="str">
        <f>Consultas!D179</f>
        <v>Oaco</v>
      </c>
      <c r="D179" s="96" t="str">
        <f>Consultas!E179</f>
        <v>035471</v>
      </c>
      <c r="E179" s="104">
        <f>IF(Consultas!AB179&gt;0,YEAR('Parâmetros'!$B$1)-YEAR(Consultas!AB179),"NA")</f>
        <v>9</v>
      </c>
      <c r="F179" s="82">
        <f>IF(Consultas!F179&gt;'Parâmetros'!$B$2,-8,0)</f>
        <v>0</v>
      </c>
      <c r="G179" s="82">
        <f>IF(Consultas!H179='Parâmetros'!$E$1,100,0)</f>
        <v>0</v>
      </c>
      <c r="H179" s="82">
        <f>IF(Consultas!I179='Parâmetros'!$E$1,-4,12)</f>
        <v>-4</v>
      </c>
      <c r="I179" s="82">
        <f>IF(Consultas!J179='Parâmetros'!$E$1,1,-13)</f>
        <v>1</v>
      </c>
      <c r="J179" s="82">
        <f>IF(Consultas!K179='Parâmetros'!$E$1,2,-5)</f>
        <v>2</v>
      </c>
      <c r="K179" s="82" t="str">
        <f>IF(Consultas!L179='Parâmetros'!$D$1,"SOLIC CONTRATO DE ENTREGA","N/A")</f>
        <v>SOLIC CONTRATO DE ENTREGA</v>
      </c>
      <c r="L179" s="82">
        <f>IF(Consultas!R179='Parâmetros'!$E$1,1,-3)</f>
        <v>1</v>
      </c>
      <c r="M179" s="82">
        <f>IF(Consultas!S179&gt;1,(IF(Consultas!S179='Parâmetros'!$E$1,-3,9)))</f>
        <v>9</v>
      </c>
      <c r="N179" s="82">
        <f>IF(Consultas!T179="S",23,0)</f>
        <v>23</v>
      </c>
      <c r="O179" s="82">
        <f>IF(Consultas!U179='Parâmetros'!$E$1,-3,3)</f>
        <v>3</v>
      </c>
      <c r="P179" s="82">
        <f>IF(Consultas!V179='Parâmetros'!$E$1,-100,2)</f>
        <v>2</v>
      </c>
      <c r="Q179" s="82">
        <f>IF(Consultas!M179='Parâmetros'!$D$1,2,-9)</f>
        <v>2</v>
      </c>
      <c r="R179" s="82">
        <f>IF(Consultas!N179="RJ",-12,0)</f>
        <v>0</v>
      </c>
      <c r="S179" s="82">
        <f>IF(Consultas!O179="-",-3,IF(Consultas!O179=0,-6,IF(Consultas!O179=5,0,IF(Consultas!O179=10,6))))</f>
        <v>0</v>
      </c>
      <c r="T179" s="82">
        <f>IF(Consultas!M179="S",0,(IF(Consultas!P179="S",6,0)))</f>
        <v>0</v>
      </c>
      <c r="U179" s="82">
        <f>IF(Consultas!Q179&gt;97,9,IF(Consultas!Q179&gt;75,0,-7))</f>
        <v>9</v>
      </c>
      <c r="V179" s="82">
        <f>IF(Consultas!W179='Parâmetros'!$E$1,1,-5)</f>
        <v>1</v>
      </c>
      <c r="W179" s="82">
        <f>IF(Consultas!X179="S",3,-3)</f>
        <v>3</v>
      </c>
      <c r="X179" s="82">
        <f>IF(Consultas!Y179="S",0,-7)</f>
        <v>0</v>
      </c>
      <c r="Y179" s="82">
        <f>IF(Consultas!Z179='Parâmetros'!$E$1,2,-8)</f>
        <v>2</v>
      </c>
      <c r="Z179" s="82">
        <f>IF(Consultas!AA179='Parâmetros'!$E$1,-15,1)</f>
        <v>1</v>
      </c>
      <c r="AA179" s="147" t="s">
        <v>140</v>
      </c>
      <c r="AB179" s="82">
        <f>IF(E179="NA","NA",IF(E179&gt;'Parâmetros'!$A$9,8,IF(E179&gt;'Parâmetros'!$A$8,4,IF(E179&gt;'Parâmetros'!$A$7,0,-6))))</f>
        <v>0</v>
      </c>
      <c r="AC179" s="82">
        <f>IF(Consultas!AC179='Parâmetros'!$E$1,0,5)</f>
        <v>5</v>
      </c>
      <c r="AD179" s="82">
        <f>IF(Consultas!AH179='Parâmetros'!$D$1,-10,5)</f>
        <v>5</v>
      </c>
      <c r="AE179" s="82">
        <f>IF(Consultas!AI179&gt;(Consultas!F179*2),-10,0)</f>
        <v>0</v>
      </c>
      <c r="AF179" s="82">
        <f>IF(Consultas!AD179&gt;1,(IF(Consultas!AI179&gt;(Consultas!AD179),-20,4)))</f>
        <v>4</v>
      </c>
      <c r="AG179" s="82">
        <f>IF(Consultas!AG179='Parâmetros'!$E$1,0,-6)</f>
        <v>0</v>
      </c>
      <c r="AH179" s="82">
        <f>IF(Consultas!AF179='Parâmetros'!$E$1,1,-5)</f>
        <v>-5</v>
      </c>
      <c r="AI179" s="82">
        <f>IF(Consultas!AJ179&gt;700,8,IF(Consultas!AJ179&gt;500,4,IF(Consultas!AJ179&gt;200,-4,IF(Consultas!AJ179&gt;1,-15,-20))))</f>
        <v>8</v>
      </c>
      <c r="AJ179" s="82">
        <f>IF(Consultas!AD179='Parâmetros'!$E$10,0,IF(Consultas!AD179&gt;'Parâmetros'!$A$30,12,IF(Consultas!AD179&gt;'Parâmetros'!$A$31,6,IF(Consultas!AD179&gt;'Parâmetros'!$A$32,0,IF(Consultas!AD179&gt;'Parâmetros'!$A$33,0,IF(Consultas!AD179&gt;'Parâmetros'!$A$34,-3,IF(Consultas!AD179&gt;'Parâmetros'!$A$35,-7,-1)))))))</f>
        <v>12</v>
      </c>
      <c r="AK179" s="82">
        <f>IF(Consultas!AO179='Parâmetros'!$D$1,3,-3)</f>
        <v>-3</v>
      </c>
      <c r="AL179" s="82">
        <f>IF(Consultas!AP179='Parâmetros'!$D$1,5,-3)</f>
        <v>-3</v>
      </c>
      <c r="AM179" s="82">
        <f>IF(Consultas!AL179="N",-6,0)</f>
        <v>0</v>
      </c>
      <c r="AN179" s="82">
        <f>IF(Consultas!AM179="N",-10,0)</f>
        <v>0</v>
      </c>
      <c r="AO179" s="82">
        <f>IF(Consultas!AN179="S",4,-2)</f>
        <v>-2</v>
      </c>
      <c r="AP179" s="39"/>
      <c r="AQ179" s="165">
        <f>IF(Consultas!F179&gt;1,(SUM(F179:AO179)),"N/A")</f>
        <v>76</v>
      </c>
      <c r="AR179" s="78" t="str">
        <f>IF((Consultas!AD179&gt;'Parâmetros'!$A$31),"X",AJ179+Y179+V179+AC179)</f>
        <v>X</v>
      </c>
      <c r="AS179" s="78" t="str">
        <f>IF((Consultas!AD179&gt;'Parâmetros'!$A$31),"X",(H179+I179+J179+Q179+T179+Y179+Z179+AJ179+AN179))</f>
        <v>X</v>
      </c>
      <c r="AT179" s="78">
        <f>IF((Consultas!AD179&lt;'Parâmetros'!$A$31),"X",(AD179+AC179+AB179))</f>
        <v>10</v>
      </c>
      <c r="AU179" s="78">
        <f t="shared" si="1"/>
        <v>10</v>
      </c>
      <c r="AV179" s="82" t="str">
        <f>IF(AQ179="N/A","N/A",IF(AQ179&gt;5,'Parâmetros'!$A$15,(IF(AU179=AR179,'Parâmetros'!$A$17,IF(AU179=AS179,'Parâmetros'!$A$16,'Parâmetros'!$A$14)))))</f>
        <v>SEM-RISCO</v>
      </c>
      <c r="AW179" s="86" t="str">
        <f>IF(AQ179="N/A","N/A",IF(AV179='Parâmetros'!$A$15,'Parâmetros'!$C$15,(IF(AV179='Parâmetros'!$A$17,'Parâmetros'!$C$17,IF(AV179='Parâmetros'!$A$16,'Parâmetros'!$C$16,IF(AV179='Parâmetros'!$A$14,'Parâmetros'!$C$12))))))</f>
        <v>LIBERADO</v>
      </c>
      <c r="AX179" s="82" t="str">
        <f>IF(Consultas!F179&gt;1,(IF(Consultas!F179&gt;5000,"SOLICITAR PED COMPRA","N/A")))</f>
        <v>N/A</v>
      </c>
      <c r="AY179" s="167" t="str">
        <f>IF(AND(Consultas!M179&lt;&gt;"S", Consultas!H179="S"), "CHECAGEM REVERSA", "N/A")</f>
        <v>N/A</v>
      </c>
      <c r="AZ179" s="167" t="str">
        <f>IF(Consultas!U179="N","PRECISA CORRIGIR END DIVERGENTE","N/A")</f>
        <v>N/A</v>
      </c>
    </row>
    <row r="180" ht="12.0" customHeight="1">
      <c r="A180" s="39" t="s">
        <v>90</v>
      </c>
      <c r="B180" s="82">
        <f>Consultas!B180</f>
        <v>345</v>
      </c>
      <c r="C180" s="82" t="str">
        <f>Consultas!D180</f>
        <v>Metalpleno</v>
      </c>
      <c r="D180" s="96" t="str">
        <f>Consultas!E180</f>
        <v>144690</v>
      </c>
      <c r="E180" s="104">
        <f>IF(Consultas!AB180&gt;0,YEAR('Parâmetros'!$B$1)-YEAR(Consultas!AB180),"NA")</f>
        <v>6</v>
      </c>
      <c r="F180" s="82">
        <f>IF(Consultas!F180&gt;'Parâmetros'!$B$2,-8,0)</f>
        <v>0</v>
      </c>
      <c r="G180" s="82">
        <f>IF(Consultas!H180='Parâmetros'!$E$1,100,0)</f>
        <v>0</v>
      </c>
      <c r="H180" s="82">
        <f>IF(Consultas!I180='Parâmetros'!$E$1,-4,12)</f>
        <v>-4</v>
      </c>
      <c r="I180" s="82">
        <f>IF(Consultas!J180='Parâmetros'!$E$1,1,-13)</f>
        <v>1</v>
      </c>
      <c r="J180" s="82">
        <f>IF(Consultas!K180='Parâmetros'!$E$1,2,-5)</f>
        <v>2</v>
      </c>
      <c r="K180" s="82" t="str">
        <f>IF(Consultas!L180='Parâmetros'!$D$1,"SOLIC CONTRATO DE ENTREGA","N/A")</f>
        <v>N/A</v>
      </c>
      <c r="L180" s="82">
        <f>IF(Consultas!R180='Parâmetros'!$E$1,1,-3)</f>
        <v>1</v>
      </c>
      <c r="M180" s="82">
        <f>IF(Consultas!S180&gt;1,(IF(Consultas!S180='Parâmetros'!$E$1,-3,9)))</f>
        <v>9</v>
      </c>
      <c r="N180" s="82">
        <f>IF(Consultas!T180="S",23,0)</f>
        <v>0</v>
      </c>
      <c r="O180" s="82">
        <f>IF(Consultas!U180='Parâmetros'!$E$1,-3,3)</f>
        <v>3</v>
      </c>
      <c r="P180" s="82">
        <f>IF(Consultas!V180='Parâmetros'!$E$1,-100,2)</f>
        <v>2</v>
      </c>
      <c r="Q180" s="82">
        <f>IF(Consultas!M180='Parâmetros'!$D$1,2,-9)</f>
        <v>2</v>
      </c>
      <c r="R180" s="82">
        <f>IF(Consultas!N180="RJ",-12,0)</f>
        <v>0</v>
      </c>
      <c r="S180" s="82">
        <f>IF(Consultas!O180="-",-3,IF(Consultas!O180=0,-6,IF(Consultas!O180=5,0,IF(Consultas!O180=10,6))))</f>
        <v>-3</v>
      </c>
      <c r="T180" s="82">
        <f>IF(Consultas!M180="S",0,(IF(Consultas!P180="S",6,0)))</f>
        <v>0</v>
      </c>
      <c r="U180" s="82">
        <f>IF(Consultas!Q180&gt;97,9,IF(Consultas!Q180&gt;75,0,-7))</f>
        <v>9</v>
      </c>
      <c r="V180" s="82">
        <f>IF(Consultas!W180='Parâmetros'!$E$1,1,-5)</f>
        <v>1</v>
      </c>
      <c r="W180" s="82">
        <f>IF(Consultas!X180="S",3,-3)</f>
        <v>3</v>
      </c>
      <c r="X180" s="82">
        <f>IF(Consultas!Y180="S",0,-7)</f>
        <v>0</v>
      </c>
      <c r="Y180" s="82">
        <f>IF(Consultas!Z180='Parâmetros'!$E$1,2,-8)</f>
        <v>2</v>
      </c>
      <c r="Z180" s="82">
        <f>IF(Consultas!AA180='Parâmetros'!$E$1,-15,1)</f>
        <v>1</v>
      </c>
      <c r="AA180" s="147" t="s">
        <v>140</v>
      </c>
      <c r="AB180" s="82">
        <f>IF(E180="NA","NA",IF(E180&gt;'Parâmetros'!$A$9,8,IF(E180&gt;'Parâmetros'!$A$8,4,IF(E180&gt;'Parâmetros'!$A$7,0,-6))))</f>
        <v>0</v>
      </c>
      <c r="AC180" s="82">
        <f>IF(Consultas!AC180='Parâmetros'!$E$1,0,5)</f>
        <v>0</v>
      </c>
      <c r="AD180" s="82">
        <f>IF(Consultas!AH180='Parâmetros'!$D$1,-10,5)</f>
        <v>5</v>
      </c>
      <c r="AE180" s="82">
        <f>IF(Consultas!AI180&gt;(Consultas!F180*2),-10,0)</f>
        <v>0</v>
      </c>
      <c r="AF180" s="82">
        <f>IF(Consultas!AD180&gt;1,(IF(Consultas!AI180&gt;(Consultas!AD180),-20,4)))</f>
        <v>4</v>
      </c>
      <c r="AG180" s="82">
        <f>IF(Consultas!AG180='Parâmetros'!$E$1,0,-6)</f>
        <v>0</v>
      </c>
      <c r="AH180" s="82">
        <f>IF(Consultas!AF180='Parâmetros'!$E$1,1,-5)</f>
        <v>1</v>
      </c>
      <c r="AI180" s="82">
        <f>IF(Consultas!AJ180&gt;700,8,IF(Consultas!AJ180&gt;500,4,IF(Consultas!AJ180&gt;200,-4,IF(Consultas!AJ180&gt;1,-15,-20))))</f>
        <v>8</v>
      </c>
      <c r="AJ180" s="82">
        <f>IF(Consultas!AD180='Parâmetros'!$E$10,0,IF(Consultas!AD180&gt;'Parâmetros'!$A$30,12,IF(Consultas!AD180&gt;'Parâmetros'!$A$31,6,IF(Consultas!AD180&gt;'Parâmetros'!$A$32,0,IF(Consultas!AD180&gt;'Parâmetros'!$A$33,0,IF(Consultas!AD180&gt;'Parâmetros'!$A$34,-3,IF(Consultas!AD180&gt;'Parâmetros'!$A$35,-7,-1)))))))</f>
        <v>12</v>
      </c>
      <c r="AK180" s="82">
        <f>IF(Consultas!AO180='Parâmetros'!$D$1,3,-3)</f>
        <v>-3</v>
      </c>
      <c r="AL180" s="82">
        <f>IF(Consultas!AP180='Parâmetros'!$D$1,5,-3)</f>
        <v>-3</v>
      </c>
      <c r="AM180" s="82">
        <f>IF(Consultas!AL180="N",-6,0)</f>
        <v>0</v>
      </c>
      <c r="AN180" s="82">
        <f>IF(Consultas!AM180="N",-10,0)</f>
        <v>0</v>
      </c>
      <c r="AO180" s="82">
        <f>IF(Consultas!AN180="S",4,-2)</f>
        <v>-2</v>
      </c>
      <c r="AP180" s="39"/>
      <c r="AQ180" s="165">
        <f>IF(Consultas!F180&gt;1,(SUM(F180:AO180)),"N/A")</f>
        <v>51</v>
      </c>
      <c r="AR180" s="78" t="str">
        <f>IF((Consultas!AD180&gt;'Parâmetros'!$A$31),"X",AJ180+Y180+V180+AC180)</f>
        <v>X</v>
      </c>
      <c r="AS180" s="78" t="str">
        <f>IF((Consultas!AD180&gt;'Parâmetros'!$A$31),"X",(H180+I180+J180+Q180+T180+Y180+Z180+AJ180+AN180))</f>
        <v>X</v>
      </c>
      <c r="AT180" s="78">
        <f>IF((Consultas!AD180&lt;'Parâmetros'!$A$31),"X",(AD180+AC180+AB180))</f>
        <v>5</v>
      </c>
      <c r="AU180" s="78">
        <f t="shared" si="1"/>
        <v>5</v>
      </c>
      <c r="AV180" s="82" t="str">
        <f>IF(AQ180="N/A","N/A",IF(AQ180&gt;5,'Parâmetros'!$A$15,(IF(AU180=AR180,'Parâmetros'!$A$17,IF(AU180=AS180,'Parâmetros'!$A$16,'Parâmetros'!$A$14)))))</f>
        <v>SEM-RISCO</v>
      </c>
      <c r="AW180" s="86" t="str">
        <f>IF(AQ180="N/A","N/A",IF(AV180='Parâmetros'!$A$15,'Parâmetros'!$C$15,(IF(AV180='Parâmetros'!$A$17,'Parâmetros'!$C$17,IF(AV180='Parâmetros'!$A$16,'Parâmetros'!$C$16,IF(AV180='Parâmetros'!$A$14,'Parâmetros'!$C$12))))))</f>
        <v>LIBERADO</v>
      </c>
      <c r="AX180" s="82" t="str">
        <f>IF(Consultas!F180&gt;1,(IF(Consultas!F180&gt;5000,"SOLICITAR PED COMPRA","N/A")))</f>
        <v>N/A</v>
      </c>
      <c r="AY180" s="167" t="str">
        <f>IF(AND(Consultas!M180&lt;&gt;"S", Consultas!H180="S"), "CHECAGEM REVERSA", "N/A")</f>
        <v>N/A</v>
      </c>
      <c r="AZ180" s="167" t="str">
        <f>IF(Consultas!U180="N","PRECISA CORRIGIR END DIVERGENTE","N/A")</f>
        <v>N/A</v>
      </c>
    </row>
    <row r="181" ht="12.0" customHeight="1">
      <c r="A181" s="39" t="s">
        <v>90</v>
      </c>
      <c r="B181" s="82">
        <f>Consultas!B181</f>
        <v>344</v>
      </c>
      <c r="C181" s="82" t="str">
        <f>Consultas!D181</f>
        <v>Metalpleno</v>
      </c>
      <c r="D181" s="96" t="str">
        <f>Consultas!E181</f>
        <v>144750</v>
      </c>
      <c r="E181" s="104">
        <f>IF(Consultas!AB181&gt;0,YEAR('Parâmetros'!$B$1)-YEAR(Consultas!AB181),"NA")</f>
        <v>38</v>
      </c>
      <c r="F181" s="82">
        <f>IF(Consultas!F181&gt;'Parâmetros'!$B$2,-8,0)</f>
        <v>0</v>
      </c>
      <c r="G181" s="82">
        <f>IF(Consultas!H181='Parâmetros'!$E$1,100,0)</f>
        <v>0</v>
      </c>
      <c r="H181" s="82">
        <f>IF(Consultas!I181='Parâmetros'!$E$1,-4,12)</f>
        <v>-4</v>
      </c>
      <c r="I181" s="82">
        <f>IF(Consultas!J181='Parâmetros'!$E$1,1,-13)</f>
        <v>1</v>
      </c>
      <c r="J181" s="82">
        <f>IF(Consultas!K181='Parâmetros'!$E$1,2,-5)</f>
        <v>2</v>
      </c>
      <c r="K181" s="82" t="str">
        <f>IF(Consultas!L181='Parâmetros'!$D$1,"SOLIC CONTRATO DE ENTREGA","N/A")</f>
        <v>SOLIC CONTRATO DE ENTREGA</v>
      </c>
      <c r="L181" s="82">
        <f>IF(Consultas!R181='Parâmetros'!$E$1,1,-3)</f>
        <v>1</v>
      </c>
      <c r="M181" s="82">
        <f>IF(Consultas!S181&gt;1,(IF(Consultas!S181='Parâmetros'!$E$1,-3,9)))</f>
        <v>-3</v>
      </c>
      <c r="N181" s="82">
        <f>IF(Consultas!T181="S",23,0)</f>
        <v>0</v>
      </c>
      <c r="O181" s="82">
        <f>IF(Consultas!U181='Parâmetros'!$E$1,-3,3)</f>
        <v>3</v>
      </c>
      <c r="P181" s="82">
        <f>IF(Consultas!V181='Parâmetros'!$E$1,-100,2)</f>
        <v>2</v>
      </c>
      <c r="Q181" s="82">
        <f>IF(Consultas!M181='Parâmetros'!$D$1,2,-9)</f>
        <v>2</v>
      </c>
      <c r="R181" s="82">
        <f>IF(Consultas!N181="RJ",-12,0)</f>
        <v>0</v>
      </c>
      <c r="S181" s="82">
        <f>IF(Consultas!O181="-",-3,IF(Consultas!O181=0,-6,IF(Consultas!O181=5,0,IF(Consultas!O181=10,6))))</f>
        <v>-3</v>
      </c>
      <c r="T181" s="82">
        <f>IF(Consultas!M181="S",0,(IF(Consultas!P181="S",6,0)))</f>
        <v>0</v>
      </c>
      <c r="U181" s="82">
        <f>IF(Consultas!Q181&gt;97,9,IF(Consultas!Q181&gt;75,0,-7))</f>
        <v>9</v>
      </c>
      <c r="V181" s="82">
        <f>IF(Consultas!W181='Parâmetros'!$E$1,1,-5)</f>
        <v>1</v>
      </c>
      <c r="W181" s="82">
        <f>IF(Consultas!X181="S",3,-3)</f>
        <v>3</v>
      </c>
      <c r="X181" s="82">
        <f>IF(Consultas!Y181="S",0,-7)</f>
        <v>0</v>
      </c>
      <c r="Y181" s="82">
        <f>IF(Consultas!Z181='Parâmetros'!$E$1,2,-8)</f>
        <v>2</v>
      </c>
      <c r="Z181" s="82">
        <f>IF(Consultas!AA181='Parâmetros'!$E$1,-15,1)</f>
        <v>1</v>
      </c>
      <c r="AA181" s="147" t="s">
        <v>140</v>
      </c>
      <c r="AB181" s="82">
        <f>IF(E181="NA","NA",IF(E181&gt;'Parâmetros'!$A$9,8,IF(E181&gt;'Parâmetros'!$A$8,4,IF(E181&gt;'Parâmetros'!$A$7,0,-6))))</f>
        <v>8</v>
      </c>
      <c r="AC181" s="82">
        <f>IF(Consultas!AC181='Parâmetros'!$E$1,0,5)</f>
        <v>5</v>
      </c>
      <c r="AD181" s="82">
        <f>IF(Consultas!AH181='Parâmetros'!$D$1,-10,5)</f>
        <v>-10</v>
      </c>
      <c r="AE181" s="82">
        <f>IF(Consultas!AI181&gt;(Consultas!F181*2),-10,0)</f>
        <v>0</v>
      </c>
      <c r="AF181" s="82">
        <f>IF(Consultas!AD181&gt;1,(IF(Consultas!AI181&gt;(Consultas!AD181),-20,4)))</f>
        <v>4</v>
      </c>
      <c r="AG181" s="82">
        <f>IF(Consultas!AG181='Parâmetros'!$E$1,0,-6)</f>
        <v>0</v>
      </c>
      <c r="AH181" s="82">
        <f>IF(Consultas!AF181='Parâmetros'!$E$1,1,-5)</f>
        <v>-5</v>
      </c>
      <c r="AI181" s="82">
        <f>IF(Consultas!AJ181&gt;700,8,IF(Consultas!AJ181&gt;500,4,IF(Consultas!AJ181&gt;200,-4,IF(Consultas!AJ181&gt;1,-15,-20))))</f>
        <v>-4</v>
      </c>
      <c r="AJ181" s="82">
        <f>IF(Consultas!AD181='Parâmetros'!$E$10,0,IF(Consultas!AD181&gt;'Parâmetros'!$A$30,12,IF(Consultas!AD181&gt;'Parâmetros'!$A$31,6,IF(Consultas!AD181&gt;'Parâmetros'!$A$32,0,IF(Consultas!AD181&gt;'Parâmetros'!$A$33,0,IF(Consultas!AD181&gt;'Parâmetros'!$A$34,-3,IF(Consultas!AD181&gt;'Parâmetros'!$A$35,-7,-1)))))))</f>
        <v>12</v>
      </c>
      <c r="AK181" s="82">
        <f>IF(Consultas!AO181='Parâmetros'!$D$1,3,-3)</f>
        <v>-3</v>
      </c>
      <c r="AL181" s="82">
        <f>IF(Consultas!AP181='Parâmetros'!$D$1,5,-3)</f>
        <v>-3</v>
      </c>
      <c r="AM181" s="82">
        <f>IF(Consultas!AL181="N",-6,0)</f>
        <v>0</v>
      </c>
      <c r="AN181" s="82">
        <f>IF(Consultas!AM181="N",-10,0)</f>
        <v>0</v>
      </c>
      <c r="AO181" s="82">
        <f>IF(Consultas!AN181="S",4,-2)</f>
        <v>-2</v>
      </c>
      <c r="AP181" s="39"/>
      <c r="AQ181" s="165">
        <f>IF(Consultas!F181&gt;1,(SUM(F181:AO181)),"N/A")</f>
        <v>19</v>
      </c>
      <c r="AR181" s="78" t="str">
        <f>IF((Consultas!AD181&gt;'Parâmetros'!$A$31),"X",AJ181+Y181+V181+AC181)</f>
        <v>X</v>
      </c>
      <c r="AS181" s="78" t="str">
        <f>IF((Consultas!AD181&gt;'Parâmetros'!$A$31),"X",(H181+I181+J181+Q181+T181+Y181+Z181+AJ181+AN181))</f>
        <v>X</v>
      </c>
      <c r="AT181" s="78">
        <f>IF((Consultas!AD181&lt;'Parâmetros'!$A$31),"X",(AD181+AC181+AB181))</f>
        <v>3</v>
      </c>
      <c r="AU181" s="78">
        <f t="shared" si="1"/>
        <v>3</v>
      </c>
      <c r="AV181" s="82" t="str">
        <f>IF(AQ181="N/A","N/A",IF(AQ181&gt;5,'Parâmetros'!$A$15,(IF(AU181=AR181,'Parâmetros'!$A$17,IF(AU181=AS181,'Parâmetros'!$A$16,'Parâmetros'!$A$14)))))</f>
        <v>SEM-RISCO</v>
      </c>
      <c r="AW181" s="86" t="str">
        <f>IF(AQ181="N/A","N/A",IF(AV181='Parâmetros'!$A$15,'Parâmetros'!$C$15,(IF(AV181='Parâmetros'!$A$17,'Parâmetros'!$C$17,IF(AV181='Parâmetros'!$A$16,'Parâmetros'!$C$16,IF(AV181='Parâmetros'!$A$14,'Parâmetros'!$C$12))))))</f>
        <v>LIBERADO</v>
      </c>
      <c r="AX181" s="82" t="str">
        <f>IF(Consultas!F181&gt;1,(IF(Consultas!F181&gt;5000,"SOLICITAR PED COMPRA","N/A")))</f>
        <v>SOLICITAR PED COMPRA</v>
      </c>
      <c r="AY181" s="167" t="str">
        <f>IF(AND(Consultas!M181&lt;&gt;"S", Consultas!H181="S"), "CHECAGEM REVERSA", "N/A")</f>
        <v>N/A</v>
      </c>
      <c r="AZ181" s="167" t="str">
        <f>IF(Consultas!U181="N","PRECISA CORRIGIR END DIVERGENTE","N/A")</f>
        <v>N/A</v>
      </c>
    </row>
    <row r="182" ht="12.0" customHeight="1">
      <c r="A182" s="39" t="s">
        <v>90</v>
      </c>
      <c r="B182" s="82">
        <f>Consultas!B182</f>
        <v>347</v>
      </c>
      <c r="C182" s="82" t="str">
        <f>Consultas!D182</f>
        <v>Metalpleno</v>
      </c>
      <c r="D182" s="96" t="str">
        <f>Consultas!E182</f>
        <v>143547</v>
      </c>
      <c r="E182" s="104">
        <f>IF(Consultas!AB182&gt;0,YEAR('Parâmetros'!$B$1)-YEAR(Consultas!AB182),"NA")</f>
        <v>5</v>
      </c>
      <c r="F182" s="82">
        <f>IF(Consultas!F182&gt;'Parâmetros'!$B$2,-8,0)</f>
        <v>0</v>
      </c>
      <c r="G182" s="82">
        <f>IF(Consultas!H182='Parâmetros'!$E$1,100,0)</f>
        <v>0</v>
      </c>
      <c r="H182" s="82">
        <f>IF(Consultas!I182='Parâmetros'!$E$1,-4,12)</f>
        <v>-4</v>
      </c>
      <c r="I182" s="82">
        <f>IF(Consultas!J182='Parâmetros'!$E$1,1,-13)</f>
        <v>1</v>
      </c>
      <c r="J182" s="82">
        <f>IF(Consultas!K182='Parâmetros'!$E$1,2,-5)</f>
        <v>2</v>
      </c>
      <c r="K182" s="82" t="str">
        <f>IF(Consultas!L182='Parâmetros'!$D$1,"SOLIC CONTRATO DE ENTREGA","N/A")</f>
        <v>SOLIC CONTRATO DE ENTREGA</v>
      </c>
      <c r="L182" s="82">
        <f>IF(Consultas!R182='Parâmetros'!$E$1,1,-3)</f>
        <v>1</v>
      </c>
      <c r="M182" s="82">
        <f>IF(Consultas!S182&gt;1,(IF(Consultas!S182='Parâmetros'!$E$1,-3,9)))</f>
        <v>9</v>
      </c>
      <c r="N182" s="82">
        <f>IF(Consultas!T182="S",23,0)</f>
        <v>23</v>
      </c>
      <c r="O182" s="82">
        <f>IF(Consultas!U182='Parâmetros'!$E$1,-3,3)</f>
        <v>3</v>
      </c>
      <c r="P182" s="82">
        <f>IF(Consultas!V182='Parâmetros'!$E$1,-100,2)</f>
        <v>2</v>
      </c>
      <c r="Q182" s="82">
        <f>IF(Consultas!M182='Parâmetros'!$D$1,2,-9)</f>
        <v>2</v>
      </c>
      <c r="R182" s="82">
        <f>IF(Consultas!N182="RJ",-12,0)</f>
        <v>0</v>
      </c>
      <c r="S182" s="82">
        <f>IF(Consultas!O182="-",-3,IF(Consultas!O182=0,-6,IF(Consultas!O182=5,0,IF(Consultas!O182=10,6))))</f>
        <v>0</v>
      </c>
      <c r="T182" s="82">
        <f>IF(Consultas!M182="S",0,(IF(Consultas!P182="S",6,0)))</f>
        <v>0</v>
      </c>
      <c r="U182" s="82">
        <f>IF(Consultas!Q182&gt;97,9,IF(Consultas!Q182&gt;75,0,-7))</f>
        <v>9</v>
      </c>
      <c r="V182" s="82">
        <f>IF(Consultas!W182='Parâmetros'!$E$1,1,-5)</f>
        <v>1</v>
      </c>
      <c r="W182" s="82">
        <f>IF(Consultas!X182="S",3,-3)</f>
        <v>3</v>
      </c>
      <c r="X182" s="82">
        <f>IF(Consultas!Y182="S",0,-7)</f>
        <v>0</v>
      </c>
      <c r="Y182" s="82">
        <f>IF(Consultas!Z182='Parâmetros'!$E$1,2,-8)</f>
        <v>2</v>
      </c>
      <c r="Z182" s="82">
        <f>IF(Consultas!AA182='Parâmetros'!$E$1,-15,1)</f>
        <v>1</v>
      </c>
      <c r="AA182" s="147" t="s">
        <v>140</v>
      </c>
      <c r="AB182" s="82">
        <f>IF(E182="NA","NA",IF(E182&gt;'Parâmetros'!$A$9,8,IF(E182&gt;'Parâmetros'!$A$8,4,IF(E182&gt;'Parâmetros'!$A$7,0,-6))))</f>
        <v>-6</v>
      </c>
      <c r="AC182" s="82">
        <f>IF(Consultas!AC182='Parâmetros'!$E$1,0,5)</f>
        <v>0</v>
      </c>
      <c r="AD182" s="82">
        <f>IF(Consultas!AH182='Parâmetros'!$D$1,-10,5)</f>
        <v>-10</v>
      </c>
      <c r="AE182" s="82">
        <f>IF(Consultas!AI182&gt;(Consultas!F182*2),-10,0)</f>
        <v>-10</v>
      </c>
      <c r="AF182" s="82">
        <f>IF(Consultas!AD182&gt;1,(IF(Consultas!AI182&gt;(Consultas!AD182),-20,4)))</f>
        <v>4</v>
      </c>
      <c r="AG182" s="82">
        <f>IF(Consultas!AG182='Parâmetros'!$E$1,0,-6)</f>
        <v>0</v>
      </c>
      <c r="AH182" s="82">
        <f>IF(Consultas!AF182='Parâmetros'!$E$1,1,-5)</f>
        <v>1</v>
      </c>
      <c r="AI182" s="82">
        <f>IF(Consultas!AJ182&gt;700,8,IF(Consultas!AJ182&gt;500,4,IF(Consultas!AJ182&gt;200,-4,IF(Consultas!AJ182&gt;1,-15,-20))))</f>
        <v>-4</v>
      </c>
      <c r="AJ182" s="82">
        <f>IF(Consultas!AD182='Parâmetros'!$E$10,0,IF(Consultas!AD182&gt;'Parâmetros'!$A$30,12,IF(Consultas!AD182&gt;'Parâmetros'!$A$31,6,IF(Consultas!AD182&gt;'Parâmetros'!$A$32,0,IF(Consultas!AD182&gt;'Parâmetros'!$A$33,0,IF(Consultas!AD182&gt;'Parâmetros'!$A$34,-3,IF(Consultas!AD182&gt;'Parâmetros'!$A$35,-7,-1)))))))</f>
        <v>12</v>
      </c>
      <c r="AK182" s="82">
        <f>IF(Consultas!AO182='Parâmetros'!$D$1,3,-3)</f>
        <v>-3</v>
      </c>
      <c r="AL182" s="82">
        <f>IF(Consultas!AP182='Parâmetros'!$D$1,5,-3)</f>
        <v>-3</v>
      </c>
      <c r="AM182" s="82">
        <f>IF(Consultas!AL182="N",-6,0)</f>
        <v>0</v>
      </c>
      <c r="AN182" s="82">
        <f>IF(Consultas!AM182="N",-10,0)</f>
        <v>0</v>
      </c>
      <c r="AO182" s="82">
        <f>IF(Consultas!AN182="S",4,-2)</f>
        <v>-2</v>
      </c>
      <c r="AP182" s="39"/>
      <c r="AQ182" s="165">
        <f>IF(Consultas!F182&gt;1,(SUM(F182:AO182)),"N/A")</f>
        <v>34</v>
      </c>
      <c r="AR182" s="78" t="str">
        <f>IF((Consultas!AD182&gt;'Parâmetros'!$A$31),"X",AJ182+Y182+V182+AC182)</f>
        <v>X</v>
      </c>
      <c r="AS182" s="78" t="str">
        <f>IF((Consultas!AD182&gt;'Parâmetros'!$A$31),"X",(H182+I182+J182+Q182+T182+Y182+Z182+AJ182+AN182))</f>
        <v>X</v>
      </c>
      <c r="AT182" s="78">
        <f>IF((Consultas!AD182&lt;'Parâmetros'!$A$31),"X",(AD182+AC182+AB182))</f>
        <v>-16</v>
      </c>
      <c r="AU182" s="78">
        <f t="shared" si="1"/>
        <v>-16</v>
      </c>
      <c r="AV182" s="82" t="str">
        <f>IF(AQ182="N/A","N/A",IF(AQ182&gt;5,'Parâmetros'!$A$15,(IF(AU182=AR182,'Parâmetros'!$A$17,IF(AU182=AS182,'Parâmetros'!$A$16,'Parâmetros'!$A$14)))))</f>
        <v>SEM-RISCO</v>
      </c>
      <c r="AW182" s="86" t="str">
        <f>IF(AQ182="N/A","N/A",IF(AV182='Parâmetros'!$A$15,'Parâmetros'!$C$15,(IF(AV182='Parâmetros'!$A$17,'Parâmetros'!$C$17,IF(AV182='Parâmetros'!$A$16,'Parâmetros'!$C$16,IF(AV182='Parâmetros'!$A$14,'Parâmetros'!$C$12))))))</f>
        <v>LIBERADO</v>
      </c>
      <c r="AX182" s="82" t="str">
        <f>IF(Consultas!F182&gt;1,(IF(Consultas!F182&gt;5000,"SOLICITAR PED COMPRA","N/A")))</f>
        <v>N/A</v>
      </c>
      <c r="AY182" s="167" t="str">
        <f>IF(AND(Consultas!M182&lt;&gt;"S", Consultas!H182="S"), "CHECAGEM REVERSA", "N/A")</f>
        <v>N/A</v>
      </c>
      <c r="AZ182" s="167" t="str">
        <f>IF(Consultas!U182="N","PRECISA CORRIGIR END DIVERGENTE","N/A")</f>
        <v>N/A</v>
      </c>
    </row>
    <row r="183" ht="12.0" customHeight="1">
      <c r="A183" s="39" t="s">
        <v>90</v>
      </c>
      <c r="B183" s="82">
        <f>Consultas!B183</f>
        <v>753</v>
      </c>
      <c r="C183" s="82" t="str">
        <f>Consultas!D183</f>
        <v>Metalpleno</v>
      </c>
      <c r="D183" s="96" t="str">
        <f>Consultas!E183</f>
        <v>142839</v>
      </c>
      <c r="E183" s="104">
        <f>IF(Consultas!AB183&gt;0,YEAR('Parâmetros'!$B$1)-YEAR(Consultas!AB183),"NA")</f>
        <v>10</v>
      </c>
      <c r="F183" s="82">
        <f>IF(Consultas!F183&gt;'Parâmetros'!$B$2,-8,0)</f>
        <v>0</v>
      </c>
      <c r="G183" s="82">
        <f>IF(Consultas!H183='Parâmetros'!$E$1,100,0)</f>
        <v>0</v>
      </c>
      <c r="H183" s="82">
        <f>IF(Consultas!I183='Parâmetros'!$E$1,-4,12)</f>
        <v>-4</v>
      </c>
      <c r="I183" s="82">
        <f>IF(Consultas!J183='Parâmetros'!$E$1,1,-13)</f>
        <v>1</v>
      </c>
      <c r="J183" s="82">
        <f>IF(Consultas!K183='Parâmetros'!$E$1,2,-5)</f>
        <v>2</v>
      </c>
      <c r="K183" s="82" t="str">
        <f>IF(Consultas!L183='Parâmetros'!$D$1,"SOLIC CONTRATO DE ENTREGA","N/A")</f>
        <v>SOLIC CONTRATO DE ENTREGA</v>
      </c>
      <c r="L183" s="82">
        <f>IF(Consultas!R183='Parâmetros'!$E$1,1,-3)</f>
        <v>1</v>
      </c>
      <c r="M183" s="82">
        <f>IF(Consultas!S183&gt;1,(IF(Consultas!S183='Parâmetros'!$E$1,-3,9)))</f>
        <v>9</v>
      </c>
      <c r="N183" s="82">
        <f>IF(Consultas!T183="S",23,0)</f>
        <v>23</v>
      </c>
      <c r="O183" s="82">
        <f>IF(Consultas!U183='Parâmetros'!$E$1,-3,3)</f>
        <v>3</v>
      </c>
      <c r="P183" s="82">
        <f>IF(Consultas!V183='Parâmetros'!$E$1,-100,2)</f>
        <v>2</v>
      </c>
      <c r="Q183" s="82">
        <f>IF(Consultas!M183='Parâmetros'!$D$1,2,-9)</f>
        <v>2</v>
      </c>
      <c r="R183" s="82">
        <f>IF(Consultas!N183="RJ",-12,0)</f>
        <v>0</v>
      </c>
      <c r="S183" s="82">
        <f>IF(Consultas!O183="-",-3,IF(Consultas!O183=0,-6,IF(Consultas!O183=5,0,IF(Consultas!O183=10,6))))</f>
        <v>-3</v>
      </c>
      <c r="T183" s="82">
        <f>IF(Consultas!M183="S",0,(IF(Consultas!P183="S",6,0)))</f>
        <v>0</v>
      </c>
      <c r="U183" s="82">
        <f>IF(Consultas!Q183&gt;97,9,IF(Consultas!Q183&gt;75,0,-7))</f>
        <v>9</v>
      </c>
      <c r="V183" s="82">
        <f>IF(Consultas!W183='Parâmetros'!$E$1,1,-5)</f>
        <v>-5</v>
      </c>
      <c r="W183" s="82">
        <f>IF(Consultas!X183="S",3,-3)</f>
        <v>3</v>
      </c>
      <c r="X183" s="82">
        <f>IF(Consultas!Y183="S",0,-7)</f>
        <v>0</v>
      </c>
      <c r="Y183" s="82">
        <f>IF(Consultas!Z183='Parâmetros'!$E$1,2,-8)</f>
        <v>2</v>
      </c>
      <c r="Z183" s="82">
        <f>IF(Consultas!AA183='Parâmetros'!$E$1,-15,1)</f>
        <v>1</v>
      </c>
      <c r="AA183" s="147" t="s">
        <v>140</v>
      </c>
      <c r="AB183" s="82">
        <f>IF(E183="NA","NA",IF(E183&gt;'Parâmetros'!$A$9,8,IF(E183&gt;'Parâmetros'!$A$8,4,IF(E183&gt;'Parâmetros'!$A$7,0,-6))))</f>
        <v>0</v>
      </c>
      <c r="AC183" s="82">
        <f>IF(Consultas!AC183='Parâmetros'!$E$1,0,5)</f>
        <v>5</v>
      </c>
      <c r="AD183" s="82">
        <f>IF(Consultas!AH183='Parâmetros'!$D$1,-10,5)</f>
        <v>-10</v>
      </c>
      <c r="AE183" s="82">
        <f>IF(Consultas!AI183&gt;(Consultas!F183*2),-10,0)</f>
        <v>-10</v>
      </c>
      <c r="AF183" s="82">
        <f>IF(Consultas!AD183&gt;1,(IF(Consultas!AI183&gt;(Consultas!AD183),-20,4)))</f>
        <v>4</v>
      </c>
      <c r="AG183" s="82">
        <f>IF(Consultas!AG183='Parâmetros'!$E$1,0,-6)</f>
        <v>0</v>
      </c>
      <c r="AH183" s="82">
        <f>IF(Consultas!AF183='Parâmetros'!$E$1,1,-5)</f>
        <v>-5</v>
      </c>
      <c r="AI183" s="82">
        <f>IF(Consultas!AJ183&gt;700,8,IF(Consultas!AJ183&gt;500,4,IF(Consultas!AJ183&gt;200,-4,IF(Consultas!AJ183&gt;1,-15,-20))))</f>
        <v>4</v>
      </c>
      <c r="AJ183" s="82">
        <f>IF(Consultas!AD183='Parâmetros'!$E$10,0,IF(Consultas!AD183&gt;'Parâmetros'!$A$30,12,IF(Consultas!AD183&gt;'Parâmetros'!$A$31,6,IF(Consultas!AD183&gt;'Parâmetros'!$A$32,0,IF(Consultas!AD183&gt;'Parâmetros'!$A$33,0,IF(Consultas!AD183&gt;'Parâmetros'!$A$34,-3,IF(Consultas!AD183&gt;'Parâmetros'!$A$35,-7,-1)))))))</f>
        <v>12</v>
      </c>
      <c r="AK183" s="82">
        <f>IF(Consultas!AO183='Parâmetros'!$D$1,3,-3)</f>
        <v>-3</v>
      </c>
      <c r="AL183" s="82">
        <f>IF(Consultas!AP183='Parâmetros'!$D$1,5,-3)</f>
        <v>-3</v>
      </c>
      <c r="AM183" s="82">
        <f>IF(Consultas!AL183="N",-6,0)</f>
        <v>0</v>
      </c>
      <c r="AN183" s="82">
        <f>IF(Consultas!AM183="N",-10,0)</f>
        <v>0</v>
      </c>
      <c r="AO183" s="82">
        <f>IF(Consultas!AN183="S",4,-2)</f>
        <v>-2</v>
      </c>
      <c r="AP183" s="39"/>
      <c r="AQ183" s="165">
        <f>IF(Consultas!F183&gt;1,(SUM(F183:AO183)),"N/A")</f>
        <v>38</v>
      </c>
      <c r="AR183" s="78" t="str">
        <f>IF((Consultas!AD183&gt;'Parâmetros'!$A$31),"X",AJ183+Y183+V183+AC183)</f>
        <v>X</v>
      </c>
      <c r="AS183" s="78" t="str">
        <f>IF((Consultas!AD183&gt;'Parâmetros'!$A$31),"X",(H183+I183+J183+Q183+T183+Y183+Z183+AJ183+AN183))</f>
        <v>X</v>
      </c>
      <c r="AT183" s="78">
        <f>IF((Consultas!AD183&lt;'Parâmetros'!$A$31),"X",(AD183+AC183+AB183))</f>
        <v>-5</v>
      </c>
      <c r="AU183" s="78">
        <f t="shared" si="1"/>
        <v>-5</v>
      </c>
      <c r="AV183" s="82" t="str">
        <f>IF(AQ183="N/A","N/A",IF(AQ183&gt;5,'Parâmetros'!$A$15,(IF(AU183=AR183,'Parâmetros'!$A$17,IF(AU183=AS183,'Parâmetros'!$A$16,'Parâmetros'!$A$14)))))</f>
        <v>SEM-RISCO</v>
      </c>
      <c r="AW183" s="86" t="str">
        <f>IF(AQ183="N/A","N/A",IF(AV183='Parâmetros'!$A$15,'Parâmetros'!$C$15,(IF(AV183='Parâmetros'!$A$17,'Parâmetros'!$C$17,IF(AV183='Parâmetros'!$A$16,'Parâmetros'!$C$16,IF(AV183='Parâmetros'!$A$14,'Parâmetros'!$C$12))))))</f>
        <v>LIBERADO</v>
      </c>
      <c r="AX183" s="82" t="str">
        <f>IF(Consultas!F183&gt;1,(IF(Consultas!F183&gt;5000,"SOLICITAR PED COMPRA","N/A")))</f>
        <v>N/A</v>
      </c>
      <c r="AY183" s="167" t="str">
        <f>IF(AND(Consultas!M183&lt;&gt;"S", Consultas!H183="S"), "CHECAGEM REVERSA", "N/A")</f>
        <v>N/A</v>
      </c>
      <c r="AZ183" s="167" t="str">
        <f>IF(Consultas!U183="N","PRECISA CORRIGIR END DIVERGENTE","N/A")</f>
        <v>N/A</v>
      </c>
    </row>
    <row r="184" ht="12.0" customHeight="1">
      <c r="A184" s="39" t="s">
        <v>90</v>
      </c>
      <c r="B184" s="82" t="str">
        <f>Consultas!B184</f>
        <v/>
      </c>
      <c r="C184" s="82" t="str">
        <f>Consultas!D184</f>
        <v/>
      </c>
      <c r="D184" s="96" t="str">
        <f>Consultas!E184</f>
        <v/>
      </c>
      <c r="E184" s="104" t="str">
        <f>IF(Consultas!AB184&gt;0,YEAR('Parâmetros'!$B$1)-YEAR(Consultas!AB184),"NA")</f>
        <v>NA</v>
      </c>
      <c r="F184" s="82">
        <f>IF(Consultas!F184&gt;'Parâmetros'!$B$2,-8,0)</f>
        <v>0</v>
      </c>
      <c r="G184" s="82">
        <f>IF(Consultas!H184='Parâmetros'!$E$1,100,0)</f>
        <v>0</v>
      </c>
      <c r="H184" s="82">
        <f>IF(Consultas!I184='Parâmetros'!$E$1,-4,12)</f>
        <v>12</v>
      </c>
      <c r="I184" s="82">
        <f>IF(Consultas!J184='Parâmetros'!$E$1,1,-13)</f>
        <v>-13</v>
      </c>
      <c r="J184" s="82">
        <f>IF(Consultas!K184='Parâmetros'!$E$1,2,-5)</f>
        <v>-5</v>
      </c>
      <c r="K184" s="82" t="str">
        <f>IF(Consultas!L184='Parâmetros'!$D$1,"SOLIC CONTRATO DE ENTREGA","N/A")</f>
        <v>N/A</v>
      </c>
      <c r="L184" s="82">
        <f>IF(Consultas!R184='Parâmetros'!$E$1,1,-3)</f>
        <v>-3</v>
      </c>
      <c r="M184" s="82" t="b">
        <f>IF(Consultas!S184&gt;1,(IF(Consultas!S184='Parâmetros'!$E$1,-3,9)))</f>
        <v>0</v>
      </c>
      <c r="N184" s="82">
        <f>IF(Consultas!T184="S",23,0)</f>
        <v>0</v>
      </c>
      <c r="O184" s="82">
        <f>IF(Consultas!U184='Parâmetros'!$E$1,-3,3)</f>
        <v>3</v>
      </c>
      <c r="P184" s="82">
        <f>IF(Consultas!V184='Parâmetros'!$E$1,-100,2)</f>
        <v>2</v>
      </c>
      <c r="Q184" s="82">
        <f>IF(Consultas!M184='Parâmetros'!$D$1,2,-9)</f>
        <v>-9</v>
      </c>
      <c r="R184" s="82">
        <f>IF(Consultas!N184="RJ",-12,0)</f>
        <v>0</v>
      </c>
      <c r="S184" s="82">
        <f>IF(Consultas!O184="-",-3,IF(Consultas!O184=0,-6,IF(Consultas!O184=5,0,IF(Consultas!O184=10,6))))</f>
        <v>-6</v>
      </c>
      <c r="T184" s="82">
        <f>IF(Consultas!M184="S",0,(IF(Consultas!P184="S",6,0)))</f>
        <v>0</v>
      </c>
      <c r="U184" s="82">
        <f>IF(Consultas!Q184&gt;97,9,IF(Consultas!Q184&gt;75,0,-7))</f>
        <v>-7</v>
      </c>
      <c r="V184" s="82">
        <f>IF(Consultas!W184='Parâmetros'!$E$1,1,-5)</f>
        <v>-5</v>
      </c>
      <c r="W184" s="82">
        <f>IF(Consultas!X184="S",3,-3)</f>
        <v>-3</v>
      </c>
      <c r="X184" s="82">
        <f>IF(Consultas!Y184="S",0,-7)</f>
        <v>-7</v>
      </c>
      <c r="Y184" s="82">
        <f>IF(Consultas!Z184='Parâmetros'!$E$1,2,-8)</f>
        <v>-8</v>
      </c>
      <c r="Z184" s="82">
        <f>IF(Consultas!AA184='Parâmetros'!$E$1,-15,1)</f>
        <v>1</v>
      </c>
      <c r="AA184" s="147" t="s">
        <v>140</v>
      </c>
      <c r="AB184" s="82" t="str">
        <f>IF(E184="NA","NA",IF(E184&gt;'Parâmetros'!$A$9,8,IF(E184&gt;'Parâmetros'!$A$8,4,IF(E184&gt;'Parâmetros'!$A$7,0,-6))))</f>
        <v>NA</v>
      </c>
      <c r="AC184" s="82">
        <f>IF(Consultas!AC184='Parâmetros'!$E$1,0,5)</f>
        <v>5</v>
      </c>
      <c r="AD184" s="82">
        <f>IF(Consultas!AH184='Parâmetros'!$D$1,-10,5)</f>
        <v>5</v>
      </c>
      <c r="AE184" s="82">
        <f>IF(Consultas!AI184&gt;(Consultas!F184*2),-10,0)</f>
        <v>0</v>
      </c>
      <c r="AF184" s="82" t="b">
        <f>IF(Consultas!AD184&gt;1,(IF(Consultas!AI184&gt;(Consultas!AD184),-20,4)))</f>
        <v>0</v>
      </c>
      <c r="AG184" s="82">
        <f>IF(Consultas!AG184='Parâmetros'!$E$1,0,-6)</f>
        <v>-6</v>
      </c>
      <c r="AH184" s="82">
        <f>IF(Consultas!AF184='Parâmetros'!$E$1,1,-5)</f>
        <v>-5</v>
      </c>
      <c r="AI184" s="82">
        <f>IF(Consultas!AJ184&gt;700,8,IF(Consultas!AJ184&gt;500,4,IF(Consultas!AJ184&gt;200,-4,IF(Consultas!AJ184&gt;1,-15,-20))))</f>
        <v>-20</v>
      </c>
      <c r="AJ184" s="82">
        <f>IF(Consultas!AD184='Parâmetros'!$E$10,0,IF(Consultas!AD184&gt;'Parâmetros'!$A$30,12,IF(Consultas!AD184&gt;'Parâmetros'!$A$31,6,IF(Consultas!AD184&gt;'Parâmetros'!$A$32,0,IF(Consultas!AD184&gt;'Parâmetros'!$A$33,0,IF(Consultas!AD184&gt;'Parâmetros'!$A$34,-3,IF(Consultas!AD184&gt;'Parâmetros'!$A$35,-7,-1)))))))</f>
        <v>-1</v>
      </c>
      <c r="AK184" s="82">
        <f>IF(Consultas!AO184='Parâmetros'!$D$1,3,-3)</f>
        <v>-3</v>
      </c>
      <c r="AL184" s="82">
        <f>IF(Consultas!AP184='Parâmetros'!$D$1,5,-3)</f>
        <v>-3</v>
      </c>
      <c r="AM184" s="82">
        <f>IF(Consultas!AL184="N",-6,0)</f>
        <v>0</v>
      </c>
      <c r="AN184" s="82">
        <f>IF(Consultas!AM184="N",-10,0)</f>
        <v>0</v>
      </c>
      <c r="AO184" s="82">
        <f>IF(Consultas!AN184="S",4,-2)</f>
        <v>-2</v>
      </c>
      <c r="AP184" s="39"/>
      <c r="AQ184" s="165" t="str">
        <f>IF(Consultas!F184&gt;1,(SUM(F184:AO184)),"N/A")</f>
        <v>N/A</v>
      </c>
      <c r="AR184" s="78">
        <f>IF((Consultas!AD184&gt;'Parâmetros'!$A$31),"X",AJ184+Y184+V184+AC184)</f>
        <v>-9</v>
      </c>
      <c r="AS184" s="78">
        <f>IF((Consultas!AD184&gt;'Parâmetros'!$A$31),"X",(H184+I184+J184+Q184+T184+Y184+Z184+AJ184+AN184))</f>
        <v>-23</v>
      </c>
      <c r="AT184" s="78" t="str">
        <f>IF((Consultas!AD184&lt;'Parâmetros'!$A$31),"X",(AD184+AC184+AB184))</f>
        <v>X</v>
      </c>
      <c r="AU184" s="78">
        <f t="shared" si="1"/>
        <v>-23</v>
      </c>
      <c r="AV184" s="82" t="str">
        <f>IF(AQ184="N/A","N/A",IF(AQ184&gt;5,'Parâmetros'!$A$15,(IF(AU184=AR184,'Parâmetros'!$A$17,IF(AU184=AS184,'Parâmetros'!$A$16,'Parâmetros'!$A$14)))))</f>
        <v>N/A</v>
      </c>
      <c r="AW184" s="86" t="str">
        <f>IF(AQ184="N/A","N/A",IF(AV184='Parâmetros'!$A$15,'Parâmetros'!$C$15,(IF(AV184='Parâmetros'!$A$17,'Parâmetros'!$C$17,IF(AV184='Parâmetros'!$A$16,'Parâmetros'!$C$16,IF(AV184='Parâmetros'!$A$14,'Parâmetros'!$C$12))))))</f>
        <v>N/A</v>
      </c>
      <c r="AX184" s="82" t="b">
        <f>IF(Consultas!F184&gt;1,(IF(Consultas!F184&gt;5000,"SOLICITAR PED COMPRA","N/A")))</f>
        <v>0</v>
      </c>
      <c r="AY184" s="167" t="str">
        <f>IF(AND(Consultas!M184&lt;&gt;"S", Consultas!H184="S"), "CHECAGEM REVERSA", "N/A")</f>
        <v>N/A</v>
      </c>
      <c r="AZ184" s="167" t="str">
        <f>IF(Consultas!U184="N","PRECISA CORRIGIR END DIVERGENTE","N/A")</f>
        <v>N/A</v>
      </c>
    </row>
    <row r="185" ht="12.0" customHeight="1">
      <c r="A185" s="39" t="s">
        <v>90</v>
      </c>
      <c r="B185" s="82" t="str">
        <f>Consultas!B185</f>
        <v/>
      </c>
      <c r="C185" s="82" t="str">
        <f>Consultas!D185</f>
        <v/>
      </c>
      <c r="D185" s="96" t="str">
        <f>Consultas!E185</f>
        <v/>
      </c>
      <c r="E185" s="104" t="str">
        <f>IF(Consultas!AB185&gt;0,YEAR('Parâmetros'!$B$1)-YEAR(Consultas!AB185),"NA")</f>
        <v>NA</v>
      </c>
      <c r="F185" s="82">
        <f>IF(Consultas!F185&gt;'Parâmetros'!$B$2,-8,0)</f>
        <v>0</v>
      </c>
      <c r="G185" s="82">
        <f>IF(Consultas!H185='Parâmetros'!$E$1,100,0)</f>
        <v>0</v>
      </c>
      <c r="H185" s="82">
        <f>IF(Consultas!I185='Parâmetros'!$E$1,-4,12)</f>
        <v>12</v>
      </c>
      <c r="I185" s="82">
        <f>IF(Consultas!J185='Parâmetros'!$E$1,1,-13)</f>
        <v>-13</v>
      </c>
      <c r="J185" s="82">
        <f>IF(Consultas!K185='Parâmetros'!$E$1,2,-5)</f>
        <v>-5</v>
      </c>
      <c r="K185" s="82" t="str">
        <f>IF(Consultas!L185='Parâmetros'!$D$1,"SOLIC CONTRATO DE ENTREGA","N/A")</f>
        <v>N/A</v>
      </c>
      <c r="L185" s="82">
        <f>IF(Consultas!R185='Parâmetros'!$E$1,1,-3)</f>
        <v>-3</v>
      </c>
      <c r="M185" s="82" t="b">
        <f>IF(Consultas!S185&gt;1,(IF(Consultas!S185='Parâmetros'!$E$1,-3,9)))</f>
        <v>0</v>
      </c>
      <c r="N185" s="82">
        <f>IF(Consultas!T185="S",23,0)</f>
        <v>0</v>
      </c>
      <c r="O185" s="82">
        <f>IF(Consultas!U185='Parâmetros'!$E$1,-3,3)</f>
        <v>3</v>
      </c>
      <c r="P185" s="82">
        <f>IF(Consultas!V185='Parâmetros'!$E$1,-100,2)</f>
        <v>2</v>
      </c>
      <c r="Q185" s="82">
        <f>IF(Consultas!M185='Parâmetros'!$D$1,2,-9)</f>
        <v>-9</v>
      </c>
      <c r="R185" s="82">
        <f>IF(Consultas!N185="RJ",-12,0)</f>
        <v>0</v>
      </c>
      <c r="S185" s="82">
        <f>IF(Consultas!O185="-",-3,IF(Consultas!O185=0,-6,IF(Consultas!O185=5,0,IF(Consultas!O185=10,6))))</f>
        <v>-6</v>
      </c>
      <c r="T185" s="82">
        <f>IF(Consultas!M185="S",0,(IF(Consultas!P185="S",6,0)))</f>
        <v>0</v>
      </c>
      <c r="U185" s="82">
        <f>IF(Consultas!Q185&gt;97,9,IF(Consultas!Q185&gt;75,0,-7))</f>
        <v>-7</v>
      </c>
      <c r="V185" s="82">
        <f>IF(Consultas!W185='Parâmetros'!$E$1,1,-5)</f>
        <v>-5</v>
      </c>
      <c r="W185" s="82">
        <f>IF(Consultas!X185="S",3,-3)</f>
        <v>-3</v>
      </c>
      <c r="X185" s="82">
        <f>IF(Consultas!Y185="S",0,-7)</f>
        <v>-7</v>
      </c>
      <c r="Y185" s="82">
        <f>IF(Consultas!Z185='Parâmetros'!$E$1,2,-8)</f>
        <v>-8</v>
      </c>
      <c r="Z185" s="82">
        <f>IF(Consultas!AA185='Parâmetros'!$E$1,-15,1)</f>
        <v>1</v>
      </c>
      <c r="AA185" s="147" t="s">
        <v>140</v>
      </c>
      <c r="AB185" s="82" t="str">
        <f>IF(E185="NA","NA",IF(E185&gt;'Parâmetros'!$A$9,8,IF(E185&gt;'Parâmetros'!$A$8,4,IF(E185&gt;'Parâmetros'!$A$7,0,-6))))</f>
        <v>NA</v>
      </c>
      <c r="AC185" s="82">
        <f>IF(Consultas!AC185='Parâmetros'!$E$1,0,5)</f>
        <v>5</v>
      </c>
      <c r="AD185" s="82">
        <f>IF(Consultas!AH185='Parâmetros'!$D$1,-10,5)</f>
        <v>5</v>
      </c>
      <c r="AE185" s="82">
        <f>IF(Consultas!AI185&gt;(Consultas!F185*2),-10,0)</f>
        <v>0</v>
      </c>
      <c r="AF185" s="82" t="b">
        <f>IF(Consultas!AD185&gt;1,(IF(Consultas!AI185&gt;(Consultas!AD185),-20,4)))</f>
        <v>0</v>
      </c>
      <c r="AG185" s="82">
        <f>IF(Consultas!AG185='Parâmetros'!$E$1,0,-6)</f>
        <v>-6</v>
      </c>
      <c r="AH185" s="82">
        <f>IF(Consultas!AF185='Parâmetros'!$E$1,1,-5)</f>
        <v>-5</v>
      </c>
      <c r="AI185" s="82">
        <f>IF(Consultas!AJ185&gt;700,8,IF(Consultas!AJ185&gt;500,4,IF(Consultas!AJ185&gt;200,-4,IF(Consultas!AJ185&gt;1,-15,-20))))</f>
        <v>-20</v>
      </c>
      <c r="AJ185" s="82">
        <f>IF(Consultas!AD185='Parâmetros'!$E$10,0,IF(Consultas!AD185&gt;'Parâmetros'!$A$30,12,IF(Consultas!AD185&gt;'Parâmetros'!$A$31,6,IF(Consultas!AD185&gt;'Parâmetros'!$A$32,0,IF(Consultas!AD185&gt;'Parâmetros'!$A$33,0,IF(Consultas!AD185&gt;'Parâmetros'!$A$34,-3,IF(Consultas!AD185&gt;'Parâmetros'!$A$35,-7,-1)))))))</f>
        <v>-1</v>
      </c>
      <c r="AK185" s="82">
        <f>IF(Consultas!AO185='Parâmetros'!$D$1,3,-3)</f>
        <v>-3</v>
      </c>
      <c r="AL185" s="82">
        <f>IF(Consultas!AP185='Parâmetros'!$D$1,5,-3)</f>
        <v>-3</v>
      </c>
      <c r="AM185" s="82">
        <f>IF(Consultas!AL185="N",-6,0)</f>
        <v>0</v>
      </c>
      <c r="AN185" s="82">
        <f>IF(Consultas!AM185="N",-10,0)</f>
        <v>0</v>
      </c>
      <c r="AO185" s="82">
        <f>IF(Consultas!AN185="S",4,-2)</f>
        <v>-2</v>
      </c>
      <c r="AP185" s="39"/>
      <c r="AQ185" s="165" t="str">
        <f>IF(Consultas!F185&gt;1,(SUM(F185:AO185)),"N/A")</f>
        <v>N/A</v>
      </c>
      <c r="AR185" s="78">
        <f>IF((Consultas!AD185&gt;'Parâmetros'!$A$31),"X",AJ185+Y185+V185+AC185)</f>
        <v>-9</v>
      </c>
      <c r="AS185" s="78">
        <f>IF((Consultas!AD185&gt;'Parâmetros'!$A$31),"X",(H185+I185+J185+Q185+T185+Y185+Z185+AJ185+AN185))</f>
        <v>-23</v>
      </c>
      <c r="AT185" s="78" t="str">
        <f>IF((Consultas!AD185&lt;'Parâmetros'!$A$31),"X",(AD185+AC185+AB185))</f>
        <v>X</v>
      </c>
      <c r="AU185" s="78">
        <f t="shared" si="1"/>
        <v>-23</v>
      </c>
      <c r="AV185" s="82" t="str">
        <f>IF(AQ185="N/A","N/A",IF(AQ185&gt;5,'Parâmetros'!$A$15,(IF(AU185=AR185,'Parâmetros'!$A$17,IF(AU185=AS185,'Parâmetros'!$A$16,'Parâmetros'!$A$14)))))</f>
        <v>N/A</v>
      </c>
      <c r="AW185" s="86" t="str">
        <f>IF(AQ185="N/A","N/A",IF(AV185='Parâmetros'!$A$15,'Parâmetros'!$C$15,(IF(AV185='Parâmetros'!$A$17,'Parâmetros'!$C$17,IF(AV185='Parâmetros'!$A$16,'Parâmetros'!$C$16,IF(AV185='Parâmetros'!$A$14,'Parâmetros'!$C$12))))))</f>
        <v>N/A</v>
      </c>
      <c r="AX185" s="82" t="b">
        <f>IF(Consultas!F185&gt;1,(IF(Consultas!F185&gt;5000,"SOLICITAR PED COMPRA","N/A")))</f>
        <v>0</v>
      </c>
      <c r="AY185" s="167" t="str">
        <f>IF(AND(Consultas!M185&lt;&gt;"S", Consultas!H185="S"), "CHECAGEM REVERSA", "N/A")</f>
        <v>N/A</v>
      </c>
      <c r="AZ185" s="167" t="str">
        <f>IF(Consultas!U185="N","PRECISA CORRIGIR END DIVERGENTE","N/A")</f>
        <v>N/A</v>
      </c>
    </row>
    <row r="186" ht="12.0" customHeight="1">
      <c r="A186" s="39" t="s">
        <v>90</v>
      </c>
      <c r="B186" s="82" t="str">
        <f>Consultas!B186</f>
        <v/>
      </c>
      <c r="C186" s="82" t="str">
        <f>Consultas!D186</f>
        <v/>
      </c>
      <c r="D186" s="96" t="str">
        <f>Consultas!E186</f>
        <v/>
      </c>
      <c r="E186" s="104" t="str">
        <f>IF(Consultas!AB186&gt;0,YEAR('Parâmetros'!$B$1)-YEAR(Consultas!AB186),"NA")</f>
        <v>NA</v>
      </c>
      <c r="F186" s="82">
        <f>IF(Consultas!F186&gt;'Parâmetros'!$B$2,-8,0)</f>
        <v>0</v>
      </c>
      <c r="G186" s="82">
        <f>IF(Consultas!H186='Parâmetros'!$E$1,100,0)</f>
        <v>0</v>
      </c>
      <c r="H186" s="82">
        <f>IF(Consultas!I186='Parâmetros'!$E$1,-4,12)</f>
        <v>12</v>
      </c>
      <c r="I186" s="82">
        <f>IF(Consultas!J186='Parâmetros'!$E$1,1,-13)</f>
        <v>-13</v>
      </c>
      <c r="J186" s="82">
        <f>IF(Consultas!K186='Parâmetros'!$E$1,2,-5)</f>
        <v>-5</v>
      </c>
      <c r="K186" s="82" t="str">
        <f>IF(Consultas!L186='Parâmetros'!$D$1,"SOLIC CONTRATO DE ENTREGA","N/A")</f>
        <v>N/A</v>
      </c>
      <c r="L186" s="82">
        <f>IF(Consultas!R186='Parâmetros'!$E$1,1,-3)</f>
        <v>-3</v>
      </c>
      <c r="M186" s="82" t="b">
        <f>IF(Consultas!S186&gt;1,(IF(Consultas!S186='Parâmetros'!$E$1,-3,9)))</f>
        <v>0</v>
      </c>
      <c r="N186" s="82">
        <f>IF(Consultas!T186="S",23,0)</f>
        <v>0</v>
      </c>
      <c r="O186" s="82">
        <f>IF(Consultas!U186='Parâmetros'!$E$1,-3,3)</f>
        <v>3</v>
      </c>
      <c r="P186" s="82">
        <f>IF(Consultas!V186='Parâmetros'!$E$1,-100,2)</f>
        <v>2</v>
      </c>
      <c r="Q186" s="82">
        <f>IF(Consultas!M186='Parâmetros'!$D$1,2,-9)</f>
        <v>-9</v>
      </c>
      <c r="R186" s="82">
        <f>IF(Consultas!N186="RJ",-12,0)</f>
        <v>0</v>
      </c>
      <c r="S186" s="82">
        <f>IF(Consultas!O186="-",-3,IF(Consultas!O186=0,-6,IF(Consultas!O186=5,0,IF(Consultas!O186=10,6))))</f>
        <v>-6</v>
      </c>
      <c r="T186" s="82">
        <f>IF(Consultas!M186="S",0,(IF(Consultas!P186="S",6,0)))</f>
        <v>0</v>
      </c>
      <c r="U186" s="82">
        <f>IF(Consultas!Q186&gt;97,9,IF(Consultas!Q186&gt;75,0,-7))</f>
        <v>-7</v>
      </c>
      <c r="V186" s="82">
        <f>IF(Consultas!W186='Parâmetros'!$E$1,1,-5)</f>
        <v>-5</v>
      </c>
      <c r="W186" s="82">
        <f>IF(Consultas!X186="S",3,-3)</f>
        <v>-3</v>
      </c>
      <c r="X186" s="82">
        <f>IF(Consultas!Y186="S",0,-7)</f>
        <v>-7</v>
      </c>
      <c r="Y186" s="82">
        <f>IF(Consultas!Z186='Parâmetros'!$E$1,2,-8)</f>
        <v>-8</v>
      </c>
      <c r="Z186" s="82">
        <f>IF(Consultas!AA186='Parâmetros'!$E$1,-15,1)</f>
        <v>1</v>
      </c>
      <c r="AA186" s="147" t="s">
        <v>140</v>
      </c>
      <c r="AB186" s="82" t="str">
        <f>IF(E186="NA","NA",IF(E186&gt;'Parâmetros'!$A$9,8,IF(E186&gt;'Parâmetros'!$A$8,4,IF(E186&gt;'Parâmetros'!$A$7,0,-6))))</f>
        <v>NA</v>
      </c>
      <c r="AC186" s="82">
        <f>IF(Consultas!AC186='Parâmetros'!$E$1,0,5)</f>
        <v>5</v>
      </c>
      <c r="AD186" s="82">
        <f>IF(Consultas!AH186='Parâmetros'!$D$1,-10,5)</f>
        <v>5</v>
      </c>
      <c r="AE186" s="82">
        <f>IF(Consultas!AI186&gt;(Consultas!F186*2),-10,0)</f>
        <v>0</v>
      </c>
      <c r="AF186" s="82" t="b">
        <f>IF(Consultas!AD186&gt;1,(IF(Consultas!AI186&gt;(Consultas!AD186),-20,4)))</f>
        <v>0</v>
      </c>
      <c r="AG186" s="82">
        <f>IF(Consultas!AG186='Parâmetros'!$E$1,0,-6)</f>
        <v>-6</v>
      </c>
      <c r="AH186" s="82">
        <f>IF(Consultas!AF186='Parâmetros'!$E$1,1,-5)</f>
        <v>-5</v>
      </c>
      <c r="AI186" s="82">
        <f>IF(Consultas!AJ186&gt;700,8,IF(Consultas!AJ186&gt;500,4,IF(Consultas!AJ186&gt;200,-4,IF(Consultas!AJ186&gt;1,-15,-20))))</f>
        <v>-20</v>
      </c>
      <c r="AJ186" s="82">
        <f>IF(Consultas!AD186='Parâmetros'!$E$10,0,IF(Consultas!AD186&gt;'Parâmetros'!$A$30,12,IF(Consultas!AD186&gt;'Parâmetros'!$A$31,6,IF(Consultas!AD186&gt;'Parâmetros'!$A$32,0,IF(Consultas!AD186&gt;'Parâmetros'!$A$33,0,IF(Consultas!AD186&gt;'Parâmetros'!$A$34,-3,IF(Consultas!AD186&gt;'Parâmetros'!$A$35,-7,-1)))))))</f>
        <v>-1</v>
      </c>
      <c r="AK186" s="82">
        <f>IF(Consultas!AO186='Parâmetros'!$D$1,3,-3)</f>
        <v>-3</v>
      </c>
      <c r="AL186" s="82">
        <f>IF(Consultas!AP186='Parâmetros'!$D$1,5,-3)</f>
        <v>-3</v>
      </c>
      <c r="AM186" s="82">
        <f>IF(Consultas!AL186="N",-6,0)</f>
        <v>0</v>
      </c>
      <c r="AN186" s="82">
        <f>IF(Consultas!AM186="N",-10,0)</f>
        <v>0</v>
      </c>
      <c r="AO186" s="82">
        <f>IF(Consultas!AN186="S",4,-2)</f>
        <v>-2</v>
      </c>
      <c r="AP186" s="39"/>
      <c r="AQ186" s="165" t="str">
        <f>IF(Consultas!F186&gt;1,(SUM(F186:AO186)),"N/A")</f>
        <v>N/A</v>
      </c>
      <c r="AR186" s="78">
        <f>IF((Consultas!AD186&gt;'Parâmetros'!$A$31),"X",AJ186+Y186+V186+AC186)</f>
        <v>-9</v>
      </c>
      <c r="AS186" s="78">
        <f>IF((Consultas!AD186&gt;'Parâmetros'!$A$31),"X",(H186+I186+J186+Q186+T186+Y186+Z186+AJ186+AN186))</f>
        <v>-23</v>
      </c>
      <c r="AT186" s="78" t="str">
        <f>IF((Consultas!AD186&lt;'Parâmetros'!$A$31),"X",(AD186+AC186+AB186))</f>
        <v>X</v>
      </c>
      <c r="AU186" s="78">
        <f t="shared" si="1"/>
        <v>-23</v>
      </c>
      <c r="AV186" s="82" t="str">
        <f>IF(AQ186="N/A","N/A",IF(AQ186&gt;5,'Parâmetros'!$A$15,(IF(AU186=AR186,'Parâmetros'!$A$17,IF(AU186=AS186,'Parâmetros'!$A$16,'Parâmetros'!$A$14)))))</f>
        <v>N/A</v>
      </c>
      <c r="AW186" s="86" t="str">
        <f>IF(AQ186="N/A","N/A",IF(AV186='Parâmetros'!$A$15,'Parâmetros'!$C$15,(IF(AV186='Parâmetros'!$A$17,'Parâmetros'!$C$17,IF(AV186='Parâmetros'!$A$16,'Parâmetros'!$C$16,IF(AV186='Parâmetros'!$A$14,'Parâmetros'!$C$12))))))</f>
        <v>N/A</v>
      </c>
      <c r="AX186" s="82" t="b">
        <f>IF(Consultas!F186&gt;1,(IF(Consultas!F186&gt;5000,"SOLICITAR PED COMPRA","N/A")))</f>
        <v>0</v>
      </c>
      <c r="AY186" s="167" t="str">
        <f>IF(AND(Consultas!M186&lt;&gt;"S", Consultas!H186="S"), "CHECAGEM REVERSA", "N/A")</f>
        <v>N/A</v>
      </c>
      <c r="AZ186" s="167" t="str">
        <f>IF(Consultas!U186="N","PRECISA CORRIGIR END DIVERGENTE","N/A")</f>
        <v>N/A</v>
      </c>
    </row>
    <row r="187" ht="12.0" customHeight="1">
      <c r="A187" s="39" t="s">
        <v>90</v>
      </c>
      <c r="B187" s="82" t="str">
        <f>Consultas!B187</f>
        <v/>
      </c>
      <c r="C187" s="82" t="str">
        <f>Consultas!D187</f>
        <v/>
      </c>
      <c r="D187" s="96" t="str">
        <f>Consultas!E187</f>
        <v/>
      </c>
      <c r="E187" s="104" t="str">
        <f>IF(Consultas!AB187&gt;0,YEAR('Parâmetros'!$B$1)-YEAR(Consultas!AB187),"NA")</f>
        <v>NA</v>
      </c>
      <c r="F187" s="82">
        <f>IF(Consultas!F187&gt;'Parâmetros'!$B$2,-8,0)</f>
        <v>0</v>
      </c>
      <c r="G187" s="82">
        <f>IF(Consultas!H187='Parâmetros'!$E$1,100,0)</f>
        <v>0</v>
      </c>
      <c r="H187" s="82">
        <f>IF(Consultas!I187='Parâmetros'!$E$1,-4,12)</f>
        <v>12</v>
      </c>
      <c r="I187" s="82">
        <f>IF(Consultas!J187='Parâmetros'!$E$1,1,-13)</f>
        <v>-13</v>
      </c>
      <c r="J187" s="82">
        <f>IF(Consultas!K187='Parâmetros'!$E$1,2,-5)</f>
        <v>-5</v>
      </c>
      <c r="K187" s="82" t="str">
        <f>IF(Consultas!L187='Parâmetros'!$D$1,"SOLIC CONTRATO DE ENTREGA","N/A")</f>
        <v>N/A</v>
      </c>
      <c r="L187" s="82">
        <f>IF(Consultas!R187='Parâmetros'!$E$1,1,-3)</f>
        <v>-3</v>
      </c>
      <c r="M187" s="82" t="b">
        <f>IF(Consultas!S187&gt;1,(IF(Consultas!S187='Parâmetros'!$E$1,-3,9)))</f>
        <v>0</v>
      </c>
      <c r="N187" s="82">
        <f>IF(Consultas!T187="S",23,0)</f>
        <v>0</v>
      </c>
      <c r="O187" s="82">
        <f>IF(Consultas!U187='Parâmetros'!$E$1,-3,3)</f>
        <v>3</v>
      </c>
      <c r="P187" s="82">
        <f>IF(Consultas!V187='Parâmetros'!$E$1,-100,2)</f>
        <v>2</v>
      </c>
      <c r="Q187" s="82">
        <f>IF(Consultas!M187='Parâmetros'!$D$1,2,-9)</f>
        <v>-9</v>
      </c>
      <c r="R187" s="82">
        <f>IF(Consultas!N187="RJ",-12,0)</f>
        <v>0</v>
      </c>
      <c r="S187" s="82">
        <f>IF(Consultas!O187="-",-3,IF(Consultas!O187=0,-6,IF(Consultas!O187=5,0,IF(Consultas!O187=10,6))))</f>
        <v>-6</v>
      </c>
      <c r="T187" s="82">
        <f>IF(Consultas!M187="S",0,(IF(Consultas!P187="S",6,0)))</f>
        <v>0</v>
      </c>
      <c r="U187" s="82">
        <f>IF(Consultas!Q187&gt;97,9,IF(Consultas!Q187&gt;75,0,-7))</f>
        <v>-7</v>
      </c>
      <c r="V187" s="82">
        <f>IF(Consultas!W187='Parâmetros'!$E$1,1,-5)</f>
        <v>-5</v>
      </c>
      <c r="W187" s="82">
        <f>IF(Consultas!X187="S",3,-3)</f>
        <v>-3</v>
      </c>
      <c r="X187" s="82">
        <f>IF(Consultas!Y187="S",0,-7)</f>
        <v>-7</v>
      </c>
      <c r="Y187" s="82">
        <f>IF(Consultas!Z187='Parâmetros'!$E$1,2,-8)</f>
        <v>-8</v>
      </c>
      <c r="Z187" s="82">
        <f>IF(Consultas!AA187='Parâmetros'!$E$1,-15,1)</f>
        <v>1</v>
      </c>
      <c r="AA187" s="147" t="s">
        <v>140</v>
      </c>
      <c r="AB187" s="82" t="str">
        <f>IF(E187="NA","NA",IF(E187&gt;'Parâmetros'!$A$9,8,IF(E187&gt;'Parâmetros'!$A$8,4,IF(E187&gt;'Parâmetros'!$A$7,0,-6))))</f>
        <v>NA</v>
      </c>
      <c r="AC187" s="82">
        <f>IF(Consultas!AC187='Parâmetros'!$E$1,0,5)</f>
        <v>5</v>
      </c>
      <c r="AD187" s="82">
        <f>IF(Consultas!AH187='Parâmetros'!$D$1,-10,5)</f>
        <v>5</v>
      </c>
      <c r="AE187" s="82">
        <f>IF(Consultas!AI187&gt;(Consultas!F187*2),-10,0)</f>
        <v>0</v>
      </c>
      <c r="AF187" s="82" t="b">
        <f>IF(Consultas!AD187&gt;1,(IF(Consultas!AI187&gt;(Consultas!AD187),-20,4)))</f>
        <v>0</v>
      </c>
      <c r="AG187" s="82">
        <f>IF(Consultas!AG187='Parâmetros'!$E$1,0,-6)</f>
        <v>-6</v>
      </c>
      <c r="AH187" s="82">
        <f>IF(Consultas!AF187='Parâmetros'!$E$1,1,-5)</f>
        <v>-5</v>
      </c>
      <c r="AI187" s="82">
        <f>IF(Consultas!AJ187&gt;700,8,IF(Consultas!AJ187&gt;500,4,IF(Consultas!AJ187&gt;200,-4,IF(Consultas!AJ187&gt;1,-15,-20))))</f>
        <v>-20</v>
      </c>
      <c r="AJ187" s="82">
        <f>IF(Consultas!AD187='Parâmetros'!$E$10,0,IF(Consultas!AD187&gt;'Parâmetros'!$A$30,12,IF(Consultas!AD187&gt;'Parâmetros'!$A$31,6,IF(Consultas!AD187&gt;'Parâmetros'!$A$32,0,IF(Consultas!AD187&gt;'Parâmetros'!$A$33,0,IF(Consultas!AD187&gt;'Parâmetros'!$A$34,-3,IF(Consultas!AD187&gt;'Parâmetros'!$A$35,-7,-1)))))))</f>
        <v>-1</v>
      </c>
      <c r="AK187" s="82">
        <f>IF(Consultas!AO187='Parâmetros'!$D$1,3,-3)</f>
        <v>-3</v>
      </c>
      <c r="AL187" s="82">
        <f>IF(Consultas!AP187='Parâmetros'!$D$1,5,-3)</f>
        <v>-3</v>
      </c>
      <c r="AM187" s="82">
        <f>IF(Consultas!AL187="N",-6,0)</f>
        <v>0</v>
      </c>
      <c r="AN187" s="82">
        <f>IF(Consultas!AM187="N",-10,0)</f>
        <v>0</v>
      </c>
      <c r="AO187" s="82">
        <f>IF(Consultas!AN187="S",4,-2)</f>
        <v>-2</v>
      </c>
      <c r="AP187" s="39"/>
      <c r="AQ187" s="165" t="str">
        <f>IF(Consultas!F187&gt;1,(SUM(F187:AO187)),"N/A")</f>
        <v>N/A</v>
      </c>
      <c r="AR187" s="78">
        <f>IF((Consultas!AD187&gt;'Parâmetros'!$A$31),"X",AJ187+Y187+V187+AC187)</f>
        <v>-9</v>
      </c>
      <c r="AS187" s="78">
        <f>IF((Consultas!AD187&gt;'Parâmetros'!$A$31),"X",(H187+I187+J187+Q187+T187+Y187+Z187+AJ187+AN187))</f>
        <v>-23</v>
      </c>
      <c r="AT187" s="78" t="str">
        <f>IF((Consultas!AD187&lt;'Parâmetros'!$A$31),"X",(AD187+AC187+AB187))</f>
        <v>X</v>
      </c>
      <c r="AU187" s="78">
        <f t="shared" si="1"/>
        <v>-23</v>
      </c>
      <c r="AV187" s="82" t="str">
        <f>IF(AQ187="N/A","N/A",IF(AQ187&gt;5,'Parâmetros'!$A$15,(IF(AU187=AR187,'Parâmetros'!$A$17,IF(AU187=AS187,'Parâmetros'!$A$16,'Parâmetros'!$A$14)))))</f>
        <v>N/A</v>
      </c>
      <c r="AW187" s="86" t="str">
        <f>IF(AQ187="N/A","N/A",IF(AV187='Parâmetros'!$A$15,'Parâmetros'!$C$15,(IF(AV187='Parâmetros'!$A$17,'Parâmetros'!$C$17,IF(AV187='Parâmetros'!$A$16,'Parâmetros'!$C$16,IF(AV187='Parâmetros'!$A$14,'Parâmetros'!$C$12))))))</f>
        <v>N/A</v>
      </c>
      <c r="AX187" s="82" t="b">
        <f>IF(Consultas!F187&gt;1,(IF(Consultas!F187&gt;5000,"SOLICITAR PED COMPRA","N/A")))</f>
        <v>0</v>
      </c>
      <c r="AY187" s="167" t="str">
        <f>IF(AND(Consultas!M187&lt;&gt;"S", Consultas!H187="S"), "CHECAGEM REVERSA", "N/A")</f>
        <v>N/A</v>
      </c>
      <c r="AZ187" s="167" t="str">
        <f>IF(Consultas!U187="N","PRECISA CORRIGIR END DIVERGENTE","N/A")</f>
        <v>N/A</v>
      </c>
    </row>
    <row r="188" ht="12.0" customHeight="1">
      <c r="A188" s="39" t="s">
        <v>90</v>
      </c>
      <c r="B188" s="82" t="str">
        <f>Consultas!B188</f>
        <v/>
      </c>
      <c r="C188" s="82" t="str">
        <f>Consultas!D188</f>
        <v/>
      </c>
      <c r="D188" s="96" t="str">
        <f>Consultas!E188</f>
        <v/>
      </c>
      <c r="E188" s="104" t="str">
        <f>IF(Consultas!AB188&gt;0,YEAR('Parâmetros'!$B$1)-YEAR(Consultas!AB188),"NA")</f>
        <v>NA</v>
      </c>
      <c r="F188" s="82">
        <f>IF(Consultas!F188&gt;'Parâmetros'!$B$2,-8,0)</f>
        <v>0</v>
      </c>
      <c r="G188" s="82">
        <f>IF(Consultas!H188='Parâmetros'!$E$1,100,0)</f>
        <v>0</v>
      </c>
      <c r="H188" s="82">
        <f>IF(Consultas!I188='Parâmetros'!$E$1,-4,12)</f>
        <v>12</v>
      </c>
      <c r="I188" s="82">
        <f>IF(Consultas!J188='Parâmetros'!$E$1,1,-13)</f>
        <v>-13</v>
      </c>
      <c r="J188" s="82">
        <f>IF(Consultas!K188='Parâmetros'!$E$1,2,-5)</f>
        <v>-5</v>
      </c>
      <c r="K188" s="82" t="str">
        <f>IF(Consultas!L188='Parâmetros'!$D$1,"SOLIC CONTRATO DE ENTREGA","N/A")</f>
        <v>N/A</v>
      </c>
      <c r="L188" s="82">
        <f>IF(Consultas!R188='Parâmetros'!$E$1,1,-3)</f>
        <v>-3</v>
      </c>
      <c r="M188" s="82" t="b">
        <f>IF(Consultas!S188&gt;1,(IF(Consultas!S188='Parâmetros'!$E$1,-3,9)))</f>
        <v>0</v>
      </c>
      <c r="N188" s="82">
        <f>IF(Consultas!T188="S",23,0)</f>
        <v>0</v>
      </c>
      <c r="O188" s="82">
        <f>IF(Consultas!U188='Parâmetros'!$E$1,-3,3)</f>
        <v>3</v>
      </c>
      <c r="P188" s="82">
        <f>IF(Consultas!V188='Parâmetros'!$E$1,-100,2)</f>
        <v>2</v>
      </c>
      <c r="Q188" s="82">
        <f>IF(Consultas!M188='Parâmetros'!$D$1,2,-9)</f>
        <v>-9</v>
      </c>
      <c r="R188" s="82">
        <f>IF(Consultas!N188="RJ",-12,0)</f>
        <v>0</v>
      </c>
      <c r="S188" s="82">
        <f>IF(Consultas!O188="-",-3,IF(Consultas!O188=0,-6,IF(Consultas!O188=5,0,IF(Consultas!O188=10,6))))</f>
        <v>-6</v>
      </c>
      <c r="T188" s="82">
        <f>IF(Consultas!M188="S",0,(IF(Consultas!P188="S",6,0)))</f>
        <v>0</v>
      </c>
      <c r="U188" s="82">
        <f>IF(Consultas!Q188&gt;97,9,IF(Consultas!Q188&gt;75,0,-7))</f>
        <v>-7</v>
      </c>
      <c r="V188" s="82">
        <f>IF(Consultas!W188='Parâmetros'!$E$1,1,-5)</f>
        <v>-5</v>
      </c>
      <c r="W188" s="82">
        <f>IF(Consultas!X188="S",3,-3)</f>
        <v>-3</v>
      </c>
      <c r="X188" s="82">
        <f>IF(Consultas!Y188="S",0,-7)</f>
        <v>-7</v>
      </c>
      <c r="Y188" s="82">
        <f>IF(Consultas!Z188='Parâmetros'!$E$1,2,-8)</f>
        <v>-8</v>
      </c>
      <c r="Z188" s="82">
        <f>IF(Consultas!AA188='Parâmetros'!$E$1,-15,1)</f>
        <v>1</v>
      </c>
      <c r="AA188" s="147" t="s">
        <v>140</v>
      </c>
      <c r="AB188" s="82" t="str">
        <f>IF(E188="NA","NA",IF(E188&gt;'Parâmetros'!$A$9,8,IF(E188&gt;'Parâmetros'!$A$8,4,IF(E188&gt;'Parâmetros'!$A$7,0,-6))))</f>
        <v>NA</v>
      </c>
      <c r="AC188" s="82">
        <f>IF(Consultas!AC188='Parâmetros'!$E$1,0,5)</f>
        <v>5</v>
      </c>
      <c r="AD188" s="82">
        <f>IF(Consultas!AH188='Parâmetros'!$D$1,-10,5)</f>
        <v>5</v>
      </c>
      <c r="AE188" s="82">
        <f>IF(Consultas!AI188&gt;(Consultas!F188*2),-10,0)</f>
        <v>0</v>
      </c>
      <c r="AF188" s="82" t="b">
        <f>IF(Consultas!AD188&gt;1,(IF(Consultas!AI188&gt;(Consultas!AD188),-20,4)))</f>
        <v>0</v>
      </c>
      <c r="AG188" s="82">
        <f>IF(Consultas!AG188='Parâmetros'!$E$1,0,-6)</f>
        <v>-6</v>
      </c>
      <c r="AH188" s="82">
        <f>IF(Consultas!AF188='Parâmetros'!$E$1,1,-5)</f>
        <v>-5</v>
      </c>
      <c r="AI188" s="82">
        <f>IF(Consultas!AJ188&gt;700,8,IF(Consultas!AJ188&gt;500,4,IF(Consultas!AJ188&gt;200,-4,IF(Consultas!AJ188&gt;1,-15,-20))))</f>
        <v>-20</v>
      </c>
      <c r="AJ188" s="82">
        <f>IF(Consultas!AD188='Parâmetros'!$E$10,0,IF(Consultas!AD188&gt;'Parâmetros'!$A$30,12,IF(Consultas!AD188&gt;'Parâmetros'!$A$31,6,IF(Consultas!AD188&gt;'Parâmetros'!$A$32,0,IF(Consultas!AD188&gt;'Parâmetros'!$A$33,0,IF(Consultas!AD188&gt;'Parâmetros'!$A$34,-3,IF(Consultas!AD188&gt;'Parâmetros'!$A$35,-7,-1)))))))</f>
        <v>-1</v>
      </c>
      <c r="AK188" s="82">
        <f>IF(Consultas!AO188='Parâmetros'!$D$1,3,-3)</f>
        <v>-3</v>
      </c>
      <c r="AL188" s="82">
        <f>IF(Consultas!AP188='Parâmetros'!$D$1,5,-3)</f>
        <v>-3</v>
      </c>
      <c r="AM188" s="82">
        <f>IF(Consultas!AL188="N",-6,0)</f>
        <v>0</v>
      </c>
      <c r="AN188" s="82">
        <f>IF(Consultas!AM188="N",-10,0)</f>
        <v>0</v>
      </c>
      <c r="AO188" s="82">
        <f>IF(Consultas!AN188="S",4,-2)</f>
        <v>-2</v>
      </c>
      <c r="AP188" s="39"/>
      <c r="AQ188" s="165" t="str">
        <f>IF(Consultas!F188&gt;1,(SUM(F188:AO188)),"N/A")</f>
        <v>N/A</v>
      </c>
      <c r="AR188" s="78">
        <f>IF((Consultas!AD188&gt;'Parâmetros'!$A$31),"X",AJ188+Y188+V188+AC188)</f>
        <v>-9</v>
      </c>
      <c r="AS188" s="78">
        <f>IF((Consultas!AD188&gt;'Parâmetros'!$A$31),"X",(H188+I188+J188+Q188+T188+Y188+Z188+AJ188+AN188))</f>
        <v>-23</v>
      </c>
      <c r="AT188" s="78" t="str">
        <f>IF((Consultas!AD188&lt;'Parâmetros'!$A$31),"X",(AD188+AC188+AB188))</f>
        <v>X</v>
      </c>
      <c r="AU188" s="78">
        <f t="shared" si="1"/>
        <v>-23</v>
      </c>
      <c r="AV188" s="82" t="str">
        <f>IF(AQ188="N/A","N/A",IF(AQ188&gt;5,'Parâmetros'!$A$15,(IF(AU188=AR188,'Parâmetros'!$A$17,IF(AU188=AS188,'Parâmetros'!$A$16,'Parâmetros'!$A$14)))))</f>
        <v>N/A</v>
      </c>
      <c r="AW188" s="86" t="str">
        <f>IF(AQ188="N/A","N/A",IF(AV188='Parâmetros'!$A$15,'Parâmetros'!$C$15,(IF(AV188='Parâmetros'!$A$17,'Parâmetros'!$C$17,IF(AV188='Parâmetros'!$A$16,'Parâmetros'!$C$16,IF(AV188='Parâmetros'!$A$14,'Parâmetros'!$C$12))))))</f>
        <v>N/A</v>
      </c>
      <c r="AX188" s="82" t="b">
        <f>IF(Consultas!F188&gt;1,(IF(Consultas!F188&gt;5000,"SOLICITAR PED COMPRA","N/A")))</f>
        <v>0</v>
      </c>
      <c r="AY188" s="167" t="str">
        <f>IF(AND(Consultas!M188&lt;&gt;"S", Consultas!H188="S"), "CHECAGEM REVERSA", "N/A")</f>
        <v>N/A</v>
      </c>
      <c r="AZ188" s="167" t="str">
        <f>IF(Consultas!U188="N","PRECISA CORRIGIR END DIVERGENTE","N/A")</f>
        <v>N/A</v>
      </c>
    </row>
    <row r="189" ht="12.0" customHeight="1">
      <c r="A189" s="39" t="s">
        <v>90</v>
      </c>
      <c r="B189" s="82" t="str">
        <f>Consultas!B189</f>
        <v/>
      </c>
      <c r="C189" s="82" t="str">
        <f>Consultas!D189</f>
        <v/>
      </c>
      <c r="D189" s="96" t="str">
        <f>Consultas!E189</f>
        <v/>
      </c>
      <c r="E189" s="104" t="str">
        <f>IF(Consultas!AB189&gt;0,YEAR('Parâmetros'!$B$1)-YEAR(Consultas!AB189),"NA")</f>
        <v>NA</v>
      </c>
      <c r="F189" s="82">
        <f>IF(Consultas!F189&gt;'Parâmetros'!$B$2,-8,0)</f>
        <v>0</v>
      </c>
      <c r="G189" s="82">
        <f>IF(Consultas!H189='Parâmetros'!$E$1,100,0)</f>
        <v>0</v>
      </c>
      <c r="H189" s="82">
        <f>IF(Consultas!I189='Parâmetros'!$E$1,-4,12)</f>
        <v>12</v>
      </c>
      <c r="I189" s="82">
        <f>IF(Consultas!J189='Parâmetros'!$E$1,1,-13)</f>
        <v>-13</v>
      </c>
      <c r="J189" s="82">
        <f>IF(Consultas!K189='Parâmetros'!$E$1,2,-5)</f>
        <v>-5</v>
      </c>
      <c r="K189" s="82" t="str">
        <f>IF(Consultas!L189='Parâmetros'!$D$1,"SOLIC CONTRATO DE ENTREGA","N/A")</f>
        <v>N/A</v>
      </c>
      <c r="L189" s="82">
        <f>IF(Consultas!R189='Parâmetros'!$E$1,1,-3)</f>
        <v>-3</v>
      </c>
      <c r="M189" s="82" t="b">
        <f>IF(Consultas!S189&gt;1,(IF(Consultas!S189='Parâmetros'!$E$1,-3,9)))</f>
        <v>0</v>
      </c>
      <c r="N189" s="82">
        <f>IF(Consultas!T189="S",23,0)</f>
        <v>0</v>
      </c>
      <c r="O189" s="82">
        <f>IF(Consultas!U189='Parâmetros'!$E$1,-3,3)</f>
        <v>3</v>
      </c>
      <c r="P189" s="82">
        <f>IF(Consultas!V189='Parâmetros'!$E$1,-100,2)</f>
        <v>2</v>
      </c>
      <c r="Q189" s="82">
        <f>IF(Consultas!M189='Parâmetros'!$D$1,2,-9)</f>
        <v>-9</v>
      </c>
      <c r="R189" s="82">
        <f>IF(Consultas!N189="RJ",-12,0)</f>
        <v>0</v>
      </c>
      <c r="S189" s="82">
        <f>IF(Consultas!O189="-",-3,IF(Consultas!O189=0,-6,IF(Consultas!O189=5,0,IF(Consultas!O189=10,6))))</f>
        <v>-6</v>
      </c>
      <c r="T189" s="82">
        <f>IF(Consultas!M189="S",0,(IF(Consultas!P189="S",6,0)))</f>
        <v>0</v>
      </c>
      <c r="U189" s="82">
        <f>IF(Consultas!Q189&gt;97,9,IF(Consultas!Q189&gt;75,0,-7))</f>
        <v>-7</v>
      </c>
      <c r="V189" s="82">
        <f>IF(Consultas!W189='Parâmetros'!$E$1,1,-5)</f>
        <v>-5</v>
      </c>
      <c r="W189" s="82">
        <f>IF(Consultas!X189="S",3,-3)</f>
        <v>-3</v>
      </c>
      <c r="X189" s="82">
        <f>IF(Consultas!Y189="S",0,-7)</f>
        <v>-7</v>
      </c>
      <c r="Y189" s="82">
        <f>IF(Consultas!Z189='Parâmetros'!$E$1,2,-8)</f>
        <v>-8</v>
      </c>
      <c r="Z189" s="82">
        <f>IF(Consultas!AA189='Parâmetros'!$E$1,-15,1)</f>
        <v>1</v>
      </c>
      <c r="AA189" s="147" t="s">
        <v>140</v>
      </c>
      <c r="AB189" s="82" t="str">
        <f>IF(E189="NA","NA",IF(E189&gt;'Parâmetros'!$A$9,8,IF(E189&gt;'Parâmetros'!$A$8,4,IF(E189&gt;'Parâmetros'!$A$7,0,-6))))</f>
        <v>NA</v>
      </c>
      <c r="AC189" s="82">
        <f>IF(Consultas!AC189='Parâmetros'!$E$1,0,5)</f>
        <v>5</v>
      </c>
      <c r="AD189" s="82">
        <f>IF(Consultas!AH189='Parâmetros'!$D$1,-10,5)</f>
        <v>5</v>
      </c>
      <c r="AE189" s="82">
        <f>IF(Consultas!AI189&gt;(Consultas!F189*2),-10,0)</f>
        <v>0</v>
      </c>
      <c r="AF189" s="82" t="b">
        <f>IF(Consultas!AD189&gt;1,(IF(Consultas!AI189&gt;(Consultas!AD189),-20,4)))</f>
        <v>0</v>
      </c>
      <c r="AG189" s="82">
        <f>IF(Consultas!AG189='Parâmetros'!$E$1,0,-6)</f>
        <v>-6</v>
      </c>
      <c r="AH189" s="82">
        <f>IF(Consultas!AF189='Parâmetros'!$E$1,1,-5)</f>
        <v>-5</v>
      </c>
      <c r="AI189" s="82">
        <f>IF(Consultas!AJ189&gt;700,8,IF(Consultas!AJ189&gt;500,4,IF(Consultas!AJ189&gt;200,-4,IF(Consultas!AJ189&gt;1,-15,-20))))</f>
        <v>-20</v>
      </c>
      <c r="AJ189" s="82">
        <f>IF(Consultas!AD189='Parâmetros'!$E$10,0,IF(Consultas!AD189&gt;'Parâmetros'!$A$30,12,IF(Consultas!AD189&gt;'Parâmetros'!$A$31,6,IF(Consultas!AD189&gt;'Parâmetros'!$A$32,0,IF(Consultas!AD189&gt;'Parâmetros'!$A$33,0,IF(Consultas!AD189&gt;'Parâmetros'!$A$34,-3,IF(Consultas!AD189&gt;'Parâmetros'!$A$35,-7,-1)))))))</f>
        <v>-1</v>
      </c>
      <c r="AK189" s="82">
        <f>IF(Consultas!AO189='Parâmetros'!$D$1,3,-3)</f>
        <v>-3</v>
      </c>
      <c r="AL189" s="82">
        <f>IF(Consultas!AP189='Parâmetros'!$D$1,5,-3)</f>
        <v>-3</v>
      </c>
      <c r="AM189" s="82">
        <f>IF(Consultas!AL189="N",-6,0)</f>
        <v>0</v>
      </c>
      <c r="AN189" s="82">
        <f>IF(Consultas!AM189="N",-10,0)</f>
        <v>0</v>
      </c>
      <c r="AO189" s="82">
        <f>IF(Consultas!AN189="S",4,-2)</f>
        <v>-2</v>
      </c>
      <c r="AP189" s="39"/>
      <c r="AQ189" s="165" t="str">
        <f>IF(Consultas!F189&gt;1,(SUM(F189:AO189)),"N/A")</f>
        <v>N/A</v>
      </c>
      <c r="AR189" s="78">
        <f>IF((Consultas!AD189&gt;'Parâmetros'!$A$31),"X",AJ189+Y189+V189+AC189)</f>
        <v>-9</v>
      </c>
      <c r="AS189" s="78">
        <f>IF((Consultas!AD189&gt;'Parâmetros'!$A$31),"X",(H189+I189+J189+Q189+T189+Y189+Z189+AJ189+AN189))</f>
        <v>-23</v>
      </c>
      <c r="AT189" s="78" t="str">
        <f>IF((Consultas!AD189&lt;'Parâmetros'!$A$31),"X",(AD189+AC189+AB189))</f>
        <v>X</v>
      </c>
      <c r="AU189" s="78">
        <f t="shared" si="1"/>
        <v>-23</v>
      </c>
      <c r="AV189" s="82" t="str">
        <f>IF(AQ189="N/A","N/A",IF(AQ189&gt;5,'Parâmetros'!$A$15,(IF(AU189=AR189,'Parâmetros'!$A$17,IF(AU189=AS189,'Parâmetros'!$A$16,'Parâmetros'!$A$14)))))</f>
        <v>N/A</v>
      </c>
      <c r="AW189" s="86" t="str">
        <f>IF(AQ189="N/A","N/A",IF(AV189='Parâmetros'!$A$15,'Parâmetros'!$C$15,(IF(AV189='Parâmetros'!$A$17,'Parâmetros'!$C$17,IF(AV189='Parâmetros'!$A$16,'Parâmetros'!$C$16,IF(AV189='Parâmetros'!$A$14,'Parâmetros'!$C$12))))))</f>
        <v>N/A</v>
      </c>
      <c r="AX189" s="82" t="b">
        <f>IF(Consultas!F189&gt;1,(IF(Consultas!F189&gt;5000,"SOLICITAR PED COMPRA","N/A")))</f>
        <v>0</v>
      </c>
      <c r="AY189" s="167" t="str">
        <f>IF(AND(Consultas!M189&lt;&gt;"S", Consultas!H189="S"), "CHECAGEM REVERSA", "N/A")</f>
        <v>N/A</v>
      </c>
      <c r="AZ189" s="167" t="str">
        <f>IF(Consultas!U189="N","PRECISA CORRIGIR END DIVERGENTE","N/A")</f>
        <v>N/A</v>
      </c>
    </row>
    <row r="190" ht="12.0" customHeight="1">
      <c r="A190" s="39" t="s">
        <v>90</v>
      </c>
      <c r="B190" s="82" t="str">
        <f>Consultas!B190</f>
        <v/>
      </c>
      <c r="C190" s="82" t="str">
        <f>Consultas!D190</f>
        <v/>
      </c>
      <c r="D190" s="96" t="str">
        <f>Consultas!E190</f>
        <v/>
      </c>
      <c r="E190" s="104" t="str">
        <f>IF(Consultas!AB190&gt;0,YEAR('Parâmetros'!$B$1)-YEAR(Consultas!AB190),"NA")</f>
        <v>NA</v>
      </c>
      <c r="F190" s="82">
        <f>IF(Consultas!F190&gt;'Parâmetros'!$B$2,-8,0)</f>
        <v>0</v>
      </c>
      <c r="G190" s="82">
        <f>IF(Consultas!H190='Parâmetros'!$E$1,100,0)</f>
        <v>0</v>
      </c>
      <c r="H190" s="82">
        <f>IF(Consultas!I190='Parâmetros'!$E$1,-4,12)</f>
        <v>12</v>
      </c>
      <c r="I190" s="82">
        <f>IF(Consultas!J190='Parâmetros'!$E$1,1,-13)</f>
        <v>-13</v>
      </c>
      <c r="J190" s="82">
        <f>IF(Consultas!K190='Parâmetros'!$E$1,2,-5)</f>
        <v>-5</v>
      </c>
      <c r="K190" s="82" t="str">
        <f>IF(Consultas!L190='Parâmetros'!$D$1,"SOLIC CONTRATO DE ENTREGA","N/A")</f>
        <v>N/A</v>
      </c>
      <c r="L190" s="82">
        <f>IF(Consultas!R190='Parâmetros'!$E$1,1,-3)</f>
        <v>-3</v>
      </c>
      <c r="M190" s="82" t="b">
        <f>IF(Consultas!S190&gt;1,(IF(Consultas!S190='Parâmetros'!$E$1,-3,9)))</f>
        <v>0</v>
      </c>
      <c r="N190" s="82">
        <f>IF(Consultas!T190="S",23,0)</f>
        <v>0</v>
      </c>
      <c r="O190" s="82">
        <f>IF(Consultas!U190='Parâmetros'!$E$1,-3,3)</f>
        <v>3</v>
      </c>
      <c r="P190" s="82">
        <f>IF(Consultas!V190='Parâmetros'!$E$1,-100,2)</f>
        <v>2</v>
      </c>
      <c r="Q190" s="82">
        <f>IF(Consultas!M190='Parâmetros'!$D$1,2,-9)</f>
        <v>-9</v>
      </c>
      <c r="R190" s="82">
        <f>IF(Consultas!N190="RJ",-12,0)</f>
        <v>0</v>
      </c>
      <c r="S190" s="82">
        <f>IF(Consultas!O190="-",-3,IF(Consultas!O190=0,-6,IF(Consultas!O190=5,0,IF(Consultas!O190=10,6))))</f>
        <v>-6</v>
      </c>
      <c r="T190" s="82">
        <f>IF(Consultas!M190="S",0,(IF(Consultas!P190="S",6,0)))</f>
        <v>0</v>
      </c>
      <c r="U190" s="82">
        <f>IF(Consultas!Q190&gt;97,9,IF(Consultas!Q190&gt;75,0,-7))</f>
        <v>-7</v>
      </c>
      <c r="V190" s="82">
        <f>IF(Consultas!W190='Parâmetros'!$E$1,1,-5)</f>
        <v>-5</v>
      </c>
      <c r="W190" s="82">
        <f>IF(Consultas!X190="S",3,-3)</f>
        <v>-3</v>
      </c>
      <c r="X190" s="82">
        <f>IF(Consultas!Y190="S",0,-7)</f>
        <v>-7</v>
      </c>
      <c r="Y190" s="82">
        <f>IF(Consultas!Z190='Parâmetros'!$E$1,2,-8)</f>
        <v>-8</v>
      </c>
      <c r="Z190" s="82">
        <f>IF(Consultas!AA190='Parâmetros'!$E$1,-15,1)</f>
        <v>1</v>
      </c>
      <c r="AA190" s="147" t="s">
        <v>140</v>
      </c>
      <c r="AB190" s="82" t="str">
        <f>IF(E190="NA","NA",IF(E190&gt;'Parâmetros'!$A$9,8,IF(E190&gt;'Parâmetros'!$A$8,4,IF(E190&gt;'Parâmetros'!$A$7,0,-6))))</f>
        <v>NA</v>
      </c>
      <c r="AC190" s="82">
        <f>IF(Consultas!AC190='Parâmetros'!$E$1,0,5)</f>
        <v>5</v>
      </c>
      <c r="AD190" s="82">
        <f>IF(Consultas!AH190='Parâmetros'!$D$1,-10,5)</f>
        <v>5</v>
      </c>
      <c r="AE190" s="82">
        <f>IF(Consultas!AI190&gt;(Consultas!F190*2),-10,0)</f>
        <v>0</v>
      </c>
      <c r="AF190" s="82" t="b">
        <f>IF(Consultas!AD190&gt;1,(IF(Consultas!AI190&gt;(Consultas!AD190),-20,4)))</f>
        <v>0</v>
      </c>
      <c r="AG190" s="82">
        <f>IF(Consultas!AG190='Parâmetros'!$E$1,0,-6)</f>
        <v>-6</v>
      </c>
      <c r="AH190" s="82">
        <f>IF(Consultas!AF190='Parâmetros'!$E$1,1,-5)</f>
        <v>-5</v>
      </c>
      <c r="AI190" s="82">
        <f>IF(Consultas!AJ190&gt;700,8,IF(Consultas!AJ190&gt;500,4,IF(Consultas!AJ190&gt;200,-4,IF(Consultas!AJ190&gt;1,-15,-20))))</f>
        <v>-20</v>
      </c>
      <c r="AJ190" s="82">
        <f>IF(Consultas!AD190='Parâmetros'!$E$10,0,IF(Consultas!AD190&gt;'Parâmetros'!$A$30,12,IF(Consultas!AD190&gt;'Parâmetros'!$A$31,6,IF(Consultas!AD190&gt;'Parâmetros'!$A$32,0,IF(Consultas!AD190&gt;'Parâmetros'!$A$33,0,IF(Consultas!AD190&gt;'Parâmetros'!$A$34,-3,IF(Consultas!AD190&gt;'Parâmetros'!$A$35,-7,-1)))))))</f>
        <v>-1</v>
      </c>
      <c r="AK190" s="82">
        <f>IF(Consultas!AO190='Parâmetros'!$D$1,3,-3)</f>
        <v>-3</v>
      </c>
      <c r="AL190" s="82">
        <f>IF(Consultas!AP190='Parâmetros'!$D$1,5,-3)</f>
        <v>-3</v>
      </c>
      <c r="AM190" s="82">
        <f>IF(Consultas!AL190="N",-6,0)</f>
        <v>0</v>
      </c>
      <c r="AN190" s="82">
        <f>IF(Consultas!AM190="N",-10,0)</f>
        <v>0</v>
      </c>
      <c r="AO190" s="82">
        <f>IF(Consultas!AN190="S",4,-2)</f>
        <v>-2</v>
      </c>
      <c r="AP190" s="39"/>
      <c r="AQ190" s="165" t="str">
        <f>IF(Consultas!F190&gt;1,(SUM(F190:AO190)),"N/A")</f>
        <v>N/A</v>
      </c>
      <c r="AR190" s="78">
        <f>IF((Consultas!AD190&gt;'Parâmetros'!$A$31),"X",AJ190+Y190+V190+AC190)</f>
        <v>-9</v>
      </c>
      <c r="AS190" s="78">
        <f>IF((Consultas!AD190&gt;'Parâmetros'!$A$31),"X",(H190+I190+J190+Q190+T190+Y190+Z190+AJ190+AN190))</f>
        <v>-23</v>
      </c>
      <c r="AT190" s="78" t="str">
        <f>IF((Consultas!AD190&lt;'Parâmetros'!$A$31),"X",(AD190+AC190+AB190))</f>
        <v>X</v>
      </c>
      <c r="AU190" s="78">
        <f t="shared" si="1"/>
        <v>-23</v>
      </c>
      <c r="AV190" s="82" t="str">
        <f>IF(AQ190="N/A","N/A",IF(AQ190&gt;5,'Parâmetros'!$A$15,(IF(AU190=AR190,'Parâmetros'!$A$17,IF(AU190=AS190,'Parâmetros'!$A$16,'Parâmetros'!$A$14)))))</f>
        <v>N/A</v>
      </c>
      <c r="AW190" s="86" t="str">
        <f>IF(AQ190="N/A","N/A",IF(AV190='Parâmetros'!$A$15,'Parâmetros'!$C$15,(IF(AV190='Parâmetros'!$A$17,'Parâmetros'!$C$17,IF(AV190='Parâmetros'!$A$16,'Parâmetros'!$C$16,IF(AV190='Parâmetros'!$A$14,'Parâmetros'!$C$12))))))</f>
        <v>N/A</v>
      </c>
      <c r="AX190" s="82" t="b">
        <f>IF(Consultas!F190&gt;1,(IF(Consultas!F190&gt;5000,"SOLICITAR PED COMPRA","N/A")))</f>
        <v>0</v>
      </c>
      <c r="AY190" s="167" t="str">
        <f>IF(AND(Consultas!M190&lt;&gt;"S", Consultas!H190="S"), "CHECAGEM REVERSA", "N/A")</f>
        <v>N/A</v>
      </c>
      <c r="AZ190" s="167" t="str">
        <f>IF(Consultas!U190="N","PRECISA CORRIGIR END DIVERGENTE","N/A")</f>
        <v>N/A</v>
      </c>
    </row>
    <row r="191" ht="12.0" customHeight="1">
      <c r="A191" s="39" t="s">
        <v>90</v>
      </c>
      <c r="B191" s="82" t="str">
        <f>Consultas!B191</f>
        <v/>
      </c>
      <c r="C191" s="82" t="str">
        <f>Consultas!D191</f>
        <v/>
      </c>
      <c r="D191" s="96" t="str">
        <f>Consultas!E191</f>
        <v/>
      </c>
      <c r="E191" s="104" t="str">
        <f>IF(Consultas!AB191&gt;0,YEAR('Parâmetros'!$B$1)-YEAR(Consultas!AB191),"NA")</f>
        <v>NA</v>
      </c>
      <c r="F191" s="82">
        <f>IF(Consultas!F191&gt;'Parâmetros'!$B$2,-8,0)</f>
        <v>0</v>
      </c>
      <c r="G191" s="82">
        <f>IF(Consultas!H191='Parâmetros'!$E$1,100,0)</f>
        <v>0</v>
      </c>
      <c r="H191" s="82">
        <f>IF(Consultas!I191='Parâmetros'!$E$1,-4,12)</f>
        <v>12</v>
      </c>
      <c r="I191" s="82">
        <f>IF(Consultas!J191='Parâmetros'!$E$1,1,-13)</f>
        <v>-13</v>
      </c>
      <c r="J191" s="82">
        <f>IF(Consultas!K191='Parâmetros'!$E$1,2,-5)</f>
        <v>-5</v>
      </c>
      <c r="K191" s="82" t="str">
        <f>IF(Consultas!L191='Parâmetros'!$D$1,"SOLIC CONTRATO DE ENTREGA","N/A")</f>
        <v>N/A</v>
      </c>
      <c r="L191" s="82">
        <f>IF(Consultas!R191='Parâmetros'!$E$1,1,-3)</f>
        <v>-3</v>
      </c>
      <c r="M191" s="82" t="b">
        <f>IF(Consultas!S191&gt;1,(IF(Consultas!S191='Parâmetros'!$E$1,-3,9)))</f>
        <v>0</v>
      </c>
      <c r="N191" s="82">
        <f>IF(Consultas!T191="S",23,0)</f>
        <v>0</v>
      </c>
      <c r="O191" s="82">
        <f>IF(Consultas!U191='Parâmetros'!$E$1,-3,3)</f>
        <v>3</v>
      </c>
      <c r="P191" s="82">
        <f>IF(Consultas!V191='Parâmetros'!$E$1,-100,2)</f>
        <v>2</v>
      </c>
      <c r="Q191" s="82">
        <f>IF(Consultas!M191='Parâmetros'!$D$1,2,-9)</f>
        <v>-9</v>
      </c>
      <c r="R191" s="82">
        <f>IF(Consultas!N191="RJ",-12,0)</f>
        <v>0</v>
      </c>
      <c r="S191" s="82">
        <f>IF(Consultas!O191="-",-3,IF(Consultas!O191=0,-6,IF(Consultas!O191=5,0,IF(Consultas!O191=10,6))))</f>
        <v>-6</v>
      </c>
      <c r="T191" s="82">
        <f>IF(Consultas!M191="S",0,(IF(Consultas!P191="S",6,0)))</f>
        <v>0</v>
      </c>
      <c r="U191" s="82">
        <f>IF(Consultas!Q191&gt;97,9,IF(Consultas!Q191&gt;75,0,-7))</f>
        <v>-7</v>
      </c>
      <c r="V191" s="82">
        <f>IF(Consultas!W191='Parâmetros'!$E$1,1,-5)</f>
        <v>-5</v>
      </c>
      <c r="W191" s="82">
        <f>IF(Consultas!X191="S",3,-3)</f>
        <v>-3</v>
      </c>
      <c r="X191" s="82">
        <f>IF(Consultas!Y191="S",0,-7)</f>
        <v>-7</v>
      </c>
      <c r="Y191" s="82">
        <f>IF(Consultas!Z191='Parâmetros'!$E$1,2,-8)</f>
        <v>-8</v>
      </c>
      <c r="Z191" s="82">
        <f>IF(Consultas!AA191='Parâmetros'!$E$1,-15,1)</f>
        <v>1</v>
      </c>
      <c r="AA191" s="147" t="s">
        <v>140</v>
      </c>
      <c r="AB191" s="82" t="str">
        <f>IF(E191="NA","NA",IF(E191&gt;'Parâmetros'!$A$9,8,IF(E191&gt;'Parâmetros'!$A$8,4,IF(E191&gt;'Parâmetros'!$A$7,0,-6))))</f>
        <v>NA</v>
      </c>
      <c r="AC191" s="82">
        <f>IF(Consultas!AC191='Parâmetros'!$E$1,0,5)</f>
        <v>5</v>
      </c>
      <c r="AD191" s="82">
        <f>IF(Consultas!AH191='Parâmetros'!$D$1,-10,5)</f>
        <v>5</v>
      </c>
      <c r="AE191" s="82">
        <f>IF(Consultas!AI191&gt;(Consultas!F191*2),-10,0)</f>
        <v>0</v>
      </c>
      <c r="AF191" s="82" t="b">
        <f>IF(Consultas!AD191&gt;1,(IF(Consultas!AI191&gt;(Consultas!AD191),-20,4)))</f>
        <v>0</v>
      </c>
      <c r="AG191" s="82">
        <f>IF(Consultas!AG191='Parâmetros'!$E$1,0,-6)</f>
        <v>-6</v>
      </c>
      <c r="AH191" s="82">
        <f>IF(Consultas!AF191='Parâmetros'!$E$1,1,-5)</f>
        <v>-5</v>
      </c>
      <c r="AI191" s="82">
        <f>IF(Consultas!AJ191&gt;700,8,IF(Consultas!AJ191&gt;500,4,IF(Consultas!AJ191&gt;200,-4,IF(Consultas!AJ191&gt;1,-15,-20))))</f>
        <v>-20</v>
      </c>
      <c r="AJ191" s="82">
        <f>IF(Consultas!AD191='Parâmetros'!$E$10,0,IF(Consultas!AD191&gt;'Parâmetros'!$A$30,12,IF(Consultas!AD191&gt;'Parâmetros'!$A$31,6,IF(Consultas!AD191&gt;'Parâmetros'!$A$32,0,IF(Consultas!AD191&gt;'Parâmetros'!$A$33,0,IF(Consultas!AD191&gt;'Parâmetros'!$A$34,-3,IF(Consultas!AD191&gt;'Parâmetros'!$A$35,-7,-1)))))))</f>
        <v>-1</v>
      </c>
      <c r="AK191" s="82">
        <f>IF(Consultas!AO191='Parâmetros'!$D$1,3,-3)</f>
        <v>-3</v>
      </c>
      <c r="AL191" s="82">
        <f>IF(Consultas!AP191='Parâmetros'!$D$1,5,-3)</f>
        <v>-3</v>
      </c>
      <c r="AM191" s="82">
        <f>IF(Consultas!AL191="N",-6,0)</f>
        <v>0</v>
      </c>
      <c r="AN191" s="82">
        <f>IF(Consultas!AM191="N",-10,0)</f>
        <v>0</v>
      </c>
      <c r="AO191" s="82">
        <f>IF(Consultas!AN191="S",4,-2)</f>
        <v>-2</v>
      </c>
      <c r="AP191" s="39"/>
      <c r="AQ191" s="165" t="str">
        <f>IF(Consultas!F191&gt;1,(SUM(F191:AO191)),"N/A")</f>
        <v>N/A</v>
      </c>
      <c r="AR191" s="78">
        <f>IF((Consultas!AD191&gt;'Parâmetros'!$A$31),"X",AJ191+Y191+V191+AC191)</f>
        <v>-9</v>
      </c>
      <c r="AS191" s="78">
        <f>IF((Consultas!AD191&gt;'Parâmetros'!$A$31),"X",(H191+I191+J191+Q191+T191+Y191+Z191+AJ191+AN191))</f>
        <v>-23</v>
      </c>
      <c r="AT191" s="78" t="str">
        <f>IF((Consultas!AD191&lt;'Parâmetros'!$A$31),"X",(AD191+AC191+AB191))</f>
        <v>X</v>
      </c>
      <c r="AU191" s="78">
        <f t="shared" si="1"/>
        <v>-23</v>
      </c>
      <c r="AV191" s="82" t="str">
        <f>IF(AQ191="N/A","N/A",IF(AQ191&gt;5,'Parâmetros'!$A$15,(IF(AU191=AR191,'Parâmetros'!$A$17,IF(AU191=AS191,'Parâmetros'!$A$16,'Parâmetros'!$A$14)))))</f>
        <v>N/A</v>
      </c>
      <c r="AW191" s="86" t="str">
        <f>IF(AQ191="N/A","N/A",IF(AV191='Parâmetros'!$A$15,'Parâmetros'!$C$15,(IF(AV191='Parâmetros'!$A$17,'Parâmetros'!$C$17,IF(AV191='Parâmetros'!$A$16,'Parâmetros'!$C$16,IF(AV191='Parâmetros'!$A$14,'Parâmetros'!$C$12))))))</f>
        <v>N/A</v>
      </c>
      <c r="AX191" s="82" t="b">
        <f>IF(Consultas!F191&gt;1,(IF(Consultas!F191&gt;5000,"SOLICITAR PED COMPRA","N/A")))</f>
        <v>0</v>
      </c>
      <c r="AY191" s="167" t="str">
        <f>IF(AND(Consultas!M191&lt;&gt;"S", Consultas!H191="S"), "CHECAGEM REVERSA", "N/A")</f>
        <v>N/A</v>
      </c>
      <c r="AZ191" s="167" t="str">
        <f>IF(Consultas!U191="N","PRECISA CORRIGIR END DIVERGENTE","N/A")</f>
        <v>N/A</v>
      </c>
    </row>
    <row r="192" ht="12.0" customHeight="1">
      <c r="A192" s="39" t="s">
        <v>90</v>
      </c>
      <c r="B192" s="82" t="str">
        <f>Consultas!B192</f>
        <v/>
      </c>
      <c r="C192" s="82" t="str">
        <f>Consultas!D192</f>
        <v/>
      </c>
      <c r="D192" s="96" t="str">
        <f>Consultas!E192</f>
        <v/>
      </c>
      <c r="E192" s="104" t="str">
        <f>IF(Consultas!AB192&gt;0,YEAR('Parâmetros'!$B$1)-YEAR(Consultas!AB192),"NA")</f>
        <v>NA</v>
      </c>
      <c r="F192" s="82">
        <f>IF(Consultas!F192&gt;'Parâmetros'!$B$2,-8,0)</f>
        <v>0</v>
      </c>
      <c r="G192" s="82">
        <f>IF(Consultas!H192='Parâmetros'!$E$1,100,0)</f>
        <v>0</v>
      </c>
      <c r="H192" s="82">
        <f>IF(Consultas!I192='Parâmetros'!$E$1,-4,12)</f>
        <v>12</v>
      </c>
      <c r="I192" s="82">
        <f>IF(Consultas!J192='Parâmetros'!$E$1,1,-13)</f>
        <v>-13</v>
      </c>
      <c r="J192" s="82">
        <f>IF(Consultas!K192='Parâmetros'!$E$1,2,-5)</f>
        <v>-5</v>
      </c>
      <c r="K192" s="82" t="str">
        <f>IF(Consultas!L192='Parâmetros'!$D$1,"SOLIC CONTRATO DE ENTREGA","N/A")</f>
        <v>N/A</v>
      </c>
      <c r="L192" s="82">
        <f>IF(Consultas!R192='Parâmetros'!$E$1,1,-3)</f>
        <v>-3</v>
      </c>
      <c r="M192" s="82" t="b">
        <f>IF(Consultas!S192&gt;1,(IF(Consultas!S192='Parâmetros'!$E$1,-3,9)))</f>
        <v>0</v>
      </c>
      <c r="N192" s="82">
        <f>IF(Consultas!T192="S",23,0)</f>
        <v>0</v>
      </c>
      <c r="O192" s="82">
        <f>IF(Consultas!U192='Parâmetros'!$E$1,-3,3)</f>
        <v>3</v>
      </c>
      <c r="P192" s="82">
        <f>IF(Consultas!V192='Parâmetros'!$E$1,-100,2)</f>
        <v>2</v>
      </c>
      <c r="Q192" s="82">
        <f>IF(Consultas!M192='Parâmetros'!$D$1,2,-9)</f>
        <v>-9</v>
      </c>
      <c r="R192" s="82">
        <f>IF(Consultas!N192="RJ",-12,0)</f>
        <v>0</v>
      </c>
      <c r="S192" s="82">
        <f>IF(Consultas!O192="-",-3,IF(Consultas!O192=0,-6,IF(Consultas!O192=5,0,IF(Consultas!O192=10,6))))</f>
        <v>-6</v>
      </c>
      <c r="T192" s="82">
        <f>IF(Consultas!M192="S",0,(IF(Consultas!P192="S",6,0)))</f>
        <v>0</v>
      </c>
      <c r="U192" s="82">
        <f>IF(Consultas!Q192&gt;97,9,IF(Consultas!Q192&gt;75,0,-7))</f>
        <v>-7</v>
      </c>
      <c r="V192" s="82">
        <f>IF(Consultas!W192='Parâmetros'!$E$1,1,-5)</f>
        <v>-5</v>
      </c>
      <c r="W192" s="82">
        <f>IF(Consultas!X192="S",3,-3)</f>
        <v>-3</v>
      </c>
      <c r="X192" s="82">
        <f>IF(Consultas!Y192="S",0,-7)</f>
        <v>-7</v>
      </c>
      <c r="Y192" s="82">
        <f>IF(Consultas!Z192='Parâmetros'!$E$1,2,-8)</f>
        <v>-8</v>
      </c>
      <c r="Z192" s="82">
        <f>IF(Consultas!AA192='Parâmetros'!$E$1,-15,1)</f>
        <v>1</v>
      </c>
      <c r="AA192" s="147" t="s">
        <v>140</v>
      </c>
      <c r="AB192" s="82" t="str">
        <f>IF(E192="NA","NA",IF(E192&gt;'Parâmetros'!$A$9,8,IF(E192&gt;'Parâmetros'!$A$8,4,IF(E192&gt;'Parâmetros'!$A$7,0,-6))))</f>
        <v>NA</v>
      </c>
      <c r="AC192" s="82">
        <f>IF(Consultas!AC192='Parâmetros'!$E$1,0,5)</f>
        <v>5</v>
      </c>
      <c r="AD192" s="82">
        <f>IF(Consultas!AH192='Parâmetros'!$D$1,-10,5)</f>
        <v>5</v>
      </c>
      <c r="AE192" s="82">
        <f>IF(Consultas!AI192&gt;(Consultas!F192*2),-10,0)</f>
        <v>0</v>
      </c>
      <c r="AF192" s="82" t="b">
        <f>IF(Consultas!AD192&gt;1,(IF(Consultas!AI192&gt;(Consultas!AD192),-20,4)))</f>
        <v>0</v>
      </c>
      <c r="AG192" s="82">
        <f>IF(Consultas!AG192='Parâmetros'!$E$1,0,-6)</f>
        <v>-6</v>
      </c>
      <c r="AH192" s="82">
        <f>IF(Consultas!AF192='Parâmetros'!$E$1,1,-5)</f>
        <v>-5</v>
      </c>
      <c r="AI192" s="82">
        <f>IF(Consultas!AJ192&gt;700,8,IF(Consultas!AJ192&gt;500,4,IF(Consultas!AJ192&gt;200,-4,IF(Consultas!AJ192&gt;1,-15,-20))))</f>
        <v>-20</v>
      </c>
      <c r="AJ192" s="82">
        <f>IF(Consultas!AD192='Parâmetros'!$E$10,0,IF(Consultas!AD192&gt;'Parâmetros'!$A$30,12,IF(Consultas!AD192&gt;'Parâmetros'!$A$31,6,IF(Consultas!AD192&gt;'Parâmetros'!$A$32,0,IF(Consultas!AD192&gt;'Parâmetros'!$A$33,0,IF(Consultas!AD192&gt;'Parâmetros'!$A$34,-3,IF(Consultas!AD192&gt;'Parâmetros'!$A$35,-7,-1)))))))</f>
        <v>-1</v>
      </c>
      <c r="AK192" s="82">
        <f>IF(Consultas!AO192='Parâmetros'!$D$1,3,-3)</f>
        <v>-3</v>
      </c>
      <c r="AL192" s="82">
        <f>IF(Consultas!AP192='Parâmetros'!$D$1,5,-3)</f>
        <v>-3</v>
      </c>
      <c r="AM192" s="82">
        <f>IF(Consultas!AL192="N",-6,0)</f>
        <v>0</v>
      </c>
      <c r="AN192" s="82">
        <f>IF(Consultas!AM192="N",-10,0)</f>
        <v>0</v>
      </c>
      <c r="AO192" s="82">
        <f>IF(Consultas!AN192="S",4,-2)</f>
        <v>-2</v>
      </c>
      <c r="AP192" s="39"/>
      <c r="AQ192" s="165" t="str">
        <f>IF(Consultas!F192&gt;1,(SUM(F192:AO192)),"N/A")</f>
        <v>N/A</v>
      </c>
      <c r="AR192" s="78">
        <f>IF((Consultas!AD192&gt;'Parâmetros'!$A$31),"X",AJ192+Y192+V192+AC192)</f>
        <v>-9</v>
      </c>
      <c r="AS192" s="78">
        <f>IF((Consultas!AD192&gt;'Parâmetros'!$A$31),"X",(H192+I192+J192+Q192+T192+Y192+Z192+AJ192+AN192))</f>
        <v>-23</v>
      </c>
      <c r="AT192" s="78" t="str">
        <f>IF((Consultas!AD192&lt;'Parâmetros'!$A$31),"X",(AD192+AC192+AB192))</f>
        <v>X</v>
      </c>
      <c r="AU192" s="78">
        <f t="shared" si="1"/>
        <v>-23</v>
      </c>
      <c r="AV192" s="82" t="str">
        <f>IF(AQ192="N/A","N/A",IF(AQ192&gt;5,'Parâmetros'!$A$15,(IF(AU192=AR192,'Parâmetros'!$A$17,IF(AU192=AS192,'Parâmetros'!$A$16,'Parâmetros'!$A$14)))))</f>
        <v>N/A</v>
      </c>
      <c r="AW192" s="86" t="str">
        <f>IF(AQ192="N/A","N/A",IF(AV192='Parâmetros'!$A$15,'Parâmetros'!$C$15,(IF(AV192='Parâmetros'!$A$17,'Parâmetros'!$C$17,IF(AV192='Parâmetros'!$A$16,'Parâmetros'!$C$16,IF(AV192='Parâmetros'!$A$14,'Parâmetros'!$C$12))))))</f>
        <v>N/A</v>
      </c>
      <c r="AX192" s="82" t="b">
        <f>IF(Consultas!F192&gt;1,(IF(Consultas!F192&gt;5000,"SOLICITAR PED COMPRA","N/A")))</f>
        <v>0</v>
      </c>
      <c r="AY192" s="167" t="str">
        <f>IF(AND(Consultas!M192&lt;&gt;"S", Consultas!H192="S"), "CHECAGEM REVERSA", "N/A")</f>
        <v>N/A</v>
      </c>
      <c r="AZ192" s="167" t="str">
        <f>IF(Consultas!U192="N","PRECISA CORRIGIR END DIVERGENTE","N/A")</f>
        <v>N/A</v>
      </c>
    </row>
    <row r="193" ht="12.0" customHeight="1">
      <c r="A193" s="39" t="s">
        <v>90</v>
      </c>
      <c r="B193" s="82" t="str">
        <f>Consultas!B193</f>
        <v/>
      </c>
      <c r="C193" s="82" t="str">
        <f>Consultas!D193</f>
        <v/>
      </c>
      <c r="D193" s="96" t="str">
        <f>Consultas!E193</f>
        <v/>
      </c>
      <c r="E193" s="104" t="str">
        <f>IF(Consultas!AB193&gt;0,YEAR('Parâmetros'!$B$1)-YEAR(Consultas!AB193),"NA")</f>
        <v>NA</v>
      </c>
      <c r="F193" s="82">
        <f>IF(Consultas!F193&gt;'Parâmetros'!$B$2,-8,0)</f>
        <v>0</v>
      </c>
      <c r="G193" s="82">
        <f>IF(Consultas!H193='Parâmetros'!$E$1,100,0)</f>
        <v>0</v>
      </c>
      <c r="H193" s="82">
        <f>IF(Consultas!I193='Parâmetros'!$E$1,-4,12)</f>
        <v>12</v>
      </c>
      <c r="I193" s="82">
        <f>IF(Consultas!J193='Parâmetros'!$E$1,1,-13)</f>
        <v>-13</v>
      </c>
      <c r="J193" s="82">
        <f>IF(Consultas!K193='Parâmetros'!$E$1,2,-5)</f>
        <v>-5</v>
      </c>
      <c r="K193" s="82" t="str">
        <f>IF(Consultas!L193='Parâmetros'!$D$1,"SOLIC CONTRATO DE ENTREGA","N/A")</f>
        <v>N/A</v>
      </c>
      <c r="L193" s="82">
        <f>IF(Consultas!R193='Parâmetros'!$E$1,1,-3)</f>
        <v>-3</v>
      </c>
      <c r="M193" s="82" t="b">
        <f>IF(Consultas!S193&gt;1,(IF(Consultas!S193='Parâmetros'!$E$1,-3,9)))</f>
        <v>0</v>
      </c>
      <c r="N193" s="82">
        <f>IF(Consultas!T193="S",23,0)</f>
        <v>0</v>
      </c>
      <c r="O193" s="82">
        <f>IF(Consultas!U193='Parâmetros'!$E$1,-3,3)</f>
        <v>3</v>
      </c>
      <c r="P193" s="82">
        <f>IF(Consultas!V193='Parâmetros'!$E$1,-100,2)</f>
        <v>2</v>
      </c>
      <c r="Q193" s="82">
        <f>IF(Consultas!M193='Parâmetros'!$D$1,2,-9)</f>
        <v>-9</v>
      </c>
      <c r="R193" s="82">
        <f>IF(Consultas!N193="RJ",-12,0)</f>
        <v>0</v>
      </c>
      <c r="S193" s="82">
        <f>IF(Consultas!O193="-",-3,IF(Consultas!O193=0,-6,IF(Consultas!O193=5,0,IF(Consultas!O193=10,6))))</f>
        <v>-6</v>
      </c>
      <c r="T193" s="82">
        <f>IF(Consultas!M193="S",0,(IF(Consultas!P193="S",6,0)))</f>
        <v>0</v>
      </c>
      <c r="U193" s="82">
        <f>IF(Consultas!Q193&gt;97,9,IF(Consultas!Q193&gt;75,0,-7))</f>
        <v>-7</v>
      </c>
      <c r="V193" s="82">
        <f>IF(Consultas!W193='Parâmetros'!$E$1,1,-5)</f>
        <v>-5</v>
      </c>
      <c r="W193" s="82">
        <f>IF(Consultas!X193="S",3,-3)</f>
        <v>-3</v>
      </c>
      <c r="X193" s="82">
        <f>IF(Consultas!Y193="S",0,-7)</f>
        <v>-7</v>
      </c>
      <c r="Y193" s="82">
        <f>IF(Consultas!Z193='Parâmetros'!$E$1,2,-8)</f>
        <v>-8</v>
      </c>
      <c r="Z193" s="82">
        <f>IF(Consultas!AA193='Parâmetros'!$E$1,-15,1)</f>
        <v>1</v>
      </c>
      <c r="AA193" s="147" t="s">
        <v>140</v>
      </c>
      <c r="AB193" s="82" t="str">
        <f>IF(E193="NA","NA",IF(E193&gt;'Parâmetros'!$A$9,8,IF(E193&gt;'Parâmetros'!$A$8,4,IF(E193&gt;'Parâmetros'!$A$7,0,-6))))</f>
        <v>NA</v>
      </c>
      <c r="AC193" s="82">
        <f>IF(Consultas!AC193='Parâmetros'!$E$1,0,5)</f>
        <v>5</v>
      </c>
      <c r="AD193" s="82">
        <f>IF(Consultas!AH193='Parâmetros'!$D$1,-10,5)</f>
        <v>5</v>
      </c>
      <c r="AE193" s="82">
        <f>IF(Consultas!AI193&gt;(Consultas!F193*2),-10,0)</f>
        <v>0</v>
      </c>
      <c r="AF193" s="82" t="b">
        <f>IF(Consultas!AD193&gt;1,(IF(Consultas!AI193&gt;(Consultas!AD193),-20,4)))</f>
        <v>0</v>
      </c>
      <c r="AG193" s="82">
        <f>IF(Consultas!AG193='Parâmetros'!$E$1,0,-6)</f>
        <v>-6</v>
      </c>
      <c r="AH193" s="82">
        <f>IF(Consultas!AF193='Parâmetros'!$E$1,1,-5)</f>
        <v>-5</v>
      </c>
      <c r="AI193" s="82">
        <f>IF(Consultas!AJ193&gt;700,8,IF(Consultas!AJ193&gt;500,4,IF(Consultas!AJ193&gt;200,-4,IF(Consultas!AJ193&gt;1,-15,-20))))</f>
        <v>-20</v>
      </c>
      <c r="AJ193" s="82">
        <f>IF(Consultas!AD193='Parâmetros'!$E$10,0,IF(Consultas!AD193&gt;'Parâmetros'!$A$30,12,IF(Consultas!AD193&gt;'Parâmetros'!$A$31,6,IF(Consultas!AD193&gt;'Parâmetros'!$A$32,0,IF(Consultas!AD193&gt;'Parâmetros'!$A$33,0,IF(Consultas!AD193&gt;'Parâmetros'!$A$34,-3,IF(Consultas!AD193&gt;'Parâmetros'!$A$35,-7,-1)))))))</f>
        <v>-1</v>
      </c>
      <c r="AK193" s="82">
        <f>IF(Consultas!AO193='Parâmetros'!$D$1,3,-3)</f>
        <v>-3</v>
      </c>
      <c r="AL193" s="82">
        <f>IF(Consultas!AP193='Parâmetros'!$D$1,5,-3)</f>
        <v>-3</v>
      </c>
      <c r="AM193" s="82">
        <f>IF(Consultas!AL193="N",-6,0)</f>
        <v>0</v>
      </c>
      <c r="AN193" s="82">
        <f>IF(Consultas!AM193="N",-10,0)</f>
        <v>0</v>
      </c>
      <c r="AO193" s="82">
        <f>IF(Consultas!AN193="S",4,-2)</f>
        <v>-2</v>
      </c>
      <c r="AP193" s="39"/>
      <c r="AQ193" s="165" t="str">
        <f>IF(Consultas!F193&gt;1,(SUM(F193:AO193)),"N/A")</f>
        <v>N/A</v>
      </c>
      <c r="AR193" s="78">
        <f>IF((Consultas!AD193&gt;'Parâmetros'!$A$31),"X",AJ193+Y193+V193+AC193)</f>
        <v>-9</v>
      </c>
      <c r="AS193" s="78">
        <f>IF((Consultas!AD193&gt;'Parâmetros'!$A$31),"X",(H193+I193+J193+Q193+T193+Y193+Z193+AJ193+AN193))</f>
        <v>-23</v>
      </c>
      <c r="AT193" s="78" t="str">
        <f>IF((Consultas!AD193&lt;'Parâmetros'!$A$31),"X",(AD193+AC193+AB193))</f>
        <v>X</v>
      </c>
      <c r="AU193" s="78">
        <f t="shared" si="1"/>
        <v>-23</v>
      </c>
      <c r="AV193" s="82" t="str">
        <f>IF(AQ193="N/A","N/A",IF(AQ193&gt;5,'Parâmetros'!$A$15,(IF(AU193=AR193,'Parâmetros'!$A$17,IF(AU193=AS193,'Parâmetros'!$A$16,'Parâmetros'!$A$14)))))</f>
        <v>N/A</v>
      </c>
      <c r="AW193" s="86" t="str">
        <f>IF(AQ193="N/A","N/A",IF(AV193='Parâmetros'!$A$15,'Parâmetros'!$C$15,(IF(AV193='Parâmetros'!$A$17,'Parâmetros'!$C$17,IF(AV193='Parâmetros'!$A$16,'Parâmetros'!$C$16,IF(AV193='Parâmetros'!$A$14,'Parâmetros'!$C$12))))))</f>
        <v>N/A</v>
      </c>
      <c r="AX193" s="82" t="b">
        <f>IF(Consultas!F193&gt;1,(IF(Consultas!F193&gt;5000,"SOLICITAR PED COMPRA","N/A")))</f>
        <v>0</v>
      </c>
      <c r="AY193" s="167" t="str">
        <f>IF(AND(Consultas!M193&lt;&gt;"S", Consultas!H193="S"), "CHECAGEM REVERSA", "N/A")</f>
        <v>N/A</v>
      </c>
      <c r="AZ193" s="167" t="str">
        <f>IF(Consultas!U193="N","PRECISA CORRIGIR END DIVERGENTE","N/A")</f>
        <v>N/A</v>
      </c>
    </row>
    <row r="194" ht="12.0" customHeight="1">
      <c r="A194" s="39" t="s">
        <v>90</v>
      </c>
      <c r="B194" s="82" t="str">
        <f>Consultas!B194</f>
        <v/>
      </c>
      <c r="C194" s="82" t="str">
        <f>Consultas!D194</f>
        <v/>
      </c>
      <c r="D194" s="96" t="str">
        <f>Consultas!E194</f>
        <v/>
      </c>
      <c r="E194" s="104" t="str">
        <f>IF(Consultas!AB194&gt;0,YEAR('Parâmetros'!$B$1)-YEAR(Consultas!AB194),"NA")</f>
        <v>NA</v>
      </c>
      <c r="F194" s="82">
        <f>IF(Consultas!F194&gt;'Parâmetros'!$B$2,-8,0)</f>
        <v>0</v>
      </c>
      <c r="G194" s="82">
        <f>IF(Consultas!H194='Parâmetros'!$E$1,100,0)</f>
        <v>0</v>
      </c>
      <c r="H194" s="82">
        <f>IF(Consultas!I194='Parâmetros'!$E$1,-4,12)</f>
        <v>12</v>
      </c>
      <c r="I194" s="82">
        <f>IF(Consultas!J194='Parâmetros'!$E$1,1,-13)</f>
        <v>-13</v>
      </c>
      <c r="J194" s="82">
        <f>IF(Consultas!K194='Parâmetros'!$E$1,2,-5)</f>
        <v>-5</v>
      </c>
      <c r="K194" s="82" t="str">
        <f>IF(Consultas!L194='Parâmetros'!$D$1,"SOLIC CONTRATO DE ENTREGA","N/A")</f>
        <v>N/A</v>
      </c>
      <c r="L194" s="82">
        <f>IF(Consultas!R194='Parâmetros'!$E$1,1,-3)</f>
        <v>-3</v>
      </c>
      <c r="M194" s="82" t="b">
        <f>IF(Consultas!S194&gt;1,(IF(Consultas!S194='Parâmetros'!$E$1,-3,9)))</f>
        <v>0</v>
      </c>
      <c r="N194" s="82">
        <f>IF(Consultas!T194="S",23,0)</f>
        <v>0</v>
      </c>
      <c r="O194" s="82">
        <f>IF(Consultas!U194='Parâmetros'!$E$1,-3,3)</f>
        <v>3</v>
      </c>
      <c r="P194" s="82">
        <f>IF(Consultas!V194='Parâmetros'!$E$1,-100,2)</f>
        <v>2</v>
      </c>
      <c r="Q194" s="82">
        <f>IF(Consultas!M194='Parâmetros'!$D$1,2,-9)</f>
        <v>-9</v>
      </c>
      <c r="R194" s="82">
        <f>IF(Consultas!N194="RJ",-12,0)</f>
        <v>0</v>
      </c>
      <c r="S194" s="82">
        <f>IF(Consultas!O194="-",-3,IF(Consultas!O194=0,-6,IF(Consultas!O194=5,0,IF(Consultas!O194=10,6))))</f>
        <v>-6</v>
      </c>
      <c r="T194" s="82">
        <f>IF(Consultas!M194="S",0,(IF(Consultas!P194="S",6,0)))</f>
        <v>0</v>
      </c>
      <c r="U194" s="82">
        <f>IF(Consultas!Q194&gt;97,9,IF(Consultas!Q194&gt;75,0,-7))</f>
        <v>-7</v>
      </c>
      <c r="V194" s="82">
        <f>IF(Consultas!W194='Parâmetros'!$E$1,1,-5)</f>
        <v>-5</v>
      </c>
      <c r="W194" s="82">
        <f>IF(Consultas!X194="S",3,-3)</f>
        <v>-3</v>
      </c>
      <c r="X194" s="82">
        <f>IF(Consultas!Y194="S",0,-7)</f>
        <v>-7</v>
      </c>
      <c r="Y194" s="82">
        <f>IF(Consultas!Z194='Parâmetros'!$E$1,2,-8)</f>
        <v>-8</v>
      </c>
      <c r="Z194" s="82">
        <f>IF(Consultas!AA194='Parâmetros'!$E$1,-15,1)</f>
        <v>1</v>
      </c>
      <c r="AA194" s="147" t="s">
        <v>140</v>
      </c>
      <c r="AB194" s="82" t="str">
        <f>IF(E194="NA","NA",IF(E194&gt;'Parâmetros'!$A$9,8,IF(E194&gt;'Parâmetros'!$A$8,4,IF(E194&gt;'Parâmetros'!$A$7,0,-6))))</f>
        <v>NA</v>
      </c>
      <c r="AC194" s="82">
        <f>IF(Consultas!AC194='Parâmetros'!$E$1,0,5)</f>
        <v>5</v>
      </c>
      <c r="AD194" s="82">
        <f>IF(Consultas!AH194='Parâmetros'!$D$1,-10,5)</f>
        <v>5</v>
      </c>
      <c r="AE194" s="82">
        <f>IF(Consultas!AI194&gt;(Consultas!F194*2),-10,0)</f>
        <v>0</v>
      </c>
      <c r="AF194" s="82" t="b">
        <f>IF(Consultas!AD194&gt;1,(IF(Consultas!AI194&gt;(Consultas!AD194),-20,4)))</f>
        <v>0</v>
      </c>
      <c r="AG194" s="82">
        <f>IF(Consultas!AG194='Parâmetros'!$E$1,0,-6)</f>
        <v>-6</v>
      </c>
      <c r="AH194" s="82">
        <f>IF(Consultas!AF194='Parâmetros'!$E$1,1,-5)</f>
        <v>-5</v>
      </c>
      <c r="AI194" s="82">
        <f>IF(Consultas!AJ194&gt;700,8,IF(Consultas!AJ194&gt;500,4,IF(Consultas!AJ194&gt;200,-4,IF(Consultas!AJ194&gt;1,-15,-20))))</f>
        <v>-20</v>
      </c>
      <c r="AJ194" s="82">
        <f>IF(Consultas!AD194='Parâmetros'!$E$10,0,IF(Consultas!AD194&gt;'Parâmetros'!$A$30,12,IF(Consultas!AD194&gt;'Parâmetros'!$A$31,6,IF(Consultas!AD194&gt;'Parâmetros'!$A$32,0,IF(Consultas!AD194&gt;'Parâmetros'!$A$33,0,IF(Consultas!AD194&gt;'Parâmetros'!$A$34,-3,IF(Consultas!AD194&gt;'Parâmetros'!$A$35,-7,-1)))))))</f>
        <v>-1</v>
      </c>
      <c r="AK194" s="82">
        <f>IF(Consultas!AO194='Parâmetros'!$D$1,3,-3)</f>
        <v>-3</v>
      </c>
      <c r="AL194" s="82">
        <f>IF(Consultas!AP194='Parâmetros'!$D$1,5,-3)</f>
        <v>-3</v>
      </c>
      <c r="AM194" s="82">
        <f>IF(Consultas!AL194="N",-6,0)</f>
        <v>0</v>
      </c>
      <c r="AN194" s="82">
        <f>IF(Consultas!AM194="N",-10,0)</f>
        <v>0</v>
      </c>
      <c r="AO194" s="82">
        <f>IF(Consultas!AN194="S",4,-2)</f>
        <v>-2</v>
      </c>
      <c r="AP194" s="39"/>
      <c r="AQ194" s="165" t="str">
        <f>IF(Consultas!F194&gt;1,(SUM(F194:AO194)),"N/A")</f>
        <v>N/A</v>
      </c>
      <c r="AR194" s="78">
        <f>IF((Consultas!AD194&gt;'Parâmetros'!$A$31),"X",AJ194+Y194+V194+AC194)</f>
        <v>-9</v>
      </c>
      <c r="AS194" s="78">
        <f>IF((Consultas!AD194&gt;'Parâmetros'!$A$31),"X",(H194+I194+J194+Q194+T194+Y194+Z194+AJ194+AN194))</f>
        <v>-23</v>
      </c>
      <c r="AT194" s="78" t="str">
        <f>IF((Consultas!AD194&lt;'Parâmetros'!$A$31),"X",(AD194+AC194+AB194))</f>
        <v>X</v>
      </c>
      <c r="AU194" s="78">
        <f t="shared" si="1"/>
        <v>-23</v>
      </c>
      <c r="AV194" s="82" t="str">
        <f>IF(AQ194="N/A","N/A",IF(AQ194&gt;5,'Parâmetros'!$A$15,(IF(AU194=AR194,'Parâmetros'!$A$17,IF(AU194=AS194,'Parâmetros'!$A$16,'Parâmetros'!$A$14)))))</f>
        <v>N/A</v>
      </c>
      <c r="AW194" s="86" t="str">
        <f>IF(AQ194="N/A","N/A",IF(AV194='Parâmetros'!$A$15,'Parâmetros'!$C$15,(IF(AV194='Parâmetros'!$A$17,'Parâmetros'!$C$17,IF(AV194='Parâmetros'!$A$16,'Parâmetros'!$C$16,IF(AV194='Parâmetros'!$A$14,'Parâmetros'!$C$12))))))</f>
        <v>N/A</v>
      </c>
      <c r="AX194" s="82" t="b">
        <f>IF(Consultas!F194&gt;1,(IF(Consultas!F194&gt;5000,"SOLICITAR PED COMPRA","N/A")))</f>
        <v>0</v>
      </c>
      <c r="AY194" s="167" t="str">
        <f>IF(AND(Consultas!M194&lt;&gt;"S", Consultas!H194="S"), "CHECAGEM REVERSA", "N/A")</f>
        <v>N/A</v>
      </c>
      <c r="AZ194" s="167" t="str">
        <f>IF(Consultas!U194="N","PRECISA CORRIGIR END DIVERGENTE","N/A")</f>
        <v>N/A</v>
      </c>
    </row>
    <row r="195" ht="12.0" customHeight="1">
      <c r="A195" s="39" t="s">
        <v>90</v>
      </c>
      <c r="B195" s="82" t="str">
        <f>Consultas!B195</f>
        <v/>
      </c>
      <c r="C195" s="82" t="str">
        <f>Consultas!D195</f>
        <v/>
      </c>
      <c r="D195" s="96" t="str">
        <f>Consultas!E195</f>
        <v/>
      </c>
      <c r="E195" s="104" t="str">
        <f>IF(Consultas!AB195&gt;0,YEAR('Parâmetros'!$B$1)-YEAR(Consultas!AB195),"NA")</f>
        <v>NA</v>
      </c>
      <c r="F195" s="82">
        <f>IF(Consultas!F195&gt;'Parâmetros'!$B$2,-8,0)</f>
        <v>0</v>
      </c>
      <c r="G195" s="82">
        <f>IF(Consultas!H195='Parâmetros'!$E$1,100,0)</f>
        <v>0</v>
      </c>
      <c r="H195" s="82">
        <f>IF(Consultas!I195='Parâmetros'!$E$1,-4,12)</f>
        <v>12</v>
      </c>
      <c r="I195" s="82">
        <f>IF(Consultas!J195='Parâmetros'!$E$1,1,-13)</f>
        <v>-13</v>
      </c>
      <c r="J195" s="82">
        <f>IF(Consultas!K195='Parâmetros'!$E$1,2,-5)</f>
        <v>-5</v>
      </c>
      <c r="K195" s="82" t="str">
        <f>IF(Consultas!L195='Parâmetros'!$D$1,"SOLIC CONTRATO DE ENTREGA","N/A")</f>
        <v>N/A</v>
      </c>
      <c r="L195" s="82">
        <f>IF(Consultas!R195='Parâmetros'!$E$1,1,-3)</f>
        <v>-3</v>
      </c>
      <c r="M195" s="82" t="b">
        <f>IF(Consultas!S195&gt;1,(IF(Consultas!S195='Parâmetros'!$E$1,-3,9)))</f>
        <v>0</v>
      </c>
      <c r="N195" s="82">
        <f>IF(Consultas!T195="S",23,0)</f>
        <v>0</v>
      </c>
      <c r="O195" s="82">
        <f>IF(Consultas!U195='Parâmetros'!$E$1,-3,3)</f>
        <v>3</v>
      </c>
      <c r="P195" s="82">
        <f>IF(Consultas!V195='Parâmetros'!$E$1,-100,2)</f>
        <v>2</v>
      </c>
      <c r="Q195" s="82">
        <f>IF(Consultas!M195='Parâmetros'!$D$1,2,-9)</f>
        <v>-9</v>
      </c>
      <c r="R195" s="82">
        <f>IF(Consultas!N195="RJ",-12,0)</f>
        <v>0</v>
      </c>
      <c r="S195" s="82">
        <f>IF(Consultas!O195="-",-3,IF(Consultas!O195=0,-6,IF(Consultas!O195=5,0,IF(Consultas!O195=10,6))))</f>
        <v>-6</v>
      </c>
      <c r="T195" s="82">
        <f>IF(Consultas!M195="S",0,(IF(Consultas!P195="S",6,0)))</f>
        <v>0</v>
      </c>
      <c r="U195" s="82">
        <f>IF(Consultas!Q195&gt;97,9,IF(Consultas!Q195&gt;75,0,-7))</f>
        <v>-7</v>
      </c>
      <c r="V195" s="82">
        <f>IF(Consultas!W195='Parâmetros'!$E$1,1,-5)</f>
        <v>-5</v>
      </c>
      <c r="W195" s="82">
        <f>IF(Consultas!X195="S",3,-3)</f>
        <v>-3</v>
      </c>
      <c r="X195" s="82">
        <f>IF(Consultas!Y195="S",0,-7)</f>
        <v>-7</v>
      </c>
      <c r="Y195" s="82">
        <f>IF(Consultas!Z195='Parâmetros'!$E$1,2,-8)</f>
        <v>-8</v>
      </c>
      <c r="Z195" s="82">
        <f>IF(Consultas!AA195='Parâmetros'!$E$1,-15,1)</f>
        <v>1</v>
      </c>
      <c r="AA195" s="147" t="s">
        <v>140</v>
      </c>
      <c r="AB195" s="82" t="str">
        <f>IF(E195="NA","NA",IF(E195&gt;'Parâmetros'!$A$9,8,IF(E195&gt;'Parâmetros'!$A$8,4,IF(E195&gt;'Parâmetros'!$A$7,0,-6))))</f>
        <v>NA</v>
      </c>
      <c r="AC195" s="82">
        <f>IF(Consultas!AC195='Parâmetros'!$E$1,0,5)</f>
        <v>5</v>
      </c>
      <c r="AD195" s="82">
        <f>IF(Consultas!AH195='Parâmetros'!$D$1,-10,5)</f>
        <v>5</v>
      </c>
      <c r="AE195" s="82">
        <f>IF(Consultas!AI195&gt;(Consultas!F195*2),-10,0)</f>
        <v>0</v>
      </c>
      <c r="AF195" s="82" t="b">
        <f>IF(Consultas!AD195&gt;1,(IF(Consultas!AI195&gt;(Consultas!AD195),-20,4)))</f>
        <v>0</v>
      </c>
      <c r="AG195" s="82">
        <f>IF(Consultas!AG195='Parâmetros'!$E$1,0,-6)</f>
        <v>-6</v>
      </c>
      <c r="AH195" s="82">
        <f>IF(Consultas!AF195='Parâmetros'!$E$1,1,-5)</f>
        <v>-5</v>
      </c>
      <c r="AI195" s="82">
        <f>IF(Consultas!AJ195&gt;700,8,IF(Consultas!AJ195&gt;500,4,IF(Consultas!AJ195&gt;200,-4,IF(Consultas!AJ195&gt;1,-15,-20))))</f>
        <v>-20</v>
      </c>
      <c r="AJ195" s="82">
        <f>IF(Consultas!AD195='Parâmetros'!$E$10,0,IF(Consultas!AD195&gt;'Parâmetros'!$A$30,12,IF(Consultas!AD195&gt;'Parâmetros'!$A$31,6,IF(Consultas!AD195&gt;'Parâmetros'!$A$32,0,IF(Consultas!AD195&gt;'Parâmetros'!$A$33,0,IF(Consultas!AD195&gt;'Parâmetros'!$A$34,-3,IF(Consultas!AD195&gt;'Parâmetros'!$A$35,-7,-1)))))))</f>
        <v>-1</v>
      </c>
      <c r="AK195" s="82">
        <f>IF(Consultas!AO195='Parâmetros'!$D$1,3,-3)</f>
        <v>-3</v>
      </c>
      <c r="AL195" s="82">
        <f>IF(Consultas!AP195='Parâmetros'!$D$1,5,-3)</f>
        <v>-3</v>
      </c>
      <c r="AM195" s="82">
        <f>IF(Consultas!AL195="N",-6,0)</f>
        <v>0</v>
      </c>
      <c r="AN195" s="82">
        <f>IF(Consultas!AM195="N",-10,0)</f>
        <v>0</v>
      </c>
      <c r="AO195" s="82">
        <f>IF(Consultas!AN195="S",4,-2)</f>
        <v>-2</v>
      </c>
      <c r="AP195" s="39"/>
      <c r="AQ195" s="165" t="str">
        <f>IF(Consultas!F195&gt;1,(SUM(F195:AO195)),"N/A")</f>
        <v>N/A</v>
      </c>
      <c r="AR195" s="78">
        <f>IF((Consultas!AD195&gt;'Parâmetros'!$A$31),"X",AJ195+Y195+V195+AC195)</f>
        <v>-9</v>
      </c>
      <c r="AS195" s="78">
        <f>IF((Consultas!AD195&gt;'Parâmetros'!$A$31),"X",(H195+I195+J195+Q195+T195+Y195+Z195+AJ195+AN195))</f>
        <v>-23</v>
      </c>
      <c r="AT195" s="78" t="str">
        <f>IF((Consultas!AD195&lt;'Parâmetros'!$A$31),"X",(AD195+AC195+AB195))</f>
        <v>X</v>
      </c>
      <c r="AU195" s="78">
        <f t="shared" si="1"/>
        <v>-23</v>
      </c>
      <c r="AV195" s="82" t="str">
        <f>IF(AQ195="N/A","N/A",IF(AQ195&gt;5,'Parâmetros'!$A$15,(IF(AU195=AR195,'Parâmetros'!$A$17,IF(AU195=AS195,'Parâmetros'!$A$16,'Parâmetros'!$A$14)))))</f>
        <v>N/A</v>
      </c>
      <c r="AW195" s="86" t="str">
        <f>IF(AQ195="N/A","N/A",IF(AV195='Parâmetros'!$A$15,'Parâmetros'!$C$15,(IF(AV195='Parâmetros'!$A$17,'Parâmetros'!$C$17,IF(AV195='Parâmetros'!$A$16,'Parâmetros'!$C$16,IF(AV195='Parâmetros'!$A$14,'Parâmetros'!$C$12))))))</f>
        <v>N/A</v>
      </c>
      <c r="AX195" s="82" t="b">
        <f>IF(Consultas!F195&gt;1,(IF(Consultas!F195&gt;5000,"SOLICITAR PED COMPRA","N/A")))</f>
        <v>0</v>
      </c>
      <c r="AY195" s="167" t="str">
        <f>IF(AND(Consultas!M195&lt;&gt;"S", Consultas!H195="S"), "CHECAGEM REVERSA", "N/A")</f>
        <v>N/A</v>
      </c>
      <c r="AZ195" s="167" t="str">
        <f>IF(Consultas!U195="N","PRECISA CORRIGIR END DIVERGENTE","N/A")</f>
        <v>N/A</v>
      </c>
    </row>
    <row r="196" ht="12.0" customHeight="1">
      <c r="A196" s="39" t="s">
        <v>90</v>
      </c>
      <c r="B196" s="82" t="str">
        <f>Consultas!B196</f>
        <v/>
      </c>
      <c r="C196" s="82" t="str">
        <f>Consultas!D196</f>
        <v/>
      </c>
      <c r="D196" s="96" t="str">
        <f>Consultas!E196</f>
        <v/>
      </c>
      <c r="E196" s="104" t="str">
        <f>IF(Consultas!AB196&gt;0,YEAR('Parâmetros'!$B$1)-YEAR(Consultas!AB196),"NA")</f>
        <v>NA</v>
      </c>
      <c r="F196" s="82">
        <f>IF(Consultas!F196&gt;'Parâmetros'!$B$2,-8,0)</f>
        <v>0</v>
      </c>
      <c r="G196" s="82">
        <f>IF(Consultas!H196='Parâmetros'!$E$1,100,0)</f>
        <v>0</v>
      </c>
      <c r="H196" s="82">
        <f>IF(Consultas!I196='Parâmetros'!$E$1,-4,12)</f>
        <v>12</v>
      </c>
      <c r="I196" s="82">
        <f>IF(Consultas!J196='Parâmetros'!$E$1,1,-13)</f>
        <v>-13</v>
      </c>
      <c r="J196" s="82">
        <f>IF(Consultas!K196='Parâmetros'!$E$1,2,-5)</f>
        <v>-5</v>
      </c>
      <c r="K196" s="82" t="str">
        <f>IF(Consultas!L196='Parâmetros'!$D$1,"SOLIC CONTRATO DE ENTREGA","N/A")</f>
        <v>N/A</v>
      </c>
      <c r="L196" s="82">
        <f>IF(Consultas!R196='Parâmetros'!$E$1,1,-3)</f>
        <v>-3</v>
      </c>
      <c r="M196" s="82" t="b">
        <f>IF(Consultas!S196&gt;1,(IF(Consultas!S196='Parâmetros'!$E$1,-3,9)))</f>
        <v>0</v>
      </c>
      <c r="N196" s="82">
        <f>IF(Consultas!T196="S",23,0)</f>
        <v>0</v>
      </c>
      <c r="O196" s="82">
        <f>IF(Consultas!U196='Parâmetros'!$E$1,-3,3)</f>
        <v>3</v>
      </c>
      <c r="P196" s="82">
        <f>IF(Consultas!V196='Parâmetros'!$E$1,-100,2)</f>
        <v>2</v>
      </c>
      <c r="Q196" s="82">
        <f>IF(Consultas!M196='Parâmetros'!$D$1,2,-9)</f>
        <v>-9</v>
      </c>
      <c r="R196" s="82">
        <f>IF(Consultas!N196="RJ",-12,0)</f>
        <v>0</v>
      </c>
      <c r="S196" s="82">
        <f>IF(Consultas!O196="-",-3,IF(Consultas!O196=0,-6,IF(Consultas!O196=5,0,IF(Consultas!O196=10,6))))</f>
        <v>-6</v>
      </c>
      <c r="T196" s="82">
        <f>IF(Consultas!M196="S",0,(IF(Consultas!P196="S",6,0)))</f>
        <v>0</v>
      </c>
      <c r="U196" s="82">
        <f>IF(Consultas!Q196&gt;97,9,IF(Consultas!Q196&gt;75,0,-7))</f>
        <v>-7</v>
      </c>
      <c r="V196" s="82">
        <f>IF(Consultas!W196='Parâmetros'!$E$1,1,-5)</f>
        <v>-5</v>
      </c>
      <c r="W196" s="82">
        <f>IF(Consultas!X196="S",3,-3)</f>
        <v>-3</v>
      </c>
      <c r="X196" s="82">
        <f>IF(Consultas!Y196="S",0,-7)</f>
        <v>-7</v>
      </c>
      <c r="Y196" s="82">
        <f>IF(Consultas!Z196='Parâmetros'!$E$1,2,-8)</f>
        <v>-8</v>
      </c>
      <c r="Z196" s="82">
        <f>IF(Consultas!AA196='Parâmetros'!$E$1,-15,1)</f>
        <v>1</v>
      </c>
      <c r="AA196" s="147" t="s">
        <v>140</v>
      </c>
      <c r="AB196" s="82" t="str">
        <f>IF(E196="NA","NA",IF(E196&gt;'Parâmetros'!$A$9,8,IF(E196&gt;'Parâmetros'!$A$8,4,IF(E196&gt;'Parâmetros'!$A$7,0,-6))))</f>
        <v>NA</v>
      </c>
      <c r="AC196" s="82">
        <f>IF(Consultas!AC196='Parâmetros'!$E$1,0,5)</f>
        <v>5</v>
      </c>
      <c r="AD196" s="82">
        <f>IF(Consultas!AH196='Parâmetros'!$D$1,-10,5)</f>
        <v>5</v>
      </c>
      <c r="AE196" s="82">
        <f>IF(Consultas!AI196&gt;(Consultas!F196*2),-10,0)</f>
        <v>0</v>
      </c>
      <c r="AF196" s="82" t="b">
        <f>IF(Consultas!AD196&gt;1,(IF(Consultas!AI196&gt;(Consultas!AD196),-20,4)))</f>
        <v>0</v>
      </c>
      <c r="AG196" s="82">
        <f>IF(Consultas!AG196='Parâmetros'!$E$1,0,-6)</f>
        <v>-6</v>
      </c>
      <c r="AH196" s="82">
        <f>IF(Consultas!AF196='Parâmetros'!$E$1,1,-5)</f>
        <v>-5</v>
      </c>
      <c r="AI196" s="82">
        <f>IF(Consultas!AJ196&gt;700,8,IF(Consultas!AJ196&gt;500,4,IF(Consultas!AJ196&gt;200,-4,IF(Consultas!AJ196&gt;1,-15,-20))))</f>
        <v>-20</v>
      </c>
      <c r="AJ196" s="82">
        <f>IF(Consultas!AD196='Parâmetros'!$E$10,0,IF(Consultas!AD196&gt;'Parâmetros'!$A$30,12,IF(Consultas!AD196&gt;'Parâmetros'!$A$31,6,IF(Consultas!AD196&gt;'Parâmetros'!$A$32,0,IF(Consultas!AD196&gt;'Parâmetros'!$A$33,0,IF(Consultas!AD196&gt;'Parâmetros'!$A$34,-3,IF(Consultas!AD196&gt;'Parâmetros'!$A$35,-7,-1)))))))</f>
        <v>-1</v>
      </c>
      <c r="AK196" s="82">
        <f>IF(Consultas!AO196='Parâmetros'!$D$1,3,-3)</f>
        <v>-3</v>
      </c>
      <c r="AL196" s="82">
        <f>IF(Consultas!AP196='Parâmetros'!$D$1,5,-3)</f>
        <v>-3</v>
      </c>
      <c r="AM196" s="82">
        <f>IF(Consultas!AL196="N",-6,0)</f>
        <v>0</v>
      </c>
      <c r="AN196" s="82">
        <f>IF(Consultas!AM196="N",-10,0)</f>
        <v>0</v>
      </c>
      <c r="AO196" s="82">
        <f>IF(Consultas!AN196="S",4,-2)</f>
        <v>-2</v>
      </c>
      <c r="AP196" s="39"/>
      <c r="AQ196" s="165" t="str">
        <f>IF(Consultas!F196&gt;1,(SUM(F196:AO196)),"N/A")</f>
        <v>N/A</v>
      </c>
      <c r="AR196" s="78">
        <f>IF((Consultas!AD196&gt;'Parâmetros'!$A$31),"X",AJ196+Y196+V196+AC196)</f>
        <v>-9</v>
      </c>
      <c r="AS196" s="78">
        <f>IF((Consultas!AD196&gt;'Parâmetros'!$A$31),"X",(H196+I196+J196+Q196+T196+Y196+Z196+AJ196+AN196))</f>
        <v>-23</v>
      </c>
      <c r="AT196" s="78" t="str">
        <f>IF((Consultas!AD196&lt;'Parâmetros'!$A$31),"X",(AD196+AC196+AB196))</f>
        <v>X</v>
      </c>
      <c r="AU196" s="78">
        <f t="shared" si="1"/>
        <v>-23</v>
      </c>
      <c r="AV196" s="82" t="str">
        <f>IF(AQ196="N/A","N/A",IF(AQ196&gt;5,'Parâmetros'!$A$15,(IF(AU196=AR196,'Parâmetros'!$A$17,IF(AU196=AS196,'Parâmetros'!$A$16,'Parâmetros'!$A$14)))))</f>
        <v>N/A</v>
      </c>
      <c r="AW196" s="86" t="str">
        <f>IF(AQ196="N/A","N/A",IF(AV196='Parâmetros'!$A$15,'Parâmetros'!$C$15,(IF(AV196='Parâmetros'!$A$17,'Parâmetros'!$C$17,IF(AV196='Parâmetros'!$A$16,'Parâmetros'!$C$16,IF(AV196='Parâmetros'!$A$14,'Parâmetros'!$C$12))))))</f>
        <v>N/A</v>
      </c>
      <c r="AX196" s="82" t="b">
        <f>IF(Consultas!F196&gt;1,(IF(Consultas!F196&gt;5000,"SOLICITAR PED COMPRA","N/A")))</f>
        <v>0</v>
      </c>
      <c r="AY196" s="167" t="str">
        <f>IF(AND(Consultas!M196&lt;&gt;"S", Consultas!H196="S"), "CHECAGEM REVERSA", "N/A")</f>
        <v>N/A</v>
      </c>
      <c r="AZ196" s="167" t="str">
        <f>IF(Consultas!U196="N","PRECISA CORRIGIR END DIVERGENTE","N/A")</f>
        <v>N/A</v>
      </c>
    </row>
    <row r="197" ht="12.0" customHeight="1">
      <c r="A197" s="39" t="s">
        <v>90</v>
      </c>
      <c r="B197" s="82" t="str">
        <f>Consultas!B197</f>
        <v/>
      </c>
      <c r="C197" s="82" t="str">
        <f>Consultas!D197</f>
        <v/>
      </c>
      <c r="D197" s="96" t="str">
        <f>Consultas!E197</f>
        <v/>
      </c>
      <c r="E197" s="104" t="str">
        <f>IF(Consultas!AB197&gt;0,YEAR('Parâmetros'!$B$1)-YEAR(Consultas!AB197),"NA")</f>
        <v>NA</v>
      </c>
      <c r="F197" s="82">
        <f>IF(Consultas!F197&gt;'Parâmetros'!$B$2,-8,0)</f>
        <v>0</v>
      </c>
      <c r="G197" s="82">
        <f>IF(Consultas!H197='Parâmetros'!$E$1,100,0)</f>
        <v>0</v>
      </c>
      <c r="H197" s="82">
        <f>IF(Consultas!I197='Parâmetros'!$E$1,-4,12)</f>
        <v>12</v>
      </c>
      <c r="I197" s="82">
        <f>IF(Consultas!J197='Parâmetros'!$E$1,1,-13)</f>
        <v>-13</v>
      </c>
      <c r="J197" s="82">
        <f>IF(Consultas!K197='Parâmetros'!$E$1,2,-5)</f>
        <v>-5</v>
      </c>
      <c r="K197" s="82" t="str">
        <f>IF(Consultas!L197='Parâmetros'!$D$1,"SOLIC CONTRATO DE ENTREGA","N/A")</f>
        <v>N/A</v>
      </c>
      <c r="L197" s="82">
        <f>IF(Consultas!R197='Parâmetros'!$E$1,1,-3)</f>
        <v>-3</v>
      </c>
      <c r="M197" s="82" t="b">
        <f>IF(Consultas!S197&gt;1,(IF(Consultas!S197='Parâmetros'!$E$1,-3,9)))</f>
        <v>0</v>
      </c>
      <c r="N197" s="82">
        <f>IF(Consultas!T197="S",23,0)</f>
        <v>0</v>
      </c>
      <c r="O197" s="82">
        <f>IF(Consultas!U197='Parâmetros'!$E$1,-3,3)</f>
        <v>3</v>
      </c>
      <c r="P197" s="82">
        <f>IF(Consultas!V197='Parâmetros'!$E$1,-100,2)</f>
        <v>2</v>
      </c>
      <c r="Q197" s="82">
        <f>IF(Consultas!M197='Parâmetros'!$D$1,2,-9)</f>
        <v>-9</v>
      </c>
      <c r="R197" s="82">
        <f>IF(Consultas!N197="RJ",-12,0)</f>
        <v>0</v>
      </c>
      <c r="S197" s="82">
        <f>IF(Consultas!O197="-",-3,IF(Consultas!O197=0,-6,IF(Consultas!O197=5,0,IF(Consultas!O197=10,6))))</f>
        <v>-6</v>
      </c>
      <c r="T197" s="82">
        <f>IF(Consultas!M197="S",0,(IF(Consultas!P197="S",6,0)))</f>
        <v>0</v>
      </c>
      <c r="U197" s="82">
        <f>IF(Consultas!Q197&gt;97,9,IF(Consultas!Q197&gt;75,0,-7))</f>
        <v>-7</v>
      </c>
      <c r="V197" s="82">
        <f>IF(Consultas!W197='Parâmetros'!$E$1,1,-5)</f>
        <v>-5</v>
      </c>
      <c r="W197" s="82">
        <f>IF(Consultas!X197="S",3,-3)</f>
        <v>-3</v>
      </c>
      <c r="X197" s="82">
        <f>IF(Consultas!Y197="S",0,-7)</f>
        <v>-7</v>
      </c>
      <c r="Y197" s="82">
        <f>IF(Consultas!Z197='Parâmetros'!$E$1,2,-8)</f>
        <v>-8</v>
      </c>
      <c r="Z197" s="82">
        <f>IF(Consultas!AA197='Parâmetros'!$E$1,-15,1)</f>
        <v>1</v>
      </c>
      <c r="AA197" s="147" t="s">
        <v>140</v>
      </c>
      <c r="AB197" s="82" t="str">
        <f>IF(E197="NA","NA",IF(E197&gt;'Parâmetros'!$A$9,8,IF(E197&gt;'Parâmetros'!$A$8,4,IF(E197&gt;'Parâmetros'!$A$7,0,-6))))</f>
        <v>NA</v>
      </c>
      <c r="AC197" s="82">
        <f>IF(Consultas!AC197='Parâmetros'!$E$1,0,5)</f>
        <v>5</v>
      </c>
      <c r="AD197" s="82">
        <f>IF(Consultas!AH197='Parâmetros'!$D$1,-10,5)</f>
        <v>5</v>
      </c>
      <c r="AE197" s="82">
        <f>IF(Consultas!AI197&gt;(Consultas!F197*2),-10,0)</f>
        <v>0</v>
      </c>
      <c r="AF197" s="82" t="b">
        <f>IF(Consultas!AD197&gt;1,(IF(Consultas!AI197&gt;(Consultas!AD197),-20,4)))</f>
        <v>0</v>
      </c>
      <c r="AG197" s="82">
        <f>IF(Consultas!AG197='Parâmetros'!$E$1,0,-6)</f>
        <v>-6</v>
      </c>
      <c r="AH197" s="82">
        <f>IF(Consultas!AF197='Parâmetros'!$E$1,1,-5)</f>
        <v>-5</v>
      </c>
      <c r="AI197" s="82">
        <f>IF(Consultas!AJ197&gt;700,8,IF(Consultas!AJ197&gt;500,4,IF(Consultas!AJ197&gt;200,-4,IF(Consultas!AJ197&gt;1,-15,-20))))</f>
        <v>-20</v>
      </c>
      <c r="AJ197" s="82">
        <f>IF(Consultas!AD197='Parâmetros'!$E$10,0,IF(Consultas!AD197&gt;'Parâmetros'!$A$30,12,IF(Consultas!AD197&gt;'Parâmetros'!$A$31,6,IF(Consultas!AD197&gt;'Parâmetros'!$A$32,0,IF(Consultas!AD197&gt;'Parâmetros'!$A$33,0,IF(Consultas!AD197&gt;'Parâmetros'!$A$34,-3,IF(Consultas!AD197&gt;'Parâmetros'!$A$35,-7,-1)))))))</f>
        <v>-1</v>
      </c>
      <c r="AK197" s="82">
        <f>IF(Consultas!AO197='Parâmetros'!$D$1,3,-3)</f>
        <v>-3</v>
      </c>
      <c r="AL197" s="82">
        <f>IF(Consultas!AP197='Parâmetros'!$D$1,5,-3)</f>
        <v>-3</v>
      </c>
      <c r="AM197" s="82">
        <f>IF(Consultas!AL197="N",-6,0)</f>
        <v>0</v>
      </c>
      <c r="AN197" s="82">
        <f>IF(Consultas!AM197="N",-10,0)</f>
        <v>0</v>
      </c>
      <c r="AO197" s="82">
        <f>IF(Consultas!AN197="S",4,-2)</f>
        <v>-2</v>
      </c>
      <c r="AP197" s="39"/>
      <c r="AQ197" s="165" t="str">
        <f>IF(Consultas!F197&gt;1,(SUM(F197:AO197)),"N/A")</f>
        <v>N/A</v>
      </c>
      <c r="AR197" s="78">
        <f>IF((Consultas!AD197&gt;'Parâmetros'!$A$31),"X",AJ197+Y197+V197+AC197)</f>
        <v>-9</v>
      </c>
      <c r="AS197" s="78">
        <f>IF((Consultas!AD197&gt;'Parâmetros'!$A$31),"X",(H197+I197+J197+Q197+T197+Y197+Z197+AJ197+AN197))</f>
        <v>-23</v>
      </c>
      <c r="AT197" s="78" t="str">
        <f>IF((Consultas!AD197&lt;'Parâmetros'!$A$31),"X",(AD197+AC197+AB197))</f>
        <v>X</v>
      </c>
      <c r="AU197" s="78">
        <f t="shared" si="1"/>
        <v>-23</v>
      </c>
      <c r="AV197" s="82" t="str">
        <f>IF(AQ197="N/A","N/A",IF(AQ197&gt;5,'Parâmetros'!$A$15,(IF(AU197=AR197,'Parâmetros'!$A$17,IF(AU197=AS197,'Parâmetros'!$A$16,'Parâmetros'!$A$14)))))</f>
        <v>N/A</v>
      </c>
      <c r="AW197" s="86" t="str">
        <f>IF(AQ197="N/A","N/A",IF(AV197='Parâmetros'!$A$15,'Parâmetros'!$C$15,(IF(AV197='Parâmetros'!$A$17,'Parâmetros'!$C$17,IF(AV197='Parâmetros'!$A$16,'Parâmetros'!$C$16,IF(AV197='Parâmetros'!$A$14,'Parâmetros'!$C$12))))))</f>
        <v>N/A</v>
      </c>
      <c r="AX197" s="82" t="b">
        <f>IF(Consultas!F197&gt;1,(IF(Consultas!F197&gt;5000,"SOLICITAR PED COMPRA","N/A")))</f>
        <v>0</v>
      </c>
      <c r="AY197" s="167" t="str">
        <f>IF(AND(Consultas!M197&lt;&gt;"S", Consultas!H197="S"), "CHECAGEM REVERSA", "N/A")</f>
        <v>N/A</v>
      </c>
      <c r="AZ197" s="167" t="str">
        <f>IF(Consultas!U197="N","PRECISA CORRIGIR END DIVERGENTE","N/A")</f>
        <v>N/A</v>
      </c>
    </row>
    <row r="198" ht="12.0" customHeight="1">
      <c r="A198" s="39" t="s">
        <v>90</v>
      </c>
      <c r="B198" s="82" t="str">
        <f>Consultas!B198</f>
        <v/>
      </c>
      <c r="C198" s="82" t="str">
        <f>Consultas!D198</f>
        <v/>
      </c>
      <c r="D198" s="96" t="str">
        <f>Consultas!E198</f>
        <v/>
      </c>
      <c r="E198" s="104" t="str">
        <f>IF(Consultas!AB198&gt;0,YEAR('Parâmetros'!$B$1)-YEAR(Consultas!AB198),"NA")</f>
        <v>NA</v>
      </c>
      <c r="F198" s="82">
        <f>IF(Consultas!F198&gt;'Parâmetros'!$B$2,-8,0)</f>
        <v>0</v>
      </c>
      <c r="G198" s="82">
        <f>IF(Consultas!H198='Parâmetros'!$E$1,100,0)</f>
        <v>0</v>
      </c>
      <c r="H198" s="82">
        <f>IF(Consultas!I198='Parâmetros'!$E$1,-4,12)</f>
        <v>12</v>
      </c>
      <c r="I198" s="82">
        <f>IF(Consultas!J198='Parâmetros'!$E$1,1,-13)</f>
        <v>-13</v>
      </c>
      <c r="J198" s="82">
        <f>IF(Consultas!K198='Parâmetros'!$E$1,2,-5)</f>
        <v>-5</v>
      </c>
      <c r="K198" s="82" t="str">
        <f>IF(Consultas!L198='Parâmetros'!$D$1,"SOLIC CONTRATO DE ENTREGA","N/A")</f>
        <v>N/A</v>
      </c>
      <c r="L198" s="82">
        <f>IF(Consultas!R198='Parâmetros'!$E$1,1,-3)</f>
        <v>-3</v>
      </c>
      <c r="M198" s="82" t="b">
        <f>IF(Consultas!S198&gt;1,(IF(Consultas!S198='Parâmetros'!$E$1,-3,9)))</f>
        <v>0</v>
      </c>
      <c r="N198" s="82">
        <f>IF(Consultas!T198="S",23,0)</f>
        <v>0</v>
      </c>
      <c r="O198" s="82">
        <f>IF(Consultas!U198='Parâmetros'!$E$1,-3,3)</f>
        <v>3</v>
      </c>
      <c r="P198" s="82">
        <f>IF(Consultas!V198='Parâmetros'!$E$1,-100,2)</f>
        <v>2</v>
      </c>
      <c r="Q198" s="82">
        <f>IF(Consultas!M198='Parâmetros'!$D$1,2,-9)</f>
        <v>-9</v>
      </c>
      <c r="R198" s="82">
        <f>IF(Consultas!N198="RJ",-12,0)</f>
        <v>0</v>
      </c>
      <c r="S198" s="82">
        <f>IF(Consultas!O198="-",-3,IF(Consultas!O198=0,-6,IF(Consultas!O198=5,0,IF(Consultas!O198=10,6))))</f>
        <v>-6</v>
      </c>
      <c r="T198" s="82">
        <f>IF(Consultas!M198="S",0,(IF(Consultas!P198="S",6,0)))</f>
        <v>0</v>
      </c>
      <c r="U198" s="82">
        <f>IF(Consultas!Q198&gt;97,9,IF(Consultas!Q198&gt;75,0,-7))</f>
        <v>-7</v>
      </c>
      <c r="V198" s="82">
        <f>IF(Consultas!W198='Parâmetros'!$E$1,1,-5)</f>
        <v>-5</v>
      </c>
      <c r="W198" s="82">
        <f>IF(Consultas!X198="S",3,-3)</f>
        <v>-3</v>
      </c>
      <c r="X198" s="82">
        <f>IF(Consultas!Y198="S",0,-7)</f>
        <v>-7</v>
      </c>
      <c r="Y198" s="82">
        <f>IF(Consultas!Z198='Parâmetros'!$E$1,2,-8)</f>
        <v>-8</v>
      </c>
      <c r="Z198" s="82">
        <f>IF(Consultas!AA198='Parâmetros'!$E$1,-15,1)</f>
        <v>1</v>
      </c>
      <c r="AA198" s="147" t="s">
        <v>140</v>
      </c>
      <c r="AB198" s="82" t="str">
        <f>IF(E198="NA","NA",IF(E198&gt;'Parâmetros'!$A$9,8,IF(E198&gt;'Parâmetros'!$A$8,4,IF(E198&gt;'Parâmetros'!$A$7,0,-6))))</f>
        <v>NA</v>
      </c>
      <c r="AC198" s="82">
        <f>IF(Consultas!AC198='Parâmetros'!$E$1,0,5)</f>
        <v>5</v>
      </c>
      <c r="AD198" s="82">
        <f>IF(Consultas!AH198='Parâmetros'!$D$1,-10,5)</f>
        <v>5</v>
      </c>
      <c r="AE198" s="82">
        <f>IF(Consultas!AI198&gt;(Consultas!F198*2),-10,0)</f>
        <v>0</v>
      </c>
      <c r="AF198" s="82" t="b">
        <f>IF(Consultas!AD198&gt;1,(IF(Consultas!AI198&gt;(Consultas!AD198),-20,4)))</f>
        <v>0</v>
      </c>
      <c r="AG198" s="82">
        <f>IF(Consultas!AG198='Parâmetros'!$E$1,0,-6)</f>
        <v>-6</v>
      </c>
      <c r="AH198" s="82">
        <f>IF(Consultas!AF198='Parâmetros'!$E$1,1,-5)</f>
        <v>-5</v>
      </c>
      <c r="AI198" s="82">
        <f>IF(Consultas!AJ198&gt;700,8,IF(Consultas!AJ198&gt;500,4,IF(Consultas!AJ198&gt;200,-4,IF(Consultas!AJ198&gt;1,-15,-20))))</f>
        <v>-20</v>
      </c>
      <c r="AJ198" s="82">
        <f>IF(Consultas!AD198='Parâmetros'!$E$10,0,IF(Consultas!AD198&gt;'Parâmetros'!$A$30,12,IF(Consultas!AD198&gt;'Parâmetros'!$A$31,6,IF(Consultas!AD198&gt;'Parâmetros'!$A$32,0,IF(Consultas!AD198&gt;'Parâmetros'!$A$33,0,IF(Consultas!AD198&gt;'Parâmetros'!$A$34,-3,IF(Consultas!AD198&gt;'Parâmetros'!$A$35,-7,-1)))))))</f>
        <v>-1</v>
      </c>
      <c r="AK198" s="82">
        <f>IF(Consultas!AO198='Parâmetros'!$D$1,3,-3)</f>
        <v>-3</v>
      </c>
      <c r="AL198" s="82">
        <f>IF(Consultas!AP198='Parâmetros'!$D$1,5,-3)</f>
        <v>-3</v>
      </c>
      <c r="AM198" s="82">
        <f>IF(Consultas!AL198="N",-6,0)</f>
        <v>0</v>
      </c>
      <c r="AN198" s="82">
        <f>IF(Consultas!AM198="N",-10,0)</f>
        <v>0</v>
      </c>
      <c r="AO198" s="82">
        <f>IF(Consultas!AN198="S",4,-2)</f>
        <v>-2</v>
      </c>
      <c r="AP198" s="39"/>
      <c r="AQ198" s="165" t="str">
        <f>IF(Consultas!F198&gt;1,(SUM(F198:AO198)),"N/A")</f>
        <v>N/A</v>
      </c>
      <c r="AR198" s="78">
        <f>IF((Consultas!AD198&gt;'Parâmetros'!$A$31),"X",AJ198+Y198+V198+AC198)</f>
        <v>-9</v>
      </c>
      <c r="AS198" s="78">
        <f>IF((Consultas!AD198&gt;'Parâmetros'!$A$31),"X",(H198+I198+J198+Q198+T198+Y198+Z198+AJ198+AN198))</f>
        <v>-23</v>
      </c>
      <c r="AT198" s="78" t="str">
        <f>IF((Consultas!AD198&lt;'Parâmetros'!$A$31),"X",(AD198+AC198+AB198))</f>
        <v>X</v>
      </c>
      <c r="AU198" s="78">
        <f t="shared" si="1"/>
        <v>-23</v>
      </c>
      <c r="AV198" s="82" t="str">
        <f>IF(AQ198="N/A","N/A",IF(AQ198&gt;5,'Parâmetros'!$A$15,(IF(AU198=AR198,'Parâmetros'!$A$17,IF(AU198=AS198,'Parâmetros'!$A$16,'Parâmetros'!$A$14)))))</f>
        <v>N/A</v>
      </c>
      <c r="AW198" s="86" t="str">
        <f>IF(AQ198="N/A","N/A",IF(AV198='Parâmetros'!$A$15,'Parâmetros'!$C$15,(IF(AV198='Parâmetros'!$A$17,'Parâmetros'!$C$17,IF(AV198='Parâmetros'!$A$16,'Parâmetros'!$C$16,IF(AV198='Parâmetros'!$A$14,'Parâmetros'!$C$12))))))</f>
        <v>N/A</v>
      </c>
      <c r="AX198" s="82" t="b">
        <f>IF(Consultas!F198&gt;1,(IF(Consultas!F198&gt;5000,"SOLICITAR PED COMPRA","N/A")))</f>
        <v>0</v>
      </c>
      <c r="AY198" s="167" t="str">
        <f>IF(AND(Consultas!M198&lt;&gt;"S", Consultas!H198="S"), "CHECAGEM REVERSA", "N/A")</f>
        <v>N/A</v>
      </c>
      <c r="AZ198" s="167" t="str">
        <f>IF(Consultas!U198="N","PRECISA CORRIGIR END DIVERGENTE","N/A")</f>
        <v>N/A</v>
      </c>
    </row>
    <row r="199" ht="12.0" customHeight="1">
      <c r="A199" s="39" t="s">
        <v>90</v>
      </c>
      <c r="B199" s="82" t="str">
        <f>Consultas!B199</f>
        <v/>
      </c>
      <c r="C199" s="82" t="str">
        <f>Consultas!D199</f>
        <v/>
      </c>
      <c r="D199" s="96" t="str">
        <f>Consultas!E199</f>
        <v/>
      </c>
      <c r="E199" s="104" t="str">
        <f>IF(Consultas!AB199&gt;0,YEAR('Parâmetros'!$B$1)-YEAR(Consultas!AB199),"NA")</f>
        <v>NA</v>
      </c>
      <c r="F199" s="82">
        <f>IF(Consultas!F199&gt;'Parâmetros'!$B$2,-8,0)</f>
        <v>0</v>
      </c>
      <c r="G199" s="82">
        <f>IF(Consultas!H199='Parâmetros'!$E$1,100,0)</f>
        <v>0</v>
      </c>
      <c r="H199" s="82">
        <f>IF(Consultas!I199='Parâmetros'!$E$1,-4,12)</f>
        <v>12</v>
      </c>
      <c r="I199" s="82">
        <f>IF(Consultas!J199='Parâmetros'!$E$1,1,-13)</f>
        <v>-13</v>
      </c>
      <c r="J199" s="82">
        <f>IF(Consultas!K199='Parâmetros'!$E$1,2,-5)</f>
        <v>-5</v>
      </c>
      <c r="K199" s="82" t="str">
        <f>IF(Consultas!L199='Parâmetros'!$D$1,"SOLIC CONTRATO DE ENTREGA","N/A")</f>
        <v>N/A</v>
      </c>
      <c r="L199" s="82">
        <f>IF(Consultas!R199='Parâmetros'!$E$1,1,-3)</f>
        <v>-3</v>
      </c>
      <c r="M199" s="82" t="b">
        <f>IF(Consultas!S199&gt;1,(IF(Consultas!S199='Parâmetros'!$E$1,-3,9)))</f>
        <v>0</v>
      </c>
      <c r="N199" s="82">
        <f>IF(Consultas!T199="S",23,0)</f>
        <v>0</v>
      </c>
      <c r="O199" s="82">
        <f>IF(Consultas!U199='Parâmetros'!$E$1,-3,3)</f>
        <v>3</v>
      </c>
      <c r="P199" s="82">
        <f>IF(Consultas!V199='Parâmetros'!$E$1,-100,2)</f>
        <v>2</v>
      </c>
      <c r="Q199" s="82">
        <f>IF(Consultas!M199='Parâmetros'!$D$1,2,-9)</f>
        <v>-9</v>
      </c>
      <c r="R199" s="82">
        <f>IF(Consultas!N199="RJ",-12,0)</f>
        <v>0</v>
      </c>
      <c r="S199" s="82">
        <f>IF(Consultas!O199="-",-3,IF(Consultas!O199=0,-6,IF(Consultas!O199=5,0,IF(Consultas!O199=10,6))))</f>
        <v>-6</v>
      </c>
      <c r="T199" s="82">
        <f>IF(Consultas!M199="S",0,(IF(Consultas!P199="S",6,0)))</f>
        <v>0</v>
      </c>
      <c r="U199" s="82">
        <f>IF(Consultas!Q199&gt;97,9,IF(Consultas!Q199&gt;75,0,-7))</f>
        <v>-7</v>
      </c>
      <c r="V199" s="82">
        <f>IF(Consultas!W199='Parâmetros'!$E$1,1,-5)</f>
        <v>-5</v>
      </c>
      <c r="W199" s="82">
        <f>IF(Consultas!X199="S",3,-3)</f>
        <v>-3</v>
      </c>
      <c r="X199" s="82">
        <f>IF(Consultas!Y199="S",0,-7)</f>
        <v>-7</v>
      </c>
      <c r="Y199" s="82">
        <f>IF(Consultas!Z199='Parâmetros'!$E$1,2,-8)</f>
        <v>-8</v>
      </c>
      <c r="Z199" s="82">
        <f>IF(Consultas!AA199='Parâmetros'!$E$1,-15,1)</f>
        <v>1</v>
      </c>
      <c r="AA199" s="147" t="s">
        <v>140</v>
      </c>
      <c r="AB199" s="82" t="str">
        <f>IF(E199="NA","NA",IF(E199&gt;'Parâmetros'!$A$9,8,IF(E199&gt;'Parâmetros'!$A$8,4,IF(E199&gt;'Parâmetros'!$A$7,0,-6))))</f>
        <v>NA</v>
      </c>
      <c r="AC199" s="82">
        <f>IF(Consultas!AC199='Parâmetros'!$E$1,0,5)</f>
        <v>5</v>
      </c>
      <c r="AD199" s="82">
        <f>IF(Consultas!AH199='Parâmetros'!$D$1,-10,5)</f>
        <v>5</v>
      </c>
      <c r="AE199" s="82">
        <f>IF(Consultas!AI199&gt;(Consultas!F199*2),-10,0)</f>
        <v>0</v>
      </c>
      <c r="AF199" s="82" t="b">
        <f>IF(Consultas!AD199&gt;1,(IF(Consultas!AI199&gt;(Consultas!AD199),-20,4)))</f>
        <v>0</v>
      </c>
      <c r="AG199" s="82">
        <f>IF(Consultas!AG199='Parâmetros'!$E$1,0,-6)</f>
        <v>-6</v>
      </c>
      <c r="AH199" s="82">
        <f>IF(Consultas!AF199='Parâmetros'!$E$1,1,-5)</f>
        <v>-5</v>
      </c>
      <c r="AI199" s="82">
        <f>IF(Consultas!AJ199&gt;700,8,IF(Consultas!AJ199&gt;500,4,IF(Consultas!AJ199&gt;200,-4,IF(Consultas!AJ199&gt;1,-15,-20))))</f>
        <v>-20</v>
      </c>
      <c r="AJ199" s="82">
        <f>IF(Consultas!AD199='Parâmetros'!$E$10,0,IF(Consultas!AD199&gt;'Parâmetros'!$A$30,12,IF(Consultas!AD199&gt;'Parâmetros'!$A$31,6,IF(Consultas!AD199&gt;'Parâmetros'!$A$32,0,IF(Consultas!AD199&gt;'Parâmetros'!$A$33,0,IF(Consultas!AD199&gt;'Parâmetros'!$A$34,-3,IF(Consultas!AD199&gt;'Parâmetros'!$A$35,-7,-1)))))))</f>
        <v>-1</v>
      </c>
      <c r="AK199" s="82">
        <f>IF(Consultas!AO199='Parâmetros'!$D$1,3,-3)</f>
        <v>-3</v>
      </c>
      <c r="AL199" s="82">
        <f>IF(Consultas!AP199='Parâmetros'!$D$1,5,-3)</f>
        <v>-3</v>
      </c>
      <c r="AM199" s="82">
        <f>IF(Consultas!AL199="N",-6,0)</f>
        <v>0</v>
      </c>
      <c r="AN199" s="82">
        <f>IF(Consultas!AM199="N",-10,0)</f>
        <v>0</v>
      </c>
      <c r="AO199" s="82">
        <f>IF(Consultas!AN199="S",4,-2)</f>
        <v>-2</v>
      </c>
      <c r="AP199" s="39"/>
      <c r="AQ199" s="165" t="str">
        <f>IF(Consultas!F199&gt;1,(SUM(F199:AO199)),"N/A")</f>
        <v>N/A</v>
      </c>
      <c r="AR199" s="78">
        <f>IF((Consultas!AD199&gt;'Parâmetros'!$A$31),"X",AJ199+Y199+V199+AC199)</f>
        <v>-9</v>
      </c>
      <c r="AS199" s="78">
        <f>IF((Consultas!AD199&gt;'Parâmetros'!$A$31),"X",(H199+I199+J199+Q199+T199+Y199+Z199+AJ199+AN199))</f>
        <v>-23</v>
      </c>
      <c r="AT199" s="78" t="str">
        <f>IF((Consultas!AD199&lt;'Parâmetros'!$A$31),"X",(AD199+AC199+AB199))</f>
        <v>X</v>
      </c>
      <c r="AU199" s="78">
        <f t="shared" si="1"/>
        <v>-23</v>
      </c>
      <c r="AV199" s="82" t="str">
        <f>IF(AQ199="N/A","N/A",IF(AQ199&gt;5,'Parâmetros'!$A$15,(IF(AU199=AR199,'Parâmetros'!$A$17,IF(AU199=AS199,'Parâmetros'!$A$16,'Parâmetros'!$A$14)))))</f>
        <v>N/A</v>
      </c>
      <c r="AW199" s="86" t="str">
        <f>IF(AQ199="N/A","N/A",IF(AV199='Parâmetros'!$A$15,'Parâmetros'!$C$15,(IF(AV199='Parâmetros'!$A$17,'Parâmetros'!$C$17,IF(AV199='Parâmetros'!$A$16,'Parâmetros'!$C$16,IF(AV199='Parâmetros'!$A$14,'Parâmetros'!$C$12))))))</f>
        <v>N/A</v>
      </c>
      <c r="AX199" s="82" t="b">
        <f>IF(Consultas!F199&gt;1,(IF(Consultas!F199&gt;5000,"SOLICITAR PED COMPRA","N/A")))</f>
        <v>0</v>
      </c>
      <c r="AY199" s="167" t="str">
        <f>IF(AND(Consultas!M199&lt;&gt;"S", Consultas!H199="S"), "CHECAGEM REVERSA", "N/A")</f>
        <v>N/A</v>
      </c>
      <c r="AZ199" s="167" t="str">
        <f>IF(Consultas!U199="N","PRECISA CORRIGIR END DIVERGENTE","N/A")</f>
        <v>N/A</v>
      </c>
    </row>
    <row r="200" ht="12.0" customHeight="1">
      <c r="A200" s="39" t="s">
        <v>90</v>
      </c>
      <c r="B200" s="82" t="str">
        <f>Consultas!B200</f>
        <v/>
      </c>
      <c r="C200" s="82" t="str">
        <f>Consultas!D200</f>
        <v/>
      </c>
      <c r="D200" s="96" t="str">
        <f>Consultas!E200</f>
        <v/>
      </c>
      <c r="E200" s="104" t="str">
        <f>IF(Consultas!AB200&gt;0,YEAR('Parâmetros'!$B$1)-YEAR(Consultas!AB200),"NA")</f>
        <v>NA</v>
      </c>
      <c r="F200" s="82">
        <f>IF(Consultas!F200&gt;'Parâmetros'!$B$2,-8,0)</f>
        <v>0</v>
      </c>
      <c r="G200" s="82">
        <f>IF(Consultas!H200='Parâmetros'!$E$1,100,0)</f>
        <v>0</v>
      </c>
      <c r="H200" s="82">
        <f>IF(Consultas!I200='Parâmetros'!$E$1,-4,12)</f>
        <v>12</v>
      </c>
      <c r="I200" s="82">
        <f>IF(Consultas!J200='Parâmetros'!$E$1,1,-13)</f>
        <v>-13</v>
      </c>
      <c r="J200" s="82">
        <f>IF(Consultas!K200='Parâmetros'!$E$1,2,-5)</f>
        <v>-5</v>
      </c>
      <c r="K200" s="82" t="str">
        <f>IF(Consultas!L200='Parâmetros'!$D$1,"SOLIC CONTRATO DE ENTREGA","N/A")</f>
        <v>N/A</v>
      </c>
      <c r="L200" s="82">
        <f>IF(Consultas!R200='Parâmetros'!$E$1,1,-3)</f>
        <v>-3</v>
      </c>
      <c r="M200" s="82" t="b">
        <f>IF(Consultas!S200&gt;1,(IF(Consultas!S200='Parâmetros'!$E$1,-3,9)))</f>
        <v>0</v>
      </c>
      <c r="N200" s="82">
        <f>IF(Consultas!T200="S",23,0)</f>
        <v>0</v>
      </c>
      <c r="O200" s="82">
        <f>IF(Consultas!U200='Parâmetros'!$E$1,-3,3)</f>
        <v>3</v>
      </c>
      <c r="P200" s="82">
        <f>IF(Consultas!V200='Parâmetros'!$E$1,-100,2)</f>
        <v>2</v>
      </c>
      <c r="Q200" s="82">
        <f>IF(Consultas!M200='Parâmetros'!$D$1,2,-9)</f>
        <v>-9</v>
      </c>
      <c r="R200" s="82">
        <f>IF(Consultas!N200="RJ",-12,0)</f>
        <v>0</v>
      </c>
      <c r="S200" s="82">
        <f>IF(Consultas!O200="-",-3,IF(Consultas!O200=0,-6,IF(Consultas!O200=5,0,IF(Consultas!O200=10,6))))</f>
        <v>-6</v>
      </c>
      <c r="T200" s="82">
        <f>IF(Consultas!M200="S",0,(IF(Consultas!P200="S",6,0)))</f>
        <v>0</v>
      </c>
      <c r="U200" s="82">
        <f>IF(Consultas!Q200&gt;97,9,IF(Consultas!Q200&gt;75,0,-7))</f>
        <v>-7</v>
      </c>
      <c r="V200" s="82">
        <f>IF(Consultas!W200='Parâmetros'!$E$1,1,-5)</f>
        <v>-5</v>
      </c>
      <c r="W200" s="82">
        <f>IF(Consultas!X200="S",3,-3)</f>
        <v>-3</v>
      </c>
      <c r="X200" s="82">
        <f>IF(Consultas!Y200="S",0,-7)</f>
        <v>-7</v>
      </c>
      <c r="Y200" s="82">
        <f>IF(Consultas!Z200='Parâmetros'!$E$1,2,-8)</f>
        <v>-8</v>
      </c>
      <c r="Z200" s="82">
        <f>IF(Consultas!AA200='Parâmetros'!$E$1,-15,1)</f>
        <v>1</v>
      </c>
      <c r="AA200" s="147" t="s">
        <v>140</v>
      </c>
      <c r="AB200" s="82" t="str">
        <f>IF(E200="NA","NA",IF(E200&gt;'Parâmetros'!$A$9,8,IF(E200&gt;'Parâmetros'!$A$8,4,IF(E200&gt;'Parâmetros'!$A$7,0,-6))))</f>
        <v>NA</v>
      </c>
      <c r="AC200" s="82">
        <f>IF(Consultas!AC200='Parâmetros'!$E$1,0,5)</f>
        <v>5</v>
      </c>
      <c r="AD200" s="82">
        <f>IF(Consultas!AH200='Parâmetros'!$D$1,-10,5)</f>
        <v>5</v>
      </c>
      <c r="AE200" s="82">
        <f>IF(Consultas!AI200&gt;(Consultas!F200*2),-10,0)</f>
        <v>0</v>
      </c>
      <c r="AF200" s="82" t="b">
        <f>IF(Consultas!AD200&gt;1,(IF(Consultas!AI200&gt;(Consultas!AD200),-20,4)))</f>
        <v>0</v>
      </c>
      <c r="AG200" s="82">
        <f>IF(Consultas!AG200='Parâmetros'!$E$1,0,-6)</f>
        <v>-6</v>
      </c>
      <c r="AH200" s="82">
        <f>IF(Consultas!AF200='Parâmetros'!$E$1,1,-5)</f>
        <v>-5</v>
      </c>
      <c r="AI200" s="82">
        <f>IF(Consultas!AJ200&gt;700,8,IF(Consultas!AJ200&gt;500,4,IF(Consultas!AJ200&gt;200,-4,IF(Consultas!AJ200&gt;1,-15,-20))))</f>
        <v>-20</v>
      </c>
      <c r="AJ200" s="82">
        <f>IF(Consultas!AD200='Parâmetros'!$E$10,0,IF(Consultas!AD200&gt;'Parâmetros'!$A$30,12,IF(Consultas!AD200&gt;'Parâmetros'!$A$31,6,IF(Consultas!AD200&gt;'Parâmetros'!$A$32,0,IF(Consultas!AD200&gt;'Parâmetros'!$A$33,0,IF(Consultas!AD200&gt;'Parâmetros'!$A$34,-3,IF(Consultas!AD200&gt;'Parâmetros'!$A$35,-7,-1)))))))</f>
        <v>-1</v>
      </c>
      <c r="AK200" s="82">
        <f>IF(Consultas!AO200='Parâmetros'!$D$1,3,-3)</f>
        <v>-3</v>
      </c>
      <c r="AL200" s="82">
        <f>IF(Consultas!AP200='Parâmetros'!$D$1,5,-3)</f>
        <v>-3</v>
      </c>
      <c r="AM200" s="82">
        <f>IF(Consultas!AL200="N",-6,0)</f>
        <v>0</v>
      </c>
      <c r="AN200" s="82">
        <f>IF(Consultas!AM200="N",-10,0)</f>
        <v>0</v>
      </c>
      <c r="AO200" s="82">
        <f>IF(Consultas!AN200="S",4,-2)</f>
        <v>-2</v>
      </c>
      <c r="AP200" s="39"/>
      <c r="AQ200" s="165" t="str">
        <f>IF(Consultas!F200&gt;1,(SUM(F200:AO200)),"N/A")</f>
        <v>N/A</v>
      </c>
      <c r="AR200" s="78">
        <f>IF((Consultas!AD200&gt;'Parâmetros'!$A$31),"X",AJ200+Y200+V200+AC200)</f>
        <v>-9</v>
      </c>
      <c r="AS200" s="78">
        <f>IF((Consultas!AD200&gt;'Parâmetros'!$A$31),"X",(H200+I200+J200+Q200+T200+Y200+Z200+AJ200+AN200))</f>
        <v>-23</v>
      </c>
      <c r="AT200" s="78" t="str">
        <f>IF((Consultas!AD200&lt;'Parâmetros'!$A$31),"X",(AD200+AC200+AB200))</f>
        <v>X</v>
      </c>
      <c r="AU200" s="78">
        <f t="shared" si="1"/>
        <v>-23</v>
      </c>
      <c r="AV200" s="82" t="str">
        <f>IF(AQ200="N/A","N/A",IF(AQ200&gt;5,'Parâmetros'!$A$15,(IF(AU200=AR200,'Parâmetros'!$A$17,IF(AU200=AS200,'Parâmetros'!$A$16,'Parâmetros'!$A$14)))))</f>
        <v>N/A</v>
      </c>
      <c r="AW200" s="86" t="str">
        <f>IF(AQ200="N/A","N/A",IF(AV200='Parâmetros'!$A$15,'Parâmetros'!$C$15,(IF(AV200='Parâmetros'!$A$17,'Parâmetros'!$C$17,IF(AV200='Parâmetros'!$A$16,'Parâmetros'!$C$16,IF(AV200='Parâmetros'!$A$14,'Parâmetros'!$C$12))))))</f>
        <v>N/A</v>
      </c>
      <c r="AX200" s="82" t="b">
        <f>IF(Consultas!F200&gt;1,(IF(Consultas!F200&gt;5000,"SOLICITAR PED COMPRA","N/A")))</f>
        <v>0</v>
      </c>
      <c r="AY200" s="167" t="str">
        <f>IF(AND(Consultas!M200&lt;&gt;"S", Consultas!H200="S"), "CHECAGEM REVERSA", "N/A")</f>
        <v>N/A</v>
      </c>
      <c r="AZ200" s="167" t="str">
        <f>IF(Consultas!U200="N","PRECISA CORRIGIR END DIVERGENTE","N/A")</f>
        <v>N/A</v>
      </c>
    </row>
    <row r="201" ht="12.0" customHeight="1">
      <c r="A201" s="39" t="s">
        <v>90</v>
      </c>
      <c r="B201" s="82" t="str">
        <f>Consultas!B201</f>
        <v/>
      </c>
      <c r="C201" s="82" t="str">
        <f>Consultas!D201</f>
        <v/>
      </c>
      <c r="D201" s="96" t="str">
        <f>Consultas!E201</f>
        <v/>
      </c>
      <c r="E201" s="104" t="str">
        <f>IF(Consultas!AB201&gt;0,YEAR('Parâmetros'!$B$1)-YEAR(Consultas!AB201),"NA")</f>
        <v>NA</v>
      </c>
      <c r="F201" s="82">
        <f>IF(Consultas!F201&gt;'Parâmetros'!$B$2,-8,0)</f>
        <v>0</v>
      </c>
      <c r="G201" s="82">
        <f>IF(Consultas!H201='Parâmetros'!$E$1,100,0)</f>
        <v>0</v>
      </c>
      <c r="H201" s="82">
        <f>IF(Consultas!I201='Parâmetros'!$E$1,-4,12)</f>
        <v>12</v>
      </c>
      <c r="I201" s="82">
        <f>IF(Consultas!J201='Parâmetros'!$E$1,1,-13)</f>
        <v>-13</v>
      </c>
      <c r="J201" s="82">
        <f>IF(Consultas!K201='Parâmetros'!$E$1,2,-5)</f>
        <v>-5</v>
      </c>
      <c r="K201" s="82" t="str">
        <f>IF(Consultas!L201='Parâmetros'!$D$1,"SOLIC CONTRATO DE ENTREGA","N/A")</f>
        <v>N/A</v>
      </c>
      <c r="L201" s="82">
        <f>IF(Consultas!R201='Parâmetros'!$E$1,1,-3)</f>
        <v>-3</v>
      </c>
      <c r="M201" s="82" t="b">
        <f>IF(Consultas!S201&gt;1,(IF(Consultas!S201='Parâmetros'!$E$1,-3,9)))</f>
        <v>0</v>
      </c>
      <c r="N201" s="82">
        <f>IF(Consultas!T201="S",23,0)</f>
        <v>0</v>
      </c>
      <c r="O201" s="82">
        <f>IF(Consultas!U201='Parâmetros'!$E$1,-3,3)</f>
        <v>3</v>
      </c>
      <c r="P201" s="82">
        <f>IF(Consultas!V201='Parâmetros'!$E$1,-100,2)</f>
        <v>2</v>
      </c>
      <c r="Q201" s="82">
        <f>IF(Consultas!M201='Parâmetros'!$D$1,2,-9)</f>
        <v>-9</v>
      </c>
      <c r="R201" s="82">
        <f>IF(Consultas!N201="RJ",-12,0)</f>
        <v>0</v>
      </c>
      <c r="S201" s="82">
        <f>IF(Consultas!O201="-",-3,IF(Consultas!O201=0,-6,IF(Consultas!O201=5,0,IF(Consultas!O201=10,6))))</f>
        <v>-6</v>
      </c>
      <c r="T201" s="82">
        <f>IF(Consultas!M201="S",0,(IF(Consultas!P201="S",6,0)))</f>
        <v>0</v>
      </c>
      <c r="U201" s="82">
        <f>IF(Consultas!Q201&gt;97,9,IF(Consultas!Q201&gt;75,0,-7))</f>
        <v>-7</v>
      </c>
      <c r="V201" s="82">
        <f>IF(Consultas!W201='Parâmetros'!$E$1,1,-5)</f>
        <v>-5</v>
      </c>
      <c r="W201" s="82">
        <f>IF(Consultas!X201="S",3,-3)</f>
        <v>-3</v>
      </c>
      <c r="X201" s="82">
        <f>IF(Consultas!Y201="S",0,-7)</f>
        <v>-7</v>
      </c>
      <c r="Y201" s="82">
        <f>IF(Consultas!Z201='Parâmetros'!$E$1,2,-8)</f>
        <v>-8</v>
      </c>
      <c r="Z201" s="82">
        <f>IF(Consultas!AA201='Parâmetros'!$E$1,-15,1)</f>
        <v>1</v>
      </c>
      <c r="AA201" s="147" t="s">
        <v>140</v>
      </c>
      <c r="AB201" s="82" t="str">
        <f>IF(E201="NA","NA",IF(E201&gt;'Parâmetros'!$A$9,8,IF(E201&gt;'Parâmetros'!$A$8,4,IF(E201&gt;'Parâmetros'!$A$7,0,-6))))</f>
        <v>NA</v>
      </c>
      <c r="AC201" s="82">
        <f>IF(Consultas!AC201='Parâmetros'!$E$1,0,5)</f>
        <v>5</v>
      </c>
      <c r="AD201" s="82">
        <f>IF(Consultas!AH201='Parâmetros'!$D$1,-10,5)</f>
        <v>5</v>
      </c>
      <c r="AE201" s="82">
        <f>IF(Consultas!AI201&gt;(Consultas!F201*2),-10,0)</f>
        <v>0</v>
      </c>
      <c r="AF201" s="82" t="b">
        <f>IF(Consultas!AD201&gt;1,(IF(Consultas!AI201&gt;(Consultas!AD201),-20,4)))</f>
        <v>0</v>
      </c>
      <c r="AG201" s="82">
        <f>IF(Consultas!AG201='Parâmetros'!$E$1,0,-6)</f>
        <v>-6</v>
      </c>
      <c r="AH201" s="82">
        <f>IF(Consultas!AF201='Parâmetros'!$E$1,1,-5)</f>
        <v>-5</v>
      </c>
      <c r="AI201" s="82">
        <f>IF(Consultas!AJ201&gt;700,8,IF(Consultas!AJ201&gt;500,4,IF(Consultas!AJ201&gt;200,-4,IF(Consultas!AJ201&gt;1,-15,-20))))</f>
        <v>-20</v>
      </c>
      <c r="AJ201" s="82">
        <f>IF(Consultas!AD201='Parâmetros'!$E$10,0,IF(Consultas!AD201&gt;'Parâmetros'!$A$30,12,IF(Consultas!AD201&gt;'Parâmetros'!$A$31,6,IF(Consultas!AD201&gt;'Parâmetros'!$A$32,0,IF(Consultas!AD201&gt;'Parâmetros'!$A$33,0,IF(Consultas!AD201&gt;'Parâmetros'!$A$34,-3,IF(Consultas!AD201&gt;'Parâmetros'!$A$35,-7,-1)))))))</f>
        <v>-1</v>
      </c>
      <c r="AK201" s="82">
        <f>IF(Consultas!AO201='Parâmetros'!$D$1,3,-3)</f>
        <v>-3</v>
      </c>
      <c r="AL201" s="82">
        <f>IF(Consultas!AP201='Parâmetros'!$D$1,5,-3)</f>
        <v>-3</v>
      </c>
      <c r="AM201" s="82">
        <f>IF(Consultas!AL201="N",-6,0)</f>
        <v>0</v>
      </c>
      <c r="AN201" s="82">
        <f>IF(Consultas!AM201="N",-10,0)</f>
        <v>0</v>
      </c>
      <c r="AO201" s="82">
        <f>IF(Consultas!AN201="S",4,-2)</f>
        <v>-2</v>
      </c>
      <c r="AP201" s="39"/>
      <c r="AQ201" s="165" t="str">
        <f>IF(Consultas!F201&gt;1,(SUM(F201:AO201)),"N/A")</f>
        <v>N/A</v>
      </c>
      <c r="AR201" s="78">
        <f>IF((Consultas!AD201&gt;'Parâmetros'!$A$31),"X",AJ201+Y201+V201+AC201)</f>
        <v>-9</v>
      </c>
      <c r="AS201" s="78">
        <f>IF((Consultas!AD201&gt;'Parâmetros'!$A$31),"X",(H201+I201+J201+Q201+T201+Y201+Z201+AJ201+AN201))</f>
        <v>-23</v>
      </c>
      <c r="AT201" s="78" t="str">
        <f>IF((Consultas!AD201&lt;'Parâmetros'!$A$31),"X",(AD201+AC201+AB201))</f>
        <v>X</v>
      </c>
      <c r="AU201" s="78">
        <f t="shared" si="1"/>
        <v>-23</v>
      </c>
      <c r="AV201" s="82" t="str">
        <f>IF(AQ201="N/A","N/A",IF(AQ201&gt;5,'Parâmetros'!$A$15,(IF(AU201=AR201,'Parâmetros'!$A$17,IF(AU201=AS201,'Parâmetros'!$A$16,'Parâmetros'!$A$14)))))</f>
        <v>N/A</v>
      </c>
      <c r="AW201" s="86" t="str">
        <f>IF(AQ201="N/A","N/A",IF(AV201='Parâmetros'!$A$15,'Parâmetros'!$C$15,(IF(AV201='Parâmetros'!$A$17,'Parâmetros'!$C$17,IF(AV201='Parâmetros'!$A$16,'Parâmetros'!$C$16,IF(AV201='Parâmetros'!$A$14,'Parâmetros'!$C$12))))))</f>
        <v>N/A</v>
      </c>
      <c r="AX201" s="82" t="b">
        <f>IF(Consultas!F201&gt;1,(IF(Consultas!F201&gt;5000,"SOLICITAR PED COMPRA","N/A")))</f>
        <v>0</v>
      </c>
      <c r="AY201" s="167" t="str">
        <f>IF(AND(Consultas!M201&lt;&gt;"S", Consultas!H201="S"), "CHECAGEM REVERSA", "N/A")</f>
        <v>N/A</v>
      </c>
      <c r="AZ201" s="167" t="str">
        <f>IF(Consultas!U201="N","PRECISA CORRIGIR END DIVERGENTE","N/A")</f>
        <v>N/A</v>
      </c>
    </row>
    <row r="202" ht="12.0" customHeight="1">
      <c r="A202" s="39" t="s">
        <v>90</v>
      </c>
      <c r="B202" s="82" t="str">
        <f>Consultas!B202</f>
        <v/>
      </c>
      <c r="C202" s="82" t="str">
        <f>Consultas!D202</f>
        <v/>
      </c>
      <c r="D202" s="96" t="str">
        <f>Consultas!E202</f>
        <v/>
      </c>
      <c r="E202" s="104" t="str">
        <f>IF(Consultas!AB202&gt;0,YEAR('Parâmetros'!$B$1)-YEAR(Consultas!AB202),"NA")</f>
        <v>NA</v>
      </c>
      <c r="F202" s="82">
        <f>IF(Consultas!F202&gt;'Parâmetros'!$B$2,-8,0)</f>
        <v>0</v>
      </c>
      <c r="G202" s="82">
        <f>IF(Consultas!H202='Parâmetros'!$E$1,100,0)</f>
        <v>0</v>
      </c>
      <c r="H202" s="82">
        <f>IF(Consultas!I202='Parâmetros'!$E$1,-4,12)</f>
        <v>12</v>
      </c>
      <c r="I202" s="82">
        <f>IF(Consultas!J202='Parâmetros'!$E$1,1,-13)</f>
        <v>-13</v>
      </c>
      <c r="J202" s="82">
        <f>IF(Consultas!K202='Parâmetros'!$E$1,2,-5)</f>
        <v>-5</v>
      </c>
      <c r="K202" s="82" t="str">
        <f>IF(Consultas!L202='Parâmetros'!$D$1,"SOLIC CONTRATO DE ENTREGA","N/A")</f>
        <v>N/A</v>
      </c>
      <c r="L202" s="82">
        <f>IF(Consultas!R202='Parâmetros'!$E$1,1,-3)</f>
        <v>-3</v>
      </c>
      <c r="M202" s="82" t="b">
        <f>IF(Consultas!S202&gt;1,(IF(Consultas!S202='Parâmetros'!$E$1,-3,9)))</f>
        <v>0</v>
      </c>
      <c r="N202" s="82">
        <f>IF(Consultas!T202="S",23,0)</f>
        <v>0</v>
      </c>
      <c r="O202" s="82">
        <f>IF(Consultas!U202='Parâmetros'!$E$1,-3,3)</f>
        <v>3</v>
      </c>
      <c r="P202" s="82">
        <f>IF(Consultas!V202='Parâmetros'!$E$1,-100,2)</f>
        <v>2</v>
      </c>
      <c r="Q202" s="82">
        <f>IF(Consultas!M202='Parâmetros'!$D$1,2,-9)</f>
        <v>-9</v>
      </c>
      <c r="R202" s="82">
        <f>IF(Consultas!N202="RJ",-12,0)</f>
        <v>0</v>
      </c>
      <c r="S202" s="82">
        <f>IF(Consultas!O202="-",-3,IF(Consultas!O202=0,-6,IF(Consultas!O202=5,0,IF(Consultas!O202=10,6))))</f>
        <v>-6</v>
      </c>
      <c r="T202" s="82">
        <f>IF(Consultas!M202="S",0,(IF(Consultas!P202="S",6,0)))</f>
        <v>0</v>
      </c>
      <c r="U202" s="82">
        <f>IF(Consultas!Q202&gt;97,9,IF(Consultas!Q202&gt;75,0,-7))</f>
        <v>-7</v>
      </c>
      <c r="V202" s="82">
        <f>IF(Consultas!W202='Parâmetros'!$E$1,1,-5)</f>
        <v>-5</v>
      </c>
      <c r="W202" s="82">
        <f>IF(Consultas!X202="S",3,-3)</f>
        <v>-3</v>
      </c>
      <c r="X202" s="82">
        <f>IF(Consultas!Y202="S",0,-7)</f>
        <v>-7</v>
      </c>
      <c r="Y202" s="82">
        <f>IF(Consultas!Z202='Parâmetros'!$E$1,2,-8)</f>
        <v>-8</v>
      </c>
      <c r="Z202" s="82">
        <f>IF(Consultas!AA202='Parâmetros'!$E$1,-15,1)</f>
        <v>1</v>
      </c>
      <c r="AA202" s="147" t="s">
        <v>140</v>
      </c>
      <c r="AB202" s="82" t="str">
        <f>IF(E202="NA","NA",IF(E202&gt;'Parâmetros'!$A$9,8,IF(E202&gt;'Parâmetros'!$A$8,4,IF(E202&gt;'Parâmetros'!$A$7,0,-6))))</f>
        <v>NA</v>
      </c>
      <c r="AC202" s="82">
        <f>IF(Consultas!AC202='Parâmetros'!$E$1,0,5)</f>
        <v>5</v>
      </c>
      <c r="AD202" s="82">
        <f>IF(Consultas!AH202='Parâmetros'!$D$1,-10,5)</f>
        <v>5</v>
      </c>
      <c r="AE202" s="82">
        <f>IF(Consultas!AI202&gt;(Consultas!F202*2),-10,0)</f>
        <v>0</v>
      </c>
      <c r="AF202" s="82" t="b">
        <f>IF(Consultas!AD202&gt;1,(IF(Consultas!AI202&gt;(Consultas!AD202),-20,4)))</f>
        <v>0</v>
      </c>
      <c r="AG202" s="82">
        <f>IF(Consultas!AG202='Parâmetros'!$E$1,0,-6)</f>
        <v>-6</v>
      </c>
      <c r="AH202" s="82">
        <f>IF(Consultas!AF202='Parâmetros'!$E$1,1,-5)</f>
        <v>-5</v>
      </c>
      <c r="AI202" s="82">
        <f>IF(Consultas!AJ202&gt;700,8,IF(Consultas!AJ202&gt;500,4,IF(Consultas!AJ202&gt;200,-4,IF(Consultas!AJ202&gt;1,-15,-20))))</f>
        <v>-20</v>
      </c>
      <c r="AJ202" s="82">
        <f>IF(Consultas!AD202='Parâmetros'!$E$10,0,IF(Consultas!AD202&gt;'Parâmetros'!$A$30,12,IF(Consultas!AD202&gt;'Parâmetros'!$A$31,6,IF(Consultas!AD202&gt;'Parâmetros'!$A$32,0,IF(Consultas!AD202&gt;'Parâmetros'!$A$33,0,IF(Consultas!AD202&gt;'Parâmetros'!$A$34,-3,IF(Consultas!AD202&gt;'Parâmetros'!$A$35,-7,-1)))))))</f>
        <v>-1</v>
      </c>
      <c r="AK202" s="82">
        <f>IF(Consultas!AO202='Parâmetros'!$D$1,3,-3)</f>
        <v>-3</v>
      </c>
      <c r="AL202" s="82">
        <f>IF(Consultas!AP202='Parâmetros'!$D$1,5,-3)</f>
        <v>-3</v>
      </c>
      <c r="AM202" s="82">
        <f>IF(Consultas!AL202="N",-6,0)</f>
        <v>0</v>
      </c>
      <c r="AN202" s="82">
        <f>IF(Consultas!AM202="N",-10,0)</f>
        <v>0</v>
      </c>
      <c r="AO202" s="82">
        <f>IF(Consultas!AN202="S",4,-2)</f>
        <v>-2</v>
      </c>
      <c r="AP202" s="39"/>
      <c r="AQ202" s="165" t="str">
        <f>IF(Consultas!F202&gt;1,(SUM(F202:AO202)),"N/A")</f>
        <v>N/A</v>
      </c>
      <c r="AR202" s="78">
        <f>IF((Consultas!AD202&gt;'Parâmetros'!$A$31),"X",AJ202+Y202+V202+AC202)</f>
        <v>-9</v>
      </c>
      <c r="AS202" s="78">
        <f>IF((Consultas!AD202&gt;'Parâmetros'!$A$31),"X",(H202+I202+J202+Q202+T202+Y202+Z202+AJ202+AN202))</f>
        <v>-23</v>
      </c>
      <c r="AT202" s="78" t="str">
        <f>IF((Consultas!AD202&lt;'Parâmetros'!$A$31),"X",(AD202+AC202+AB202))</f>
        <v>X</v>
      </c>
      <c r="AU202" s="78">
        <f t="shared" si="1"/>
        <v>-23</v>
      </c>
      <c r="AV202" s="82" t="str">
        <f>IF(AQ202="N/A","N/A",IF(AQ202&gt;5,'Parâmetros'!$A$15,(IF(AU202=AR202,'Parâmetros'!$A$17,IF(AU202=AS202,'Parâmetros'!$A$16,'Parâmetros'!$A$14)))))</f>
        <v>N/A</v>
      </c>
      <c r="AW202" s="86" t="str">
        <f>IF(AQ202="N/A","N/A",IF(AV202='Parâmetros'!$A$15,'Parâmetros'!$C$15,(IF(AV202='Parâmetros'!$A$17,'Parâmetros'!$C$17,IF(AV202='Parâmetros'!$A$16,'Parâmetros'!$C$16,IF(AV202='Parâmetros'!$A$14,'Parâmetros'!$C$12))))))</f>
        <v>N/A</v>
      </c>
      <c r="AX202" s="82" t="b">
        <f>IF(Consultas!F202&gt;1,(IF(Consultas!F202&gt;5000,"SOLICITAR PED COMPRA","N/A")))</f>
        <v>0</v>
      </c>
      <c r="AY202" s="167" t="str">
        <f>IF(AND(Consultas!M202&lt;&gt;"S", Consultas!H202="S"), "CHECAGEM REVERSA", "N/A")</f>
        <v>N/A</v>
      </c>
      <c r="AZ202" s="167" t="str">
        <f>IF(Consultas!U202="N","PRECISA CORRIGIR END DIVERGENTE","N/A")</f>
        <v>N/A</v>
      </c>
    </row>
    <row r="203" ht="12.0" customHeight="1">
      <c r="A203" s="39" t="s">
        <v>90</v>
      </c>
      <c r="B203" s="82" t="str">
        <f>Consultas!B203</f>
        <v/>
      </c>
      <c r="C203" s="82" t="str">
        <f>Consultas!D203</f>
        <v/>
      </c>
      <c r="D203" s="96" t="str">
        <f>Consultas!E203</f>
        <v/>
      </c>
      <c r="E203" s="104" t="str">
        <f>IF(Consultas!AB203&gt;0,YEAR('Parâmetros'!$B$1)-YEAR(Consultas!AB203),"NA")</f>
        <v>NA</v>
      </c>
      <c r="F203" s="82">
        <f>IF(Consultas!F203&gt;'Parâmetros'!$B$2,-8,0)</f>
        <v>0</v>
      </c>
      <c r="G203" s="82">
        <f>IF(Consultas!H203='Parâmetros'!$E$1,100,0)</f>
        <v>0</v>
      </c>
      <c r="H203" s="82">
        <f>IF(Consultas!I203='Parâmetros'!$E$1,-4,12)</f>
        <v>12</v>
      </c>
      <c r="I203" s="82">
        <f>IF(Consultas!J203='Parâmetros'!$E$1,1,-13)</f>
        <v>-13</v>
      </c>
      <c r="J203" s="82">
        <f>IF(Consultas!K203='Parâmetros'!$E$1,2,-5)</f>
        <v>-5</v>
      </c>
      <c r="K203" s="82" t="str">
        <f>IF(Consultas!L203='Parâmetros'!$D$1,"SOLIC CONTRATO DE ENTREGA","N/A")</f>
        <v>N/A</v>
      </c>
      <c r="L203" s="82">
        <f>IF(Consultas!R203='Parâmetros'!$E$1,1,-3)</f>
        <v>-3</v>
      </c>
      <c r="M203" s="82" t="b">
        <f>IF(Consultas!S203&gt;1,(IF(Consultas!S203='Parâmetros'!$E$1,-3,9)))</f>
        <v>0</v>
      </c>
      <c r="N203" s="82">
        <f>IF(Consultas!T203="S",23,0)</f>
        <v>0</v>
      </c>
      <c r="O203" s="82">
        <f>IF(Consultas!U203='Parâmetros'!$E$1,-3,3)</f>
        <v>3</v>
      </c>
      <c r="P203" s="82">
        <f>IF(Consultas!V203='Parâmetros'!$E$1,-100,2)</f>
        <v>2</v>
      </c>
      <c r="Q203" s="82">
        <f>IF(Consultas!M203='Parâmetros'!$D$1,2,-9)</f>
        <v>-9</v>
      </c>
      <c r="R203" s="82">
        <f>IF(Consultas!N203="RJ",-12,0)</f>
        <v>0</v>
      </c>
      <c r="S203" s="82">
        <f>IF(Consultas!O203="-",-3,IF(Consultas!O203=0,-6,IF(Consultas!O203=5,0,IF(Consultas!O203=10,6))))</f>
        <v>-6</v>
      </c>
      <c r="T203" s="82">
        <f>IF(Consultas!M203="S",0,(IF(Consultas!P203="S",6,0)))</f>
        <v>0</v>
      </c>
      <c r="U203" s="82">
        <f>IF(Consultas!Q203&gt;97,9,IF(Consultas!Q203&gt;75,0,-7))</f>
        <v>-7</v>
      </c>
      <c r="V203" s="82">
        <f>IF(Consultas!W203='Parâmetros'!$E$1,1,-5)</f>
        <v>-5</v>
      </c>
      <c r="W203" s="82">
        <f>IF(Consultas!X203="S",3,-3)</f>
        <v>-3</v>
      </c>
      <c r="X203" s="82">
        <f>IF(Consultas!Y203="S",0,-7)</f>
        <v>-7</v>
      </c>
      <c r="Y203" s="82">
        <f>IF(Consultas!Z203='Parâmetros'!$E$1,2,-8)</f>
        <v>-8</v>
      </c>
      <c r="Z203" s="82">
        <f>IF(Consultas!AA203='Parâmetros'!$E$1,-15,1)</f>
        <v>1</v>
      </c>
      <c r="AA203" s="147" t="s">
        <v>140</v>
      </c>
      <c r="AB203" s="82" t="str">
        <f>IF(E203="NA","NA",IF(E203&gt;'Parâmetros'!$A$9,8,IF(E203&gt;'Parâmetros'!$A$8,4,IF(E203&gt;'Parâmetros'!$A$7,0,-6))))</f>
        <v>NA</v>
      </c>
      <c r="AC203" s="82">
        <f>IF(Consultas!AC203='Parâmetros'!$E$1,0,5)</f>
        <v>5</v>
      </c>
      <c r="AD203" s="82">
        <f>IF(Consultas!AH203='Parâmetros'!$D$1,-10,5)</f>
        <v>5</v>
      </c>
      <c r="AE203" s="82">
        <f>IF(Consultas!AI203&gt;(Consultas!F203*2),-10,0)</f>
        <v>0</v>
      </c>
      <c r="AF203" s="82" t="b">
        <f>IF(Consultas!AD203&gt;1,(IF(Consultas!AI203&gt;(Consultas!AD203),-20,4)))</f>
        <v>0</v>
      </c>
      <c r="AG203" s="82">
        <f>IF(Consultas!AG203='Parâmetros'!$E$1,0,-6)</f>
        <v>-6</v>
      </c>
      <c r="AH203" s="82">
        <f>IF(Consultas!AF203='Parâmetros'!$E$1,1,-5)</f>
        <v>-5</v>
      </c>
      <c r="AI203" s="82">
        <f>IF(Consultas!AJ203&gt;700,8,IF(Consultas!AJ203&gt;500,4,IF(Consultas!AJ203&gt;200,-4,IF(Consultas!AJ203&gt;1,-15,-20))))</f>
        <v>-20</v>
      </c>
      <c r="AJ203" s="82">
        <f>IF(Consultas!AD203='Parâmetros'!$E$10,0,IF(Consultas!AD203&gt;'Parâmetros'!$A$30,12,IF(Consultas!AD203&gt;'Parâmetros'!$A$31,6,IF(Consultas!AD203&gt;'Parâmetros'!$A$32,0,IF(Consultas!AD203&gt;'Parâmetros'!$A$33,0,IF(Consultas!AD203&gt;'Parâmetros'!$A$34,-3,IF(Consultas!AD203&gt;'Parâmetros'!$A$35,-7,-1)))))))</f>
        <v>-1</v>
      </c>
      <c r="AK203" s="82">
        <f>IF(Consultas!AO203='Parâmetros'!$D$1,3,-3)</f>
        <v>-3</v>
      </c>
      <c r="AL203" s="82">
        <f>IF(Consultas!AP203='Parâmetros'!$D$1,5,-3)</f>
        <v>-3</v>
      </c>
      <c r="AM203" s="82">
        <f>IF(Consultas!AL203="N",-6,0)</f>
        <v>0</v>
      </c>
      <c r="AN203" s="82">
        <f>IF(Consultas!AM203="N",-10,0)</f>
        <v>0</v>
      </c>
      <c r="AO203" s="82">
        <f>IF(Consultas!AN203="S",4,-2)</f>
        <v>-2</v>
      </c>
      <c r="AP203" s="39"/>
      <c r="AQ203" s="165" t="str">
        <f>IF(Consultas!F203&gt;1,(SUM(F203:AO203)),"N/A")</f>
        <v>N/A</v>
      </c>
      <c r="AR203" s="78">
        <f>IF((Consultas!AD203&gt;'Parâmetros'!$A$31),"X",AJ203+Y203+V203+AC203)</f>
        <v>-9</v>
      </c>
      <c r="AS203" s="78">
        <f>IF((Consultas!AD203&gt;'Parâmetros'!$A$31),"X",(H203+I203+J203+Q203+T203+Y203+Z203+AJ203+AN203))</f>
        <v>-23</v>
      </c>
      <c r="AT203" s="78" t="str">
        <f>IF((Consultas!AD203&lt;'Parâmetros'!$A$31),"X",(AD203+AC203+AB203))</f>
        <v>X</v>
      </c>
      <c r="AU203" s="78">
        <f t="shared" si="1"/>
        <v>-23</v>
      </c>
      <c r="AV203" s="82" t="str">
        <f>IF(AQ203="N/A","N/A",IF(AQ203&gt;5,'Parâmetros'!$A$15,(IF(AU203=AR203,'Parâmetros'!$A$17,IF(AU203=AS203,'Parâmetros'!$A$16,'Parâmetros'!$A$14)))))</f>
        <v>N/A</v>
      </c>
      <c r="AW203" s="86" t="str">
        <f>IF(AQ203="N/A","N/A",IF(AV203='Parâmetros'!$A$15,'Parâmetros'!$C$15,(IF(AV203='Parâmetros'!$A$17,'Parâmetros'!$C$17,IF(AV203='Parâmetros'!$A$16,'Parâmetros'!$C$16,IF(AV203='Parâmetros'!$A$14,'Parâmetros'!$C$12))))))</f>
        <v>N/A</v>
      </c>
      <c r="AX203" s="82" t="b">
        <f>IF(Consultas!F203&gt;1,(IF(Consultas!F203&gt;5000,"SOLICITAR PED COMPRA","N/A")))</f>
        <v>0</v>
      </c>
      <c r="AY203" s="167" t="str">
        <f>IF(AND(Consultas!M203&lt;&gt;"S", Consultas!H203="S"), "CHECAGEM REVERSA", "N/A")</f>
        <v>N/A</v>
      </c>
      <c r="AZ203" s="167" t="str">
        <f>IF(Consultas!U203="N","PRECISA CORRIGIR END DIVERGENTE","N/A")</f>
        <v>N/A</v>
      </c>
    </row>
    <row r="204" ht="12.0" customHeight="1">
      <c r="A204" s="39" t="s">
        <v>90</v>
      </c>
      <c r="B204" s="82" t="str">
        <f>Consultas!B204</f>
        <v/>
      </c>
      <c r="C204" s="82" t="str">
        <f>Consultas!D204</f>
        <v/>
      </c>
      <c r="D204" s="96" t="str">
        <f>Consultas!E204</f>
        <v/>
      </c>
      <c r="E204" s="104" t="str">
        <f>IF(Consultas!AB204&gt;0,YEAR('Parâmetros'!$B$1)-YEAR(Consultas!AB204),"NA")</f>
        <v>NA</v>
      </c>
      <c r="F204" s="82">
        <f>IF(Consultas!F204&gt;'Parâmetros'!$B$2,-8,0)</f>
        <v>0</v>
      </c>
      <c r="G204" s="82">
        <f>IF(Consultas!H204='Parâmetros'!$E$1,100,0)</f>
        <v>0</v>
      </c>
      <c r="H204" s="82">
        <f>IF(Consultas!I204='Parâmetros'!$E$1,-4,12)</f>
        <v>12</v>
      </c>
      <c r="I204" s="82">
        <f>IF(Consultas!J204='Parâmetros'!$E$1,1,-13)</f>
        <v>-13</v>
      </c>
      <c r="J204" s="82">
        <f>IF(Consultas!K204='Parâmetros'!$E$1,2,-5)</f>
        <v>-5</v>
      </c>
      <c r="K204" s="82" t="str">
        <f>IF(Consultas!L204='Parâmetros'!$D$1,"SOLIC CONTRATO DE ENTREGA","N/A")</f>
        <v>N/A</v>
      </c>
      <c r="L204" s="82">
        <f>IF(Consultas!R204='Parâmetros'!$E$1,1,-3)</f>
        <v>-3</v>
      </c>
      <c r="M204" s="82" t="b">
        <f>IF(Consultas!S204&gt;1,(IF(Consultas!S204='Parâmetros'!$E$1,-3,9)))</f>
        <v>0</v>
      </c>
      <c r="N204" s="82">
        <f>IF(Consultas!T204="S",23,0)</f>
        <v>0</v>
      </c>
      <c r="O204" s="82">
        <f>IF(Consultas!U204='Parâmetros'!$E$1,-3,3)</f>
        <v>3</v>
      </c>
      <c r="P204" s="82">
        <f>IF(Consultas!V204='Parâmetros'!$E$1,-100,2)</f>
        <v>2</v>
      </c>
      <c r="Q204" s="82">
        <f>IF(Consultas!M204='Parâmetros'!$D$1,2,-9)</f>
        <v>-9</v>
      </c>
      <c r="R204" s="82">
        <f>IF(Consultas!N204="RJ",-12,0)</f>
        <v>0</v>
      </c>
      <c r="S204" s="82">
        <f>IF(Consultas!O204="-",-3,IF(Consultas!O204=0,-6,IF(Consultas!O204=5,0,IF(Consultas!O204=10,6))))</f>
        <v>-6</v>
      </c>
      <c r="T204" s="82">
        <f>IF(Consultas!M204="S",0,(IF(Consultas!P204="S",6,0)))</f>
        <v>0</v>
      </c>
      <c r="U204" s="82">
        <f>IF(Consultas!Q204&gt;97,9,IF(Consultas!Q204&gt;75,0,-7))</f>
        <v>-7</v>
      </c>
      <c r="V204" s="82">
        <f>IF(Consultas!W204='Parâmetros'!$E$1,1,-5)</f>
        <v>-5</v>
      </c>
      <c r="W204" s="82">
        <f>IF(Consultas!X204="S",3,-3)</f>
        <v>-3</v>
      </c>
      <c r="X204" s="82">
        <f>IF(Consultas!Y204="S",0,-7)</f>
        <v>-7</v>
      </c>
      <c r="Y204" s="82">
        <f>IF(Consultas!Z204='Parâmetros'!$E$1,2,-8)</f>
        <v>-8</v>
      </c>
      <c r="Z204" s="82">
        <f>IF(Consultas!AA204='Parâmetros'!$E$1,-15,1)</f>
        <v>1</v>
      </c>
      <c r="AA204" s="147" t="s">
        <v>140</v>
      </c>
      <c r="AB204" s="82" t="str">
        <f>IF(E204="NA","NA",IF(E204&gt;'Parâmetros'!$A$9,8,IF(E204&gt;'Parâmetros'!$A$8,4,IF(E204&gt;'Parâmetros'!$A$7,0,-6))))</f>
        <v>NA</v>
      </c>
      <c r="AC204" s="82">
        <f>IF(Consultas!AC204='Parâmetros'!$E$1,0,5)</f>
        <v>5</v>
      </c>
      <c r="AD204" s="82">
        <f>IF(Consultas!AH204='Parâmetros'!$D$1,-10,5)</f>
        <v>5</v>
      </c>
      <c r="AE204" s="82">
        <f>IF(Consultas!AI204&gt;(Consultas!F204*2),-10,0)</f>
        <v>0</v>
      </c>
      <c r="AF204" s="82" t="b">
        <f>IF(Consultas!AD204&gt;1,(IF(Consultas!AI204&gt;(Consultas!AD204),-20,4)))</f>
        <v>0</v>
      </c>
      <c r="AG204" s="82">
        <f>IF(Consultas!AG204='Parâmetros'!$E$1,0,-6)</f>
        <v>-6</v>
      </c>
      <c r="AH204" s="82">
        <f>IF(Consultas!AF204='Parâmetros'!$E$1,1,-5)</f>
        <v>-5</v>
      </c>
      <c r="AI204" s="82">
        <f>IF(Consultas!AJ204&gt;700,8,IF(Consultas!AJ204&gt;500,4,IF(Consultas!AJ204&gt;200,-4,IF(Consultas!AJ204&gt;1,-15,-20))))</f>
        <v>-20</v>
      </c>
      <c r="AJ204" s="82">
        <f>IF(Consultas!AD204='Parâmetros'!$E$10,0,IF(Consultas!AD204&gt;'Parâmetros'!$A$30,12,IF(Consultas!AD204&gt;'Parâmetros'!$A$31,6,IF(Consultas!AD204&gt;'Parâmetros'!$A$32,0,IF(Consultas!AD204&gt;'Parâmetros'!$A$33,0,IF(Consultas!AD204&gt;'Parâmetros'!$A$34,-3,IF(Consultas!AD204&gt;'Parâmetros'!$A$35,-7,-1)))))))</f>
        <v>-1</v>
      </c>
      <c r="AK204" s="82">
        <f>IF(Consultas!AO204='Parâmetros'!$D$1,3,-3)</f>
        <v>-3</v>
      </c>
      <c r="AL204" s="82">
        <f>IF(Consultas!AP204='Parâmetros'!$D$1,5,-3)</f>
        <v>-3</v>
      </c>
      <c r="AM204" s="82">
        <f>IF(Consultas!AL204="N",-6,0)</f>
        <v>0</v>
      </c>
      <c r="AN204" s="82">
        <f>IF(Consultas!AM204="N",-10,0)</f>
        <v>0</v>
      </c>
      <c r="AO204" s="82">
        <f>IF(Consultas!AN204="S",4,-2)</f>
        <v>-2</v>
      </c>
      <c r="AP204" s="39"/>
      <c r="AQ204" s="165" t="str">
        <f>IF(Consultas!F204&gt;1,(SUM(F204:AO204)),"N/A")</f>
        <v>N/A</v>
      </c>
      <c r="AR204" s="78">
        <f>IF((Consultas!AD204&gt;'Parâmetros'!$A$31),"X",AJ204+Y204+V204+AC204)</f>
        <v>-9</v>
      </c>
      <c r="AS204" s="78">
        <f>IF((Consultas!AD204&gt;'Parâmetros'!$A$31),"X",(H204+I204+J204+Q204+T204+Y204+Z204+AJ204+AN204))</f>
        <v>-23</v>
      </c>
      <c r="AT204" s="78" t="str">
        <f>IF((Consultas!AD204&lt;'Parâmetros'!$A$31),"X",(AD204+AC204+AB204))</f>
        <v>X</v>
      </c>
      <c r="AU204" s="78">
        <f t="shared" si="1"/>
        <v>-23</v>
      </c>
      <c r="AV204" s="82" t="str">
        <f>IF(AQ204="N/A","N/A",IF(AQ204&gt;5,'Parâmetros'!$A$15,(IF(AU204=AR204,'Parâmetros'!$A$17,IF(AU204=AS204,'Parâmetros'!$A$16,'Parâmetros'!$A$14)))))</f>
        <v>N/A</v>
      </c>
      <c r="AW204" s="86" t="str">
        <f>IF(AQ204="N/A","N/A",IF(AV204='Parâmetros'!$A$15,'Parâmetros'!$C$15,(IF(AV204='Parâmetros'!$A$17,'Parâmetros'!$C$17,IF(AV204='Parâmetros'!$A$16,'Parâmetros'!$C$16,IF(AV204='Parâmetros'!$A$14,'Parâmetros'!$C$12))))))</f>
        <v>N/A</v>
      </c>
      <c r="AX204" s="82" t="b">
        <f>IF(Consultas!F204&gt;1,(IF(Consultas!F204&gt;5000,"SOLICITAR PED COMPRA","N/A")))</f>
        <v>0</v>
      </c>
      <c r="AY204" s="167" t="str">
        <f>IF(AND(Consultas!M204&lt;&gt;"S", Consultas!H204="S"), "CHECAGEM REVERSA", "N/A")</f>
        <v>N/A</v>
      </c>
      <c r="AZ204" s="167" t="str">
        <f>IF(Consultas!U204="N","PRECISA CORRIGIR END DIVERGENTE","N/A")</f>
        <v>N/A</v>
      </c>
    </row>
    <row r="205" ht="12.0" customHeight="1">
      <c r="A205" s="39" t="s">
        <v>90</v>
      </c>
      <c r="B205" s="82" t="str">
        <f>Consultas!B205</f>
        <v/>
      </c>
      <c r="C205" s="82" t="str">
        <f>Consultas!D205</f>
        <v/>
      </c>
      <c r="D205" s="96" t="str">
        <f>Consultas!E205</f>
        <v/>
      </c>
      <c r="E205" s="104" t="str">
        <f>IF(Consultas!AB205&gt;0,YEAR('Parâmetros'!$B$1)-YEAR(Consultas!AB205),"NA")</f>
        <v>NA</v>
      </c>
      <c r="F205" s="82">
        <f>IF(Consultas!F205&gt;'Parâmetros'!$B$2,-8,0)</f>
        <v>0</v>
      </c>
      <c r="G205" s="82">
        <f>IF(Consultas!H205='Parâmetros'!$E$1,100,0)</f>
        <v>0</v>
      </c>
      <c r="H205" s="82">
        <f>IF(Consultas!I205='Parâmetros'!$E$1,-4,12)</f>
        <v>12</v>
      </c>
      <c r="I205" s="82">
        <f>IF(Consultas!J205='Parâmetros'!$E$1,1,-13)</f>
        <v>-13</v>
      </c>
      <c r="J205" s="82">
        <f>IF(Consultas!K205='Parâmetros'!$E$1,2,-5)</f>
        <v>-5</v>
      </c>
      <c r="K205" s="82" t="str">
        <f>IF(Consultas!L205='Parâmetros'!$D$1,"SOLIC CONTRATO DE ENTREGA","N/A")</f>
        <v>N/A</v>
      </c>
      <c r="L205" s="82">
        <f>IF(Consultas!R205='Parâmetros'!$E$1,1,-3)</f>
        <v>-3</v>
      </c>
      <c r="M205" s="82" t="b">
        <f>IF(Consultas!S205&gt;1,(IF(Consultas!S205='Parâmetros'!$E$1,-3,9)))</f>
        <v>0</v>
      </c>
      <c r="N205" s="82">
        <f>IF(Consultas!T205="S",23,0)</f>
        <v>0</v>
      </c>
      <c r="O205" s="82">
        <f>IF(Consultas!U205='Parâmetros'!$E$1,-3,3)</f>
        <v>3</v>
      </c>
      <c r="P205" s="82">
        <f>IF(Consultas!V205='Parâmetros'!$E$1,-100,2)</f>
        <v>2</v>
      </c>
      <c r="Q205" s="82">
        <f>IF(Consultas!M205='Parâmetros'!$D$1,2,-9)</f>
        <v>-9</v>
      </c>
      <c r="R205" s="82">
        <f>IF(Consultas!N205="RJ",-12,0)</f>
        <v>0</v>
      </c>
      <c r="S205" s="82">
        <f>IF(Consultas!O205="-",-3,IF(Consultas!O205=0,-6,IF(Consultas!O205=5,0,IF(Consultas!O205=10,6))))</f>
        <v>-6</v>
      </c>
      <c r="T205" s="82">
        <f>IF(Consultas!M205="S",0,(IF(Consultas!P205="S",6,0)))</f>
        <v>0</v>
      </c>
      <c r="U205" s="82">
        <f>IF(Consultas!Q205&gt;97,9,IF(Consultas!Q205&gt;75,0,-7))</f>
        <v>-7</v>
      </c>
      <c r="V205" s="82">
        <f>IF(Consultas!W205='Parâmetros'!$E$1,1,-5)</f>
        <v>-5</v>
      </c>
      <c r="W205" s="82">
        <f>IF(Consultas!X205="S",3,-3)</f>
        <v>-3</v>
      </c>
      <c r="X205" s="82">
        <f>IF(Consultas!Y205="S",0,-7)</f>
        <v>-7</v>
      </c>
      <c r="Y205" s="82">
        <f>IF(Consultas!Z205='Parâmetros'!$E$1,2,-8)</f>
        <v>-8</v>
      </c>
      <c r="Z205" s="82">
        <f>IF(Consultas!AA205='Parâmetros'!$E$1,-15,1)</f>
        <v>1</v>
      </c>
      <c r="AA205" s="147" t="s">
        <v>140</v>
      </c>
      <c r="AB205" s="82" t="str">
        <f>IF(E205="NA","NA",IF(E205&gt;'Parâmetros'!$A$9,8,IF(E205&gt;'Parâmetros'!$A$8,4,IF(E205&gt;'Parâmetros'!$A$7,0,-6))))</f>
        <v>NA</v>
      </c>
      <c r="AC205" s="82">
        <f>IF(Consultas!AC205='Parâmetros'!$E$1,0,5)</f>
        <v>5</v>
      </c>
      <c r="AD205" s="82">
        <f>IF(Consultas!AH205='Parâmetros'!$D$1,-10,5)</f>
        <v>5</v>
      </c>
      <c r="AE205" s="82">
        <f>IF(Consultas!AI205&gt;(Consultas!F205*2),-10,0)</f>
        <v>0</v>
      </c>
      <c r="AF205" s="82" t="b">
        <f>IF(Consultas!AD205&gt;1,(IF(Consultas!AI205&gt;(Consultas!AD205),-20,4)))</f>
        <v>0</v>
      </c>
      <c r="AG205" s="82">
        <f>IF(Consultas!AG205='Parâmetros'!$E$1,0,-6)</f>
        <v>-6</v>
      </c>
      <c r="AH205" s="82">
        <f>IF(Consultas!AF205='Parâmetros'!$E$1,1,-5)</f>
        <v>-5</v>
      </c>
      <c r="AI205" s="82">
        <f>IF(Consultas!AJ205&gt;700,8,IF(Consultas!AJ205&gt;500,4,IF(Consultas!AJ205&gt;200,-4,IF(Consultas!AJ205&gt;1,-15,-20))))</f>
        <v>-20</v>
      </c>
      <c r="AJ205" s="82">
        <f>IF(Consultas!AD205='Parâmetros'!$E$10,0,IF(Consultas!AD205&gt;'Parâmetros'!$A$30,12,IF(Consultas!AD205&gt;'Parâmetros'!$A$31,6,IF(Consultas!AD205&gt;'Parâmetros'!$A$32,0,IF(Consultas!AD205&gt;'Parâmetros'!$A$33,0,IF(Consultas!AD205&gt;'Parâmetros'!$A$34,-3,IF(Consultas!AD205&gt;'Parâmetros'!$A$35,-7,-1)))))))</f>
        <v>-1</v>
      </c>
      <c r="AK205" s="82">
        <f>IF(Consultas!AO205='Parâmetros'!$D$1,3,-3)</f>
        <v>-3</v>
      </c>
      <c r="AL205" s="82">
        <f>IF(Consultas!AP205='Parâmetros'!$D$1,5,-3)</f>
        <v>-3</v>
      </c>
      <c r="AM205" s="82">
        <f>IF(Consultas!AL205="N",-6,0)</f>
        <v>0</v>
      </c>
      <c r="AN205" s="82">
        <f>IF(Consultas!AM205="N",-10,0)</f>
        <v>0</v>
      </c>
      <c r="AO205" s="82">
        <f>IF(Consultas!AN205="S",4,-2)</f>
        <v>-2</v>
      </c>
      <c r="AP205" s="39"/>
      <c r="AQ205" s="165" t="str">
        <f>IF(Consultas!F205&gt;1,(SUM(F205:AO205)),"N/A")</f>
        <v>N/A</v>
      </c>
      <c r="AR205" s="78">
        <f>IF((Consultas!AD205&gt;'Parâmetros'!$A$31),"X",AJ205+Y205+V205+AC205)</f>
        <v>-9</v>
      </c>
      <c r="AS205" s="78">
        <f>IF((Consultas!AD205&gt;'Parâmetros'!$A$31),"X",(H205+I205+J205+Q205+T205+Y205+Z205+AJ205+AN205))</f>
        <v>-23</v>
      </c>
      <c r="AT205" s="78" t="str">
        <f>IF((Consultas!AD205&lt;'Parâmetros'!$A$31),"X",(AD205+AC205+AB205))</f>
        <v>X</v>
      </c>
      <c r="AU205" s="78">
        <f t="shared" si="1"/>
        <v>-23</v>
      </c>
      <c r="AV205" s="82" t="str">
        <f>IF(AQ205="N/A","N/A",IF(AQ205&gt;5,'Parâmetros'!$A$15,(IF(AU205=AR205,'Parâmetros'!$A$17,IF(AU205=AS205,'Parâmetros'!$A$16,'Parâmetros'!$A$14)))))</f>
        <v>N/A</v>
      </c>
      <c r="AW205" s="86" t="str">
        <f>IF(AQ205="N/A","N/A",IF(AV205='Parâmetros'!$A$15,'Parâmetros'!$C$15,(IF(AV205='Parâmetros'!$A$17,'Parâmetros'!$C$17,IF(AV205='Parâmetros'!$A$16,'Parâmetros'!$C$16,IF(AV205='Parâmetros'!$A$14,'Parâmetros'!$C$12))))))</f>
        <v>N/A</v>
      </c>
      <c r="AX205" s="82" t="b">
        <f>IF(Consultas!F205&gt;1,(IF(Consultas!F205&gt;5000,"SOLICITAR PED COMPRA","N/A")))</f>
        <v>0</v>
      </c>
      <c r="AY205" s="167" t="str">
        <f>IF(AND(Consultas!M205&lt;&gt;"S", Consultas!H205="S"), "CHECAGEM REVERSA", "N/A")</f>
        <v>N/A</v>
      </c>
      <c r="AZ205" s="167" t="str">
        <f>IF(Consultas!U205="N","PRECISA CORRIGIR END DIVERGENTE","N/A")</f>
        <v>N/A</v>
      </c>
    </row>
    <row r="206" ht="12.0" customHeight="1">
      <c r="A206" s="39" t="s">
        <v>90</v>
      </c>
      <c r="B206" s="82" t="str">
        <f>Consultas!B206</f>
        <v/>
      </c>
      <c r="C206" s="82" t="str">
        <f>Consultas!D206</f>
        <v/>
      </c>
      <c r="D206" s="96" t="str">
        <f>Consultas!E206</f>
        <v/>
      </c>
      <c r="E206" s="104" t="str">
        <f>IF(Consultas!AB206&gt;0,YEAR('Parâmetros'!$B$1)-YEAR(Consultas!AB206),"NA")</f>
        <v>NA</v>
      </c>
      <c r="F206" s="82">
        <f>IF(Consultas!F206&gt;'Parâmetros'!$B$2,-8,0)</f>
        <v>0</v>
      </c>
      <c r="G206" s="82">
        <f>IF(Consultas!H206='Parâmetros'!$E$1,100,0)</f>
        <v>0</v>
      </c>
      <c r="H206" s="82">
        <f>IF(Consultas!I206='Parâmetros'!$E$1,-4,12)</f>
        <v>12</v>
      </c>
      <c r="I206" s="82">
        <f>IF(Consultas!J206='Parâmetros'!$E$1,1,-13)</f>
        <v>-13</v>
      </c>
      <c r="J206" s="82">
        <f>IF(Consultas!K206='Parâmetros'!$E$1,2,-5)</f>
        <v>-5</v>
      </c>
      <c r="K206" s="82" t="str">
        <f>IF(Consultas!L206='Parâmetros'!$D$1,"SOLIC CONTRATO DE ENTREGA","N/A")</f>
        <v>N/A</v>
      </c>
      <c r="L206" s="82">
        <f>IF(Consultas!R206='Parâmetros'!$E$1,1,-3)</f>
        <v>-3</v>
      </c>
      <c r="M206" s="82" t="b">
        <f>IF(Consultas!S206&gt;1,(IF(Consultas!S206='Parâmetros'!$E$1,-3,9)))</f>
        <v>0</v>
      </c>
      <c r="N206" s="82">
        <f>IF(Consultas!T206="S",23,0)</f>
        <v>0</v>
      </c>
      <c r="O206" s="82">
        <f>IF(Consultas!U206='Parâmetros'!$E$1,-3,3)</f>
        <v>3</v>
      </c>
      <c r="P206" s="82">
        <f>IF(Consultas!V206='Parâmetros'!$E$1,-100,2)</f>
        <v>2</v>
      </c>
      <c r="Q206" s="82">
        <f>IF(Consultas!M206='Parâmetros'!$D$1,2,-9)</f>
        <v>-9</v>
      </c>
      <c r="R206" s="82">
        <f>IF(Consultas!N206="RJ",-12,0)</f>
        <v>0</v>
      </c>
      <c r="S206" s="82">
        <f>IF(Consultas!O206="-",-3,IF(Consultas!O206=0,-6,IF(Consultas!O206=5,0,IF(Consultas!O206=10,6))))</f>
        <v>-6</v>
      </c>
      <c r="T206" s="82">
        <f>IF(Consultas!M206="S",0,(IF(Consultas!P206="S",6,0)))</f>
        <v>0</v>
      </c>
      <c r="U206" s="82">
        <f>IF(Consultas!Q206&gt;97,9,IF(Consultas!Q206&gt;75,0,-7))</f>
        <v>-7</v>
      </c>
      <c r="V206" s="82">
        <f>IF(Consultas!W206='Parâmetros'!$E$1,1,-5)</f>
        <v>-5</v>
      </c>
      <c r="W206" s="82">
        <f>IF(Consultas!X206="S",3,-3)</f>
        <v>-3</v>
      </c>
      <c r="X206" s="82">
        <f>IF(Consultas!Y206="S",0,-7)</f>
        <v>-7</v>
      </c>
      <c r="Y206" s="82">
        <f>IF(Consultas!Z206='Parâmetros'!$E$1,2,-8)</f>
        <v>-8</v>
      </c>
      <c r="Z206" s="82">
        <f>IF(Consultas!AA206='Parâmetros'!$E$1,-15,1)</f>
        <v>1</v>
      </c>
      <c r="AA206" s="147" t="s">
        <v>140</v>
      </c>
      <c r="AB206" s="82" t="str">
        <f>IF(E206="NA","NA",IF(E206&gt;'Parâmetros'!$A$9,8,IF(E206&gt;'Parâmetros'!$A$8,4,IF(E206&gt;'Parâmetros'!$A$7,0,-6))))</f>
        <v>NA</v>
      </c>
      <c r="AC206" s="82">
        <f>IF(Consultas!AC206='Parâmetros'!$E$1,0,5)</f>
        <v>5</v>
      </c>
      <c r="AD206" s="82">
        <f>IF(Consultas!AH206='Parâmetros'!$D$1,-10,5)</f>
        <v>5</v>
      </c>
      <c r="AE206" s="82">
        <f>IF(Consultas!AI206&gt;(Consultas!F206*2),-10,0)</f>
        <v>0</v>
      </c>
      <c r="AF206" s="82" t="b">
        <f>IF(Consultas!AD206&gt;1,(IF(Consultas!AI206&gt;(Consultas!AD206),-20,4)))</f>
        <v>0</v>
      </c>
      <c r="AG206" s="82">
        <f>IF(Consultas!AG206='Parâmetros'!$E$1,0,-6)</f>
        <v>-6</v>
      </c>
      <c r="AH206" s="82">
        <f>IF(Consultas!AF206='Parâmetros'!$E$1,1,-5)</f>
        <v>-5</v>
      </c>
      <c r="AI206" s="82">
        <f>IF(Consultas!AJ206&gt;700,8,IF(Consultas!AJ206&gt;500,4,IF(Consultas!AJ206&gt;200,-4,IF(Consultas!AJ206&gt;1,-15,-20))))</f>
        <v>-20</v>
      </c>
      <c r="AJ206" s="82">
        <f>IF(Consultas!AD206='Parâmetros'!$E$10,0,IF(Consultas!AD206&gt;'Parâmetros'!$A$30,12,IF(Consultas!AD206&gt;'Parâmetros'!$A$31,6,IF(Consultas!AD206&gt;'Parâmetros'!$A$32,0,IF(Consultas!AD206&gt;'Parâmetros'!$A$33,0,IF(Consultas!AD206&gt;'Parâmetros'!$A$34,-3,IF(Consultas!AD206&gt;'Parâmetros'!$A$35,-7,-1)))))))</f>
        <v>-1</v>
      </c>
      <c r="AK206" s="82">
        <f>IF(Consultas!AO206='Parâmetros'!$D$1,3,-3)</f>
        <v>-3</v>
      </c>
      <c r="AL206" s="82">
        <f>IF(Consultas!AP206='Parâmetros'!$D$1,5,-3)</f>
        <v>-3</v>
      </c>
      <c r="AM206" s="82">
        <f>IF(Consultas!AL206="N",-6,0)</f>
        <v>0</v>
      </c>
      <c r="AN206" s="82">
        <f>IF(Consultas!AM206="N",-10,0)</f>
        <v>0</v>
      </c>
      <c r="AO206" s="82">
        <f>IF(Consultas!AN206="S",4,-2)</f>
        <v>-2</v>
      </c>
      <c r="AP206" s="39"/>
      <c r="AQ206" s="165" t="str">
        <f>IF(Consultas!F206&gt;1,(SUM(F206:AO206)),"N/A")</f>
        <v>N/A</v>
      </c>
      <c r="AR206" s="78">
        <f>IF((Consultas!AD206&gt;'Parâmetros'!$A$31),"X",AJ206+Y206+V206+AC206)</f>
        <v>-9</v>
      </c>
      <c r="AS206" s="78">
        <f>IF((Consultas!AD206&gt;'Parâmetros'!$A$31),"X",(H206+I206+J206+Q206+T206+Y206+Z206+AJ206+AN206))</f>
        <v>-23</v>
      </c>
      <c r="AT206" s="78" t="str">
        <f>IF((Consultas!AD206&lt;'Parâmetros'!$A$31),"X",(AD206+AC206+AB206))</f>
        <v>X</v>
      </c>
      <c r="AU206" s="78">
        <f t="shared" si="1"/>
        <v>-23</v>
      </c>
      <c r="AV206" s="82" t="str">
        <f>IF(AQ206="N/A","N/A",IF(AQ206&gt;5,'Parâmetros'!$A$15,(IF(AU206=AR206,'Parâmetros'!$A$17,IF(AU206=AS206,'Parâmetros'!$A$16,'Parâmetros'!$A$14)))))</f>
        <v>N/A</v>
      </c>
      <c r="AW206" s="86" t="str">
        <f>IF(AQ206="N/A","N/A",IF(AV206='Parâmetros'!$A$15,'Parâmetros'!$C$15,(IF(AV206='Parâmetros'!$A$17,'Parâmetros'!$C$17,IF(AV206='Parâmetros'!$A$16,'Parâmetros'!$C$16,IF(AV206='Parâmetros'!$A$14,'Parâmetros'!$C$12))))))</f>
        <v>N/A</v>
      </c>
      <c r="AX206" s="82" t="b">
        <f>IF(Consultas!F206&gt;1,(IF(Consultas!F206&gt;5000,"SOLICITAR PED COMPRA","N/A")))</f>
        <v>0</v>
      </c>
      <c r="AY206" s="167" t="str">
        <f>IF(AND(Consultas!M206&lt;&gt;"S", Consultas!H206="S"), "CHECAGEM REVERSA", "N/A")</f>
        <v>N/A</v>
      </c>
      <c r="AZ206" s="167" t="str">
        <f>IF(Consultas!U206="N","PRECISA CORRIGIR END DIVERGENTE","N/A")</f>
        <v>N/A</v>
      </c>
    </row>
    <row r="207" ht="12.0" customHeight="1">
      <c r="A207" s="39" t="s">
        <v>90</v>
      </c>
      <c r="B207" s="82" t="str">
        <f>Consultas!B207</f>
        <v/>
      </c>
      <c r="C207" s="82" t="str">
        <f>Consultas!D207</f>
        <v/>
      </c>
      <c r="D207" s="96" t="str">
        <f>Consultas!E207</f>
        <v/>
      </c>
      <c r="E207" s="104" t="str">
        <f>IF(Consultas!AB207&gt;0,YEAR('Parâmetros'!$B$1)-YEAR(Consultas!AB207),"NA")</f>
        <v>NA</v>
      </c>
      <c r="F207" s="82">
        <f>IF(Consultas!F207&gt;'Parâmetros'!$B$2,-8,0)</f>
        <v>0</v>
      </c>
      <c r="G207" s="82">
        <f>IF(Consultas!H207='Parâmetros'!$E$1,100,0)</f>
        <v>0</v>
      </c>
      <c r="H207" s="82">
        <f>IF(Consultas!I207='Parâmetros'!$E$1,-4,12)</f>
        <v>12</v>
      </c>
      <c r="I207" s="82">
        <f>IF(Consultas!J207='Parâmetros'!$E$1,1,-13)</f>
        <v>-13</v>
      </c>
      <c r="J207" s="82">
        <f>IF(Consultas!K207='Parâmetros'!$E$1,2,-5)</f>
        <v>-5</v>
      </c>
      <c r="K207" s="82" t="str">
        <f>IF(Consultas!L207='Parâmetros'!$D$1,"SOLIC CONTRATO DE ENTREGA","N/A")</f>
        <v>N/A</v>
      </c>
      <c r="L207" s="82">
        <f>IF(Consultas!R207='Parâmetros'!$E$1,1,-3)</f>
        <v>-3</v>
      </c>
      <c r="M207" s="82" t="b">
        <f>IF(Consultas!S207&gt;1,(IF(Consultas!S207='Parâmetros'!$E$1,-3,9)))</f>
        <v>0</v>
      </c>
      <c r="N207" s="82">
        <f>IF(Consultas!T207="S",23,0)</f>
        <v>0</v>
      </c>
      <c r="O207" s="82">
        <f>IF(Consultas!U207='Parâmetros'!$E$1,-3,3)</f>
        <v>3</v>
      </c>
      <c r="P207" s="82">
        <f>IF(Consultas!V207='Parâmetros'!$E$1,-100,2)</f>
        <v>2</v>
      </c>
      <c r="Q207" s="82">
        <f>IF(Consultas!M207='Parâmetros'!$D$1,2,-9)</f>
        <v>-9</v>
      </c>
      <c r="R207" s="82">
        <f>IF(Consultas!N207="RJ",-12,0)</f>
        <v>0</v>
      </c>
      <c r="S207" s="82">
        <f>IF(Consultas!O207="-",-3,IF(Consultas!O207=0,-6,IF(Consultas!O207=5,0,IF(Consultas!O207=10,6))))</f>
        <v>-6</v>
      </c>
      <c r="T207" s="82">
        <f>IF(Consultas!M207="S",0,(IF(Consultas!P207="S",6,0)))</f>
        <v>0</v>
      </c>
      <c r="U207" s="82">
        <f>IF(Consultas!Q207&gt;97,9,IF(Consultas!Q207&gt;75,0,-7))</f>
        <v>-7</v>
      </c>
      <c r="V207" s="82">
        <f>IF(Consultas!W207='Parâmetros'!$E$1,1,-5)</f>
        <v>-5</v>
      </c>
      <c r="W207" s="82">
        <f>IF(Consultas!X207="S",3,-3)</f>
        <v>-3</v>
      </c>
      <c r="X207" s="82">
        <f>IF(Consultas!Y207="S",0,-7)</f>
        <v>-7</v>
      </c>
      <c r="Y207" s="82">
        <f>IF(Consultas!Z207='Parâmetros'!$E$1,2,-8)</f>
        <v>-8</v>
      </c>
      <c r="Z207" s="82">
        <f>IF(Consultas!AA207='Parâmetros'!$E$1,-15,1)</f>
        <v>1</v>
      </c>
      <c r="AA207" s="147" t="s">
        <v>140</v>
      </c>
      <c r="AB207" s="82" t="str">
        <f>IF(E207="NA","NA",IF(E207&gt;'Parâmetros'!$A$9,8,IF(E207&gt;'Parâmetros'!$A$8,4,IF(E207&gt;'Parâmetros'!$A$7,0,-6))))</f>
        <v>NA</v>
      </c>
      <c r="AC207" s="82">
        <f>IF(Consultas!AC207='Parâmetros'!$E$1,0,5)</f>
        <v>5</v>
      </c>
      <c r="AD207" s="82">
        <f>IF(Consultas!AH207='Parâmetros'!$D$1,-10,5)</f>
        <v>5</v>
      </c>
      <c r="AE207" s="82">
        <f>IF(Consultas!AI207&gt;(Consultas!F207*2),-10,0)</f>
        <v>0</v>
      </c>
      <c r="AF207" s="82" t="b">
        <f>IF(Consultas!AD207&gt;1,(IF(Consultas!AI207&gt;(Consultas!AD207),-20,4)))</f>
        <v>0</v>
      </c>
      <c r="AG207" s="82">
        <f>IF(Consultas!AG207='Parâmetros'!$E$1,0,-6)</f>
        <v>-6</v>
      </c>
      <c r="AH207" s="82">
        <f>IF(Consultas!AF207='Parâmetros'!$E$1,1,-5)</f>
        <v>-5</v>
      </c>
      <c r="AI207" s="82">
        <f>IF(Consultas!AJ207&gt;700,8,IF(Consultas!AJ207&gt;500,4,IF(Consultas!AJ207&gt;200,-4,IF(Consultas!AJ207&gt;1,-15,-20))))</f>
        <v>-20</v>
      </c>
      <c r="AJ207" s="82">
        <f>IF(Consultas!AD207='Parâmetros'!$E$10,0,IF(Consultas!AD207&gt;'Parâmetros'!$A$30,12,IF(Consultas!AD207&gt;'Parâmetros'!$A$31,6,IF(Consultas!AD207&gt;'Parâmetros'!$A$32,0,IF(Consultas!AD207&gt;'Parâmetros'!$A$33,0,IF(Consultas!AD207&gt;'Parâmetros'!$A$34,-3,IF(Consultas!AD207&gt;'Parâmetros'!$A$35,-7,-1)))))))</f>
        <v>-1</v>
      </c>
      <c r="AK207" s="82">
        <f>IF(Consultas!AO207='Parâmetros'!$D$1,3,-3)</f>
        <v>-3</v>
      </c>
      <c r="AL207" s="82">
        <f>IF(Consultas!AP207='Parâmetros'!$D$1,5,-3)</f>
        <v>-3</v>
      </c>
      <c r="AM207" s="82">
        <f>IF(Consultas!AL207="N",-6,0)</f>
        <v>0</v>
      </c>
      <c r="AN207" s="82">
        <f>IF(Consultas!AM207="N",-10,0)</f>
        <v>0</v>
      </c>
      <c r="AO207" s="82">
        <f>IF(Consultas!AN207="S",4,-2)</f>
        <v>-2</v>
      </c>
      <c r="AP207" s="39"/>
      <c r="AQ207" s="165" t="str">
        <f>IF(Consultas!F207&gt;1,(SUM(F207:AO207)),"N/A")</f>
        <v>N/A</v>
      </c>
      <c r="AR207" s="78">
        <f>IF((Consultas!AD207&gt;'Parâmetros'!$A$31),"X",AJ207+Y207+V207+AC207)</f>
        <v>-9</v>
      </c>
      <c r="AS207" s="78">
        <f>IF((Consultas!AD207&gt;'Parâmetros'!$A$31),"X",(H207+I207+J207+Q207+T207+Y207+Z207+AJ207+AN207))</f>
        <v>-23</v>
      </c>
      <c r="AT207" s="78" t="str">
        <f>IF((Consultas!AD207&lt;'Parâmetros'!$A$31),"X",(AD207+AC207+AB207))</f>
        <v>X</v>
      </c>
      <c r="AU207" s="78">
        <f t="shared" si="1"/>
        <v>-23</v>
      </c>
      <c r="AV207" s="82" t="str">
        <f>IF(AQ207="N/A","N/A",IF(AQ207&gt;5,'Parâmetros'!$A$15,(IF(AU207=AR207,'Parâmetros'!$A$17,IF(AU207=AS207,'Parâmetros'!$A$16,'Parâmetros'!$A$14)))))</f>
        <v>N/A</v>
      </c>
      <c r="AW207" s="86" t="str">
        <f>IF(AQ207="N/A","N/A",IF(AV207='Parâmetros'!$A$15,'Parâmetros'!$C$15,(IF(AV207='Parâmetros'!$A$17,'Parâmetros'!$C$17,IF(AV207='Parâmetros'!$A$16,'Parâmetros'!$C$16,IF(AV207='Parâmetros'!$A$14,'Parâmetros'!$C$12))))))</f>
        <v>N/A</v>
      </c>
      <c r="AX207" s="82" t="b">
        <f>IF(Consultas!F207&gt;1,(IF(Consultas!F207&gt;5000,"SOLICITAR PED COMPRA","N/A")))</f>
        <v>0</v>
      </c>
      <c r="AY207" s="167" t="str">
        <f>IF(AND(Consultas!M207&lt;&gt;"S", Consultas!H207="S"), "CHECAGEM REVERSA", "N/A")</f>
        <v>N/A</v>
      </c>
      <c r="AZ207" s="167" t="str">
        <f>IF(Consultas!U207="N","PRECISA CORRIGIR END DIVERGENTE","N/A")</f>
        <v>N/A</v>
      </c>
    </row>
    <row r="208" ht="12.0" customHeight="1">
      <c r="A208" s="39" t="s">
        <v>90</v>
      </c>
      <c r="B208" s="82" t="str">
        <f>Consultas!B208</f>
        <v/>
      </c>
      <c r="C208" s="82" t="str">
        <f>Consultas!D208</f>
        <v/>
      </c>
      <c r="D208" s="96" t="str">
        <f>Consultas!E208</f>
        <v/>
      </c>
      <c r="E208" s="104" t="str">
        <f>IF(Consultas!AB208&gt;0,YEAR('Parâmetros'!$B$1)-YEAR(Consultas!AB208),"NA")</f>
        <v>NA</v>
      </c>
      <c r="F208" s="82">
        <f>IF(Consultas!F208&gt;'Parâmetros'!$B$2,-8,0)</f>
        <v>0</v>
      </c>
      <c r="G208" s="82">
        <f>IF(Consultas!H208='Parâmetros'!$E$1,100,0)</f>
        <v>0</v>
      </c>
      <c r="H208" s="82">
        <f>IF(Consultas!I208='Parâmetros'!$E$1,-4,12)</f>
        <v>12</v>
      </c>
      <c r="I208" s="82">
        <f>IF(Consultas!J208='Parâmetros'!$E$1,1,-13)</f>
        <v>-13</v>
      </c>
      <c r="J208" s="82">
        <f>IF(Consultas!K208='Parâmetros'!$E$1,2,-5)</f>
        <v>-5</v>
      </c>
      <c r="K208" s="82" t="str">
        <f>IF(Consultas!L208='Parâmetros'!$D$1,"SOLIC CONTRATO DE ENTREGA","N/A")</f>
        <v>N/A</v>
      </c>
      <c r="L208" s="82">
        <f>IF(Consultas!R208='Parâmetros'!$E$1,1,-3)</f>
        <v>-3</v>
      </c>
      <c r="M208" s="82" t="b">
        <f>IF(Consultas!S208&gt;1,(IF(Consultas!S208='Parâmetros'!$E$1,-3,9)))</f>
        <v>0</v>
      </c>
      <c r="N208" s="82">
        <f>IF(Consultas!T208="S",23,0)</f>
        <v>0</v>
      </c>
      <c r="O208" s="82">
        <f>IF(Consultas!U208='Parâmetros'!$E$1,-3,3)</f>
        <v>3</v>
      </c>
      <c r="P208" s="82">
        <f>IF(Consultas!V208='Parâmetros'!$E$1,-100,2)</f>
        <v>2</v>
      </c>
      <c r="Q208" s="82">
        <f>IF(Consultas!M208='Parâmetros'!$D$1,2,-9)</f>
        <v>-9</v>
      </c>
      <c r="R208" s="82">
        <f>IF(Consultas!N208="RJ",-12,0)</f>
        <v>0</v>
      </c>
      <c r="S208" s="82">
        <f>IF(Consultas!O208="-",-3,IF(Consultas!O208=0,-6,IF(Consultas!O208=5,0,IF(Consultas!O208=10,6))))</f>
        <v>-6</v>
      </c>
      <c r="T208" s="82">
        <f>IF(Consultas!M208="S",0,(IF(Consultas!P208="S",6,0)))</f>
        <v>0</v>
      </c>
      <c r="U208" s="82">
        <f>IF(Consultas!Q208&gt;97,9,IF(Consultas!Q208&gt;75,0,-7))</f>
        <v>-7</v>
      </c>
      <c r="V208" s="82">
        <f>IF(Consultas!W208='Parâmetros'!$E$1,1,-5)</f>
        <v>-5</v>
      </c>
      <c r="W208" s="82">
        <f>IF(Consultas!X208="S",3,-3)</f>
        <v>-3</v>
      </c>
      <c r="X208" s="82">
        <f>IF(Consultas!Y208="S",0,-7)</f>
        <v>-7</v>
      </c>
      <c r="Y208" s="82">
        <f>IF(Consultas!Z208='Parâmetros'!$E$1,2,-8)</f>
        <v>-8</v>
      </c>
      <c r="Z208" s="82">
        <f>IF(Consultas!AA208='Parâmetros'!$E$1,-15,1)</f>
        <v>1</v>
      </c>
      <c r="AA208" s="147" t="s">
        <v>140</v>
      </c>
      <c r="AB208" s="82" t="str">
        <f>IF(E208="NA","NA",IF(E208&gt;'Parâmetros'!$A$9,8,IF(E208&gt;'Parâmetros'!$A$8,4,IF(E208&gt;'Parâmetros'!$A$7,0,-6))))</f>
        <v>NA</v>
      </c>
      <c r="AC208" s="82">
        <f>IF(Consultas!AC208='Parâmetros'!$E$1,0,5)</f>
        <v>5</v>
      </c>
      <c r="AD208" s="82">
        <f>IF(Consultas!AH208='Parâmetros'!$D$1,-10,5)</f>
        <v>5</v>
      </c>
      <c r="AE208" s="82">
        <f>IF(Consultas!AI208&gt;(Consultas!F208*2),-10,0)</f>
        <v>0</v>
      </c>
      <c r="AF208" s="82" t="b">
        <f>IF(Consultas!AD208&gt;1,(IF(Consultas!AI208&gt;(Consultas!AD208),-20,4)))</f>
        <v>0</v>
      </c>
      <c r="AG208" s="82">
        <f>IF(Consultas!AG208='Parâmetros'!$E$1,0,-6)</f>
        <v>-6</v>
      </c>
      <c r="AH208" s="82">
        <f>IF(Consultas!AF208='Parâmetros'!$E$1,1,-5)</f>
        <v>-5</v>
      </c>
      <c r="AI208" s="82">
        <f>IF(Consultas!AJ208&gt;700,8,IF(Consultas!AJ208&gt;500,4,IF(Consultas!AJ208&gt;200,-4,IF(Consultas!AJ208&gt;1,-15,-20))))</f>
        <v>-20</v>
      </c>
      <c r="AJ208" s="82">
        <f>IF(Consultas!AD208='Parâmetros'!$E$10,0,IF(Consultas!AD208&gt;'Parâmetros'!$A$30,12,IF(Consultas!AD208&gt;'Parâmetros'!$A$31,6,IF(Consultas!AD208&gt;'Parâmetros'!$A$32,0,IF(Consultas!AD208&gt;'Parâmetros'!$A$33,0,IF(Consultas!AD208&gt;'Parâmetros'!$A$34,-3,IF(Consultas!AD208&gt;'Parâmetros'!$A$35,-7,-1)))))))</f>
        <v>-1</v>
      </c>
      <c r="AK208" s="82">
        <f>IF(Consultas!AO208='Parâmetros'!$D$1,3,-3)</f>
        <v>-3</v>
      </c>
      <c r="AL208" s="82">
        <f>IF(Consultas!AP208='Parâmetros'!$D$1,5,-3)</f>
        <v>-3</v>
      </c>
      <c r="AM208" s="82">
        <f>IF(Consultas!AL208="N",-6,0)</f>
        <v>0</v>
      </c>
      <c r="AN208" s="82">
        <f>IF(Consultas!AM208="N",-10,0)</f>
        <v>0</v>
      </c>
      <c r="AO208" s="82">
        <f>IF(Consultas!AN208="S",4,-2)</f>
        <v>-2</v>
      </c>
      <c r="AP208" s="39"/>
      <c r="AQ208" s="165" t="str">
        <f>IF(Consultas!F208&gt;1,(SUM(F208:AO208)),"N/A")</f>
        <v>N/A</v>
      </c>
      <c r="AR208" s="78">
        <f>IF((Consultas!AD208&gt;'Parâmetros'!$A$31),"X",AJ208+Y208+V208+AC208)</f>
        <v>-9</v>
      </c>
      <c r="AS208" s="78">
        <f>IF((Consultas!AD208&gt;'Parâmetros'!$A$31),"X",(H208+I208+J208+Q208+T208+Y208+Z208+AJ208+AN208))</f>
        <v>-23</v>
      </c>
      <c r="AT208" s="78" t="str">
        <f>IF((Consultas!AD208&lt;'Parâmetros'!$A$31),"X",(AD208+AC208+AB208))</f>
        <v>X</v>
      </c>
      <c r="AU208" s="78">
        <f t="shared" si="1"/>
        <v>-23</v>
      </c>
      <c r="AV208" s="82" t="str">
        <f>IF(AQ208="N/A","N/A",IF(AQ208&gt;5,'Parâmetros'!$A$15,(IF(AU208=AR208,'Parâmetros'!$A$17,IF(AU208=AS208,'Parâmetros'!$A$16,'Parâmetros'!$A$14)))))</f>
        <v>N/A</v>
      </c>
      <c r="AW208" s="86" t="str">
        <f>IF(AQ208="N/A","N/A",IF(AV208='Parâmetros'!$A$15,'Parâmetros'!$C$15,(IF(AV208='Parâmetros'!$A$17,'Parâmetros'!$C$17,IF(AV208='Parâmetros'!$A$16,'Parâmetros'!$C$16,IF(AV208='Parâmetros'!$A$14,'Parâmetros'!$C$12))))))</f>
        <v>N/A</v>
      </c>
      <c r="AX208" s="82" t="b">
        <f>IF(Consultas!F208&gt;1,(IF(Consultas!F208&gt;5000,"SOLICITAR PED COMPRA","N/A")))</f>
        <v>0</v>
      </c>
      <c r="AY208" s="167" t="str">
        <f>IF(AND(Consultas!M208&lt;&gt;"S", Consultas!H208="S"), "CHECAGEM REVERSA", "N/A")</f>
        <v>N/A</v>
      </c>
      <c r="AZ208" s="167" t="str">
        <f>IF(Consultas!U208="N","PRECISA CORRIGIR END DIVERGENTE","N/A")</f>
        <v>N/A</v>
      </c>
    </row>
    <row r="209" ht="12.0" customHeight="1">
      <c r="A209" s="39" t="s">
        <v>90</v>
      </c>
      <c r="B209" s="82" t="str">
        <f>Consultas!B209</f>
        <v/>
      </c>
      <c r="C209" s="82" t="str">
        <f>Consultas!D209</f>
        <v/>
      </c>
      <c r="D209" s="96" t="str">
        <f>Consultas!E209</f>
        <v/>
      </c>
      <c r="E209" s="104" t="str">
        <f>IF(Consultas!AB209&gt;0,YEAR('Parâmetros'!$B$1)-YEAR(Consultas!AB209),"NA")</f>
        <v>NA</v>
      </c>
      <c r="F209" s="82">
        <f>IF(Consultas!F209&gt;'Parâmetros'!$B$2,-8,0)</f>
        <v>0</v>
      </c>
      <c r="G209" s="82">
        <f>IF(Consultas!H209='Parâmetros'!$E$1,100,0)</f>
        <v>0</v>
      </c>
      <c r="H209" s="82">
        <f>IF(Consultas!I209='Parâmetros'!$E$1,-4,12)</f>
        <v>12</v>
      </c>
      <c r="I209" s="82">
        <f>IF(Consultas!J209='Parâmetros'!$E$1,1,-13)</f>
        <v>-13</v>
      </c>
      <c r="J209" s="82">
        <f>IF(Consultas!K209='Parâmetros'!$E$1,2,-5)</f>
        <v>-5</v>
      </c>
      <c r="K209" s="82" t="str">
        <f>IF(Consultas!L209='Parâmetros'!$D$1,"SOLIC CONTRATO DE ENTREGA","N/A")</f>
        <v>N/A</v>
      </c>
      <c r="L209" s="82">
        <f>IF(Consultas!R209='Parâmetros'!$E$1,1,-3)</f>
        <v>-3</v>
      </c>
      <c r="M209" s="82" t="b">
        <f>IF(Consultas!S209&gt;1,(IF(Consultas!S209='Parâmetros'!$E$1,-3,9)))</f>
        <v>0</v>
      </c>
      <c r="N209" s="82">
        <f>IF(Consultas!T209="S",23,0)</f>
        <v>0</v>
      </c>
      <c r="O209" s="82">
        <f>IF(Consultas!U209='Parâmetros'!$E$1,-3,3)</f>
        <v>3</v>
      </c>
      <c r="P209" s="82">
        <f>IF(Consultas!V209='Parâmetros'!$E$1,-100,2)</f>
        <v>2</v>
      </c>
      <c r="Q209" s="82">
        <f>IF(Consultas!M209='Parâmetros'!$D$1,2,-9)</f>
        <v>-9</v>
      </c>
      <c r="R209" s="82">
        <f>IF(Consultas!N209="RJ",-12,0)</f>
        <v>0</v>
      </c>
      <c r="S209" s="82">
        <f>IF(Consultas!O209="-",-3,IF(Consultas!O209=0,-6,IF(Consultas!O209=5,0,IF(Consultas!O209=10,6))))</f>
        <v>-6</v>
      </c>
      <c r="T209" s="82">
        <f>IF(Consultas!M209="S",0,(IF(Consultas!P209="S",6,0)))</f>
        <v>0</v>
      </c>
      <c r="U209" s="82">
        <f>IF(Consultas!Q209&gt;97,9,IF(Consultas!Q209&gt;75,0,-7))</f>
        <v>-7</v>
      </c>
      <c r="V209" s="82">
        <f>IF(Consultas!W209='Parâmetros'!$E$1,1,-5)</f>
        <v>-5</v>
      </c>
      <c r="W209" s="82">
        <f>IF(Consultas!X209="S",3,-3)</f>
        <v>-3</v>
      </c>
      <c r="X209" s="82">
        <f>IF(Consultas!Y209="S",0,-7)</f>
        <v>-7</v>
      </c>
      <c r="Y209" s="82">
        <f>IF(Consultas!Z209='Parâmetros'!$E$1,2,-8)</f>
        <v>-8</v>
      </c>
      <c r="Z209" s="82">
        <f>IF(Consultas!AA209='Parâmetros'!$E$1,-15,1)</f>
        <v>1</v>
      </c>
      <c r="AA209" s="147" t="s">
        <v>140</v>
      </c>
      <c r="AB209" s="82" t="str">
        <f>IF(E209="NA","NA",IF(E209&gt;'Parâmetros'!$A$9,8,IF(E209&gt;'Parâmetros'!$A$8,4,IF(E209&gt;'Parâmetros'!$A$7,0,-6))))</f>
        <v>NA</v>
      </c>
      <c r="AC209" s="82">
        <f>IF(Consultas!AC209='Parâmetros'!$E$1,0,5)</f>
        <v>5</v>
      </c>
      <c r="AD209" s="82">
        <f>IF(Consultas!AH209='Parâmetros'!$D$1,-10,5)</f>
        <v>5</v>
      </c>
      <c r="AE209" s="82">
        <f>IF(Consultas!AI209&gt;(Consultas!F209*2),-10,0)</f>
        <v>0</v>
      </c>
      <c r="AF209" s="82" t="b">
        <f>IF(Consultas!AD209&gt;1,(IF(Consultas!AI209&gt;(Consultas!AD209),-20,4)))</f>
        <v>0</v>
      </c>
      <c r="AG209" s="82">
        <f>IF(Consultas!AG209='Parâmetros'!$E$1,0,-6)</f>
        <v>-6</v>
      </c>
      <c r="AH209" s="82">
        <f>IF(Consultas!AF209='Parâmetros'!$E$1,1,-5)</f>
        <v>-5</v>
      </c>
      <c r="AI209" s="82">
        <f>IF(Consultas!AJ209&gt;700,8,IF(Consultas!AJ209&gt;500,4,IF(Consultas!AJ209&gt;200,-4,IF(Consultas!AJ209&gt;1,-15,-20))))</f>
        <v>-20</v>
      </c>
      <c r="AJ209" s="82">
        <f>IF(Consultas!AD209='Parâmetros'!$E$10,0,IF(Consultas!AD209&gt;'Parâmetros'!$A$30,12,IF(Consultas!AD209&gt;'Parâmetros'!$A$31,6,IF(Consultas!AD209&gt;'Parâmetros'!$A$32,0,IF(Consultas!AD209&gt;'Parâmetros'!$A$33,0,IF(Consultas!AD209&gt;'Parâmetros'!$A$34,-3,IF(Consultas!AD209&gt;'Parâmetros'!$A$35,-7,-1)))))))</f>
        <v>-1</v>
      </c>
      <c r="AK209" s="82">
        <f>IF(Consultas!AO209='Parâmetros'!$D$1,3,-3)</f>
        <v>-3</v>
      </c>
      <c r="AL209" s="82">
        <f>IF(Consultas!AP209='Parâmetros'!$D$1,5,-3)</f>
        <v>-3</v>
      </c>
      <c r="AM209" s="82">
        <f>IF(Consultas!AL209="N",-6,0)</f>
        <v>0</v>
      </c>
      <c r="AN209" s="82">
        <f>IF(Consultas!AM209="N",-10,0)</f>
        <v>0</v>
      </c>
      <c r="AO209" s="82">
        <f>IF(Consultas!AN209="S",4,-2)</f>
        <v>-2</v>
      </c>
      <c r="AP209" s="39"/>
      <c r="AQ209" s="165" t="str">
        <f>IF(Consultas!F209&gt;1,(SUM(F209:AO209)),"N/A")</f>
        <v>N/A</v>
      </c>
      <c r="AR209" s="78">
        <f>IF((Consultas!AD209&gt;'Parâmetros'!$A$31),"X",AJ209+Y209+V209+AC209)</f>
        <v>-9</v>
      </c>
      <c r="AS209" s="78">
        <f>IF((Consultas!AD209&gt;'Parâmetros'!$A$31),"X",(H209+I209+J209+Q209+T209+Y209+Z209+AJ209+AN209))</f>
        <v>-23</v>
      </c>
      <c r="AT209" s="78" t="str">
        <f>IF((Consultas!AD209&lt;'Parâmetros'!$A$31),"X",(AD209+AC209+AB209))</f>
        <v>X</v>
      </c>
      <c r="AU209" s="78">
        <f t="shared" si="1"/>
        <v>-23</v>
      </c>
      <c r="AV209" s="82" t="str">
        <f>IF(AQ209="N/A","N/A",IF(AQ209&gt;5,'Parâmetros'!$A$15,(IF(AU209=AR209,'Parâmetros'!$A$17,IF(AU209=AS209,'Parâmetros'!$A$16,'Parâmetros'!$A$14)))))</f>
        <v>N/A</v>
      </c>
      <c r="AW209" s="86" t="str">
        <f>IF(AQ209="N/A","N/A",IF(AV209='Parâmetros'!$A$15,'Parâmetros'!$C$15,(IF(AV209='Parâmetros'!$A$17,'Parâmetros'!$C$17,IF(AV209='Parâmetros'!$A$16,'Parâmetros'!$C$16,IF(AV209='Parâmetros'!$A$14,'Parâmetros'!$C$12))))))</f>
        <v>N/A</v>
      </c>
      <c r="AX209" s="82" t="b">
        <f>IF(Consultas!F209&gt;1,(IF(Consultas!F209&gt;5000,"SOLICITAR PED COMPRA","N/A")))</f>
        <v>0</v>
      </c>
      <c r="AY209" s="167" t="str">
        <f>IF(AND(Consultas!M209&lt;&gt;"S", Consultas!H209="S"), "CHECAGEM REVERSA", "N/A")</f>
        <v>N/A</v>
      </c>
      <c r="AZ209" s="167" t="str">
        <f>IF(Consultas!U209="N","PRECISA CORRIGIR END DIVERGENTE","N/A")</f>
        <v>N/A</v>
      </c>
    </row>
    <row r="210" ht="12.0" customHeight="1">
      <c r="A210" s="39" t="s">
        <v>90</v>
      </c>
      <c r="B210" s="82" t="str">
        <f>Consultas!B210</f>
        <v/>
      </c>
      <c r="C210" s="82" t="str">
        <f>Consultas!D210</f>
        <v/>
      </c>
      <c r="D210" s="96" t="str">
        <f>Consultas!E210</f>
        <v/>
      </c>
      <c r="E210" s="104" t="str">
        <f>IF(Consultas!AB210&gt;0,YEAR('Parâmetros'!$B$1)-YEAR(Consultas!AB210),"NA")</f>
        <v>NA</v>
      </c>
      <c r="F210" s="82">
        <f>IF(Consultas!F210&gt;'Parâmetros'!$B$2,-8,0)</f>
        <v>0</v>
      </c>
      <c r="G210" s="82">
        <f>IF(Consultas!H210='Parâmetros'!$E$1,100,0)</f>
        <v>0</v>
      </c>
      <c r="H210" s="82">
        <f>IF(Consultas!I210='Parâmetros'!$E$1,-4,12)</f>
        <v>12</v>
      </c>
      <c r="I210" s="82">
        <f>IF(Consultas!J210='Parâmetros'!$E$1,1,-13)</f>
        <v>-13</v>
      </c>
      <c r="J210" s="82">
        <f>IF(Consultas!K210='Parâmetros'!$E$1,2,-5)</f>
        <v>-5</v>
      </c>
      <c r="K210" s="82" t="str">
        <f>IF(Consultas!L210='Parâmetros'!$D$1,"SOLIC CONTRATO DE ENTREGA","N/A")</f>
        <v>N/A</v>
      </c>
      <c r="L210" s="82">
        <f>IF(Consultas!R210='Parâmetros'!$E$1,1,-3)</f>
        <v>-3</v>
      </c>
      <c r="M210" s="82" t="b">
        <f>IF(Consultas!S210&gt;1,(IF(Consultas!S210='Parâmetros'!$E$1,-3,9)))</f>
        <v>0</v>
      </c>
      <c r="N210" s="82">
        <f>IF(Consultas!T210="S",23,0)</f>
        <v>0</v>
      </c>
      <c r="O210" s="82">
        <f>IF(Consultas!U210='Parâmetros'!$E$1,-3,3)</f>
        <v>3</v>
      </c>
      <c r="P210" s="82">
        <f>IF(Consultas!V210='Parâmetros'!$E$1,-100,2)</f>
        <v>2</v>
      </c>
      <c r="Q210" s="82">
        <f>IF(Consultas!M210='Parâmetros'!$D$1,2,-9)</f>
        <v>-9</v>
      </c>
      <c r="R210" s="82">
        <f>IF(Consultas!N210="RJ",-12,0)</f>
        <v>0</v>
      </c>
      <c r="S210" s="82">
        <f>IF(Consultas!O210="-",-3,IF(Consultas!O210=0,-6,IF(Consultas!O210=5,0,IF(Consultas!O210=10,6))))</f>
        <v>-6</v>
      </c>
      <c r="T210" s="82">
        <f>IF(Consultas!M210="S",0,(IF(Consultas!P210="S",6,0)))</f>
        <v>0</v>
      </c>
      <c r="U210" s="82">
        <f>IF(Consultas!Q210&gt;97,9,IF(Consultas!Q210&gt;75,0,-7))</f>
        <v>-7</v>
      </c>
      <c r="V210" s="82">
        <f>IF(Consultas!W210='Parâmetros'!$E$1,1,-5)</f>
        <v>-5</v>
      </c>
      <c r="W210" s="82">
        <f>IF(Consultas!X210="S",3,-3)</f>
        <v>-3</v>
      </c>
      <c r="X210" s="82">
        <f>IF(Consultas!Y210="S",0,-7)</f>
        <v>-7</v>
      </c>
      <c r="Y210" s="82">
        <f>IF(Consultas!Z210='Parâmetros'!$E$1,2,-8)</f>
        <v>-8</v>
      </c>
      <c r="Z210" s="82">
        <f>IF(Consultas!AA210='Parâmetros'!$E$1,-15,1)</f>
        <v>1</v>
      </c>
      <c r="AA210" s="147" t="s">
        <v>140</v>
      </c>
      <c r="AB210" s="82" t="str">
        <f>IF(E210="NA","NA",IF(E210&gt;'Parâmetros'!$A$9,8,IF(E210&gt;'Parâmetros'!$A$8,4,IF(E210&gt;'Parâmetros'!$A$7,0,-6))))</f>
        <v>NA</v>
      </c>
      <c r="AC210" s="82">
        <f>IF(Consultas!AC210='Parâmetros'!$E$1,0,5)</f>
        <v>5</v>
      </c>
      <c r="AD210" s="82">
        <f>IF(Consultas!AH210='Parâmetros'!$D$1,-10,5)</f>
        <v>5</v>
      </c>
      <c r="AE210" s="82">
        <f>IF(Consultas!AI210&gt;(Consultas!F210*2),-10,0)</f>
        <v>0</v>
      </c>
      <c r="AF210" s="82" t="b">
        <f>IF(Consultas!AD210&gt;1,(IF(Consultas!AI210&gt;(Consultas!AD210),-20,4)))</f>
        <v>0</v>
      </c>
      <c r="AG210" s="82">
        <f>IF(Consultas!AG210='Parâmetros'!$E$1,0,-6)</f>
        <v>-6</v>
      </c>
      <c r="AH210" s="82">
        <f>IF(Consultas!AF210='Parâmetros'!$E$1,1,-5)</f>
        <v>-5</v>
      </c>
      <c r="AI210" s="82">
        <f>IF(Consultas!AJ210&gt;700,8,IF(Consultas!AJ210&gt;500,4,IF(Consultas!AJ210&gt;200,-4,IF(Consultas!AJ210&gt;1,-15,-20))))</f>
        <v>-20</v>
      </c>
      <c r="AJ210" s="82">
        <f>IF(Consultas!AD210='Parâmetros'!$E$10,0,IF(Consultas!AD210&gt;'Parâmetros'!$A$30,12,IF(Consultas!AD210&gt;'Parâmetros'!$A$31,6,IF(Consultas!AD210&gt;'Parâmetros'!$A$32,0,IF(Consultas!AD210&gt;'Parâmetros'!$A$33,0,IF(Consultas!AD210&gt;'Parâmetros'!$A$34,-3,IF(Consultas!AD210&gt;'Parâmetros'!$A$35,-7,-1)))))))</f>
        <v>-1</v>
      </c>
      <c r="AK210" s="82">
        <f>IF(Consultas!AO210='Parâmetros'!$D$1,3,-3)</f>
        <v>-3</v>
      </c>
      <c r="AL210" s="82">
        <f>IF(Consultas!AP210='Parâmetros'!$D$1,5,-3)</f>
        <v>-3</v>
      </c>
      <c r="AM210" s="82">
        <f>IF(Consultas!AL210="N",-6,0)</f>
        <v>0</v>
      </c>
      <c r="AN210" s="82">
        <f>IF(Consultas!AM210="N",-10,0)</f>
        <v>0</v>
      </c>
      <c r="AO210" s="82">
        <f>IF(Consultas!AN210="S",4,-2)</f>
        <v>-2</v>
      </c>
      <c r="AP210" s="39"/>
      <c r="AQ210" s="165" t="str">
        <f>IF(Consultas!F210&gt;1,(SUM(F210:AO210)),"N/A")</f>
        <v>N/A</v>
      </c>
      <c r="AR210" s="78">
        <f>IF((Consultas!AD210&gt;'Parâmetros'!$A$31),"X",AJ210+Y210+V210+AC210)</f>
        <v>-9</v>
      </c>
      <c r="AS210" s="78">
        <f>IF((Consultas!AD210&gt;'Parâmetros'!$A$31),"X",(H210+I210+J210+Q210+T210+Y210+Z210+AJ210+AN210))</f>
        <v>-23</v>
      </c>
      <c r="AT210" s="78" t="str">
        <f>IF((Consultas!AD210&lt;'Parâmetros'!$A$31),"X",(AD210+AC210+AB210))</f>
        <v>X</v>
      </c>
      <c r="AU210" s="78">
        <f t="shared" si="1"/>
        <v>-23</v>
      </c>
      <c r="AV210" s="82" t="str">
        <f>IF(AQ210="N/A","N/A",IF(AQ210&gt;5,'Parâmetros'!$A$15,(IF(AU210=AR210,'Parâmetros'!$A$17,IF(AU210=AS210,'Parâmetros'!$A$16,'Parâmetros'!$A$14)))))</f>
        <v>N/A</v>
      </c>
      <c r="AW210" s="86" t="str">
        <f>IF(AQ210="N/A","N/A",IF(AV210='Parâmetros'!$A$15,'Parâmetros'!$C$15,(IF(AV210='Parâmetros'!$A$17,'Parâmetros'!$C$17,IF(AV210='Parâmetros'!$A$16,'Parâmetros'!$C$16,IF(AV210='Parâmetros'!$A$14,'Parâmetros'!$C$12))))))</f>
        <v>N/A</v>
      </c>
      <c r="AX210" s="82" t="b">
        <f>IF(Consultas!F210&gt;1,(IF(Consultas!F210&gt;5000,"SOLICITAR PED COMPRA","N/A")))</f>
        <v>0</v>
      </c>
      <c r="AY210" s="167" t="str">
        <f>IF(AND(Consultas!M210&lt;&gt;"S", Consultas!H210="S"), "CHECAGEM REVERSA", "N/A")</f>
        <v>N/A</v>
      </c>
      <c r="AZ210" s="167" t="str">
        <f>IF(Consultas!U210="N","PRECISA CORRIGIR END DIVERGENTE","N/A")</f>
        <v>N/A</v>
      </c>
    </row>
    <row r="211" ht="12.0" customHeight="1">
      <c r="A211" s="39" t="s">
        <v>90</v>
      </c>
      <c r="B211" s="82" t="str">
        <f>Consultas!B211</f>
        <v/>
      </c>
      <c r="C211" s="82" t="str">
        <f>Consultas!D211</f>
        <v/>
      </c>
      <c r="D211" s="96" t="str">
        <f>Consultas!E211</f>
        <v/>
      </c>
      <c r="E211" s="104" t="str">
        <f>IF(Consultas!AB211&gt;0,YEAR('Parâmetros'!$B$1)-YEAR(Consultas!AB211),"NA")</f>
        <v>NA</v>
      </c>
      <c r="F211" s="82">
        <f>IF(Consultas!F211&gt;'Parâmetros'!$B$2,-8,0)</f>
        <v>0</v>
      </c>
      <c r="G211" s="82">
        <f>IF(Consultas!H211='Parâmetros'!$E$1,100,0)</f>
        <v>0</v>
      </c>
      <c r="H211" s="82">
        <f>IF(Consultas!I211='Parâmetros'!$E$1,-4,12)</f>
        <v>12</v>
      </c>
      <c r="I211" s="82">
        <f>IF(Consultas!J211='Parâmetros'!$E$1,1,-13)</f>
        <v>-13</v>
      </c>
      <c r="J211" s="82">
        <f>IF(Consultas!K211='Parâmetros'!$E$1,2,-5)</f>
        <v>-5</v>
      </c>
      <c r="K211" s="82" t="str">
        <f>IF(Consultas!L211='Parâmetros'!$D$1,"SOLIC CONTRATO DE ENTREGA","N/A")</f>
        <v>N/A</v>
      </c>
      <c r="L211" s="82">
        <f>IF(Consultas!R211='Parâmetros'!$E$1,1,-3)</f>
        <v>-3</v>
      </c>
      <c r="M211" s="82" t="b">
        <f>IF(Consultas!S211&gt;1,(IF(Consultas!S211='Parâmetros'!$E$1,-3,9)))</f>
        <v>0</v>
      </c>
      <c r="N211" s="82">
        <f>IF(Consultas!T211="S",23,0)</f>
        <v>0</v>
      </c>
      <c r="O211" s="82">
        <f>IF(Consultas!U211='Parâmetros'!$E$1,-3,3)</f>
        <v>3</v>
      </c>
      <c r="P211" s="82">
        <f>IF(Consultas!V211='Parâmetros'!$E$1,-100,2)</f>
        <v>2</v>
      </c>
      <c r="Q211" s="82">
        <f>IF(Consultas!M211='Parâmetros'!$D$1,2,-9)</f>
        <v>-9</v>
      </c>
      <c r="R211" s="82">
        <f>IF(Consultas!N211="RJ",-12,0)</f>
        <v>0</v>
      </c>
      <c r="S211" s="82">
        <f>IF(Consultas!O211="-",-3,IF(Consultas!O211=0,-6,IF(Consultas!O211=5,0,IF(Consultas!O211=10,6))))</f>
        <v>-6</v>
      </c>
      <c r="T211" s="82">
        <f>IF(Consultas!M211="S",0,(IF(Consultas!P211="S",6,0)))</f>
        <v>0</v>
      </c>
      <c r="U211" s="82">
        <f>IF(Consultas!Q211&gt;97,9,IF(Consultas!Q211&gt;75,0,-7))</f>
        <v>-7</v>
      </c>
      <c r="V211" s="82">
        <f>IF(Consultas!W211='Parâmetros'!$E$1,1,-5)</f>
        <v>-5</v>
      </c>
      <c r="W211" s="82">
        <f>IF(Consultas!X211="S",3,-3)</f>
        <v>-3</v>
      </c>
      <c r="X211" s="82">
        <f>IF(Consultas!Y211="S",0,-7)</f>
        <v>-7</v>
      </c>
      <c r="Y211" s="82">
        <f>IF(Consultas!Z211='Parâmetros'!$E$1,2,-8)</f>
        <v>-8</v>
      </c>
      <c r="Z211" s="82">
        <f>IF(Consultas!AA211='Parâmetros'!$E$1,-15,1)</f>
        <v>1</v>
      </c>
      <c r="AA211" s="147" t="s">
        <v>140</v>
      </c>
      <c r="AB211" s="82" t="str">
        <f>IF(E211="NA","NA",IF(E211&gt;'Parâmetros'!$A$9,8,IF(E211&gt;'Parâmetros'!$A$8,4,IF(E211&gt;'Parâmetros'!$A$7,0,-6))))</f>
        <v>NA</v>
      </c>
      <c r="AC211" s="82">
        <f>IF(Consultas!AC211='Parâmetros'!$E$1,0,5)</f>
        <v>5</v>
      </c>
      <c r="AD211" s="82">
        <f>IF(Consultas!AH211='Parâmetros'!$D$1,-10,5)</f>
        <v>5</v>
      </c>
      <c r="AE211" s="82">
        <f>IF(Consultas!AI211&gt;(Consultas!F211*2),-10,0)</f>
        <v>0</v>
      </c>
      <c r="AF211" s="82" t="b">
        <f>IF(Consultas!AD211&gt;1,(IF(Consultas!AI211&gt;(Consultas!AD211),-20,4)))</f>
        <v>0</v>
      </c>
      <c r="AG211" s="82">
        <f>IF(Consultas!AG211='Parâmetros'!$E$1,0,-6)</f>
        <v>-6</v>
      </c>
      <c r="AH211" s="82">
        <f>IF(Consultas!AF211='Parâmetros'!$E$1,1,-5)</f>
        <v>-5</v>
      </c>
      <c r="AI211" s="82">
        <f>IF(Consultas!AJ211&gt;700,8,IF(Consultas!AJ211&gt;500,4,IF(Consultas!AJ211&gt;200,-4,IF(Consultas!AJ211&gt;1,-15,-20))))</f>
        <v>-20</v>
      </c>
      <c r="AJ211" s="82">
        <f>IF(Consultas!AD211='Parâmetros'!$E$10,0,IF(Consultas!AD211&gt;'Parâmetros'!$A$30,12,IF(Consultas!AD211&gt;'Parâmetros'!$A$31,6,IF(Consultas!AD211&gt;'Parâmetros'!$A$32,0,IF(Consultas!AD211&gt;'Parâmetros'!$A$33,0,IF(Consultas!AD211&gt;'Parâmetros'!$A$34,-3,IF(Consultas!AD211&gt;'Parâmetros'!$A$35,-7,-1)))))))</f>
        <v>-1</v>
      </c>
      <c r="AK211" s="82">
        <f>IF(Consultas!AO211='Parâmetros'!$D$1,3,-3)</f>
        <v>-3</v>
      </c>
      <c r="AL211" s="82">
        <f>IF(Consultas!AP211='Parâmetros'!$D$1,5,-3)</f>
        <v>-3</v>
      </c>
      <c r="AM211" s="82">
        <f>IF(Consultas!AL211="N",-6,0)</f>
        <v>0</v>
      </c>
      <c r="AN211" s="82">
        <f>IF(Consultas!AM211="N",-10,0)</f>
        <v>0</v>
      </c>
      <c r="AO211" s="82">
        <f>IF(Consultas!AN211="S",4,-2)</f>
        <v>-2</v>
      </c>
      <c r="AP211" s="39"/>
      <c r="AQ211" s="165" t="str">
        <f>IF(Consultas!F211&gt;1,(SUM(F211:AO211)),"N/A")</f>
        <v>N/A</v>
      </c>
      <c r="AR211" s="78">
        <f>IF((Consultas!AD211&gt;'Parâmetros'!$A$31),"X",AJ211+Y211+V211+AC211)</f>
        <v>-9</v>
      </c>
      <c r="AS211" s="78">
        <f>IF((Consultas!AD211&gt;'Parâmetros'!$A$31),"X",(H211+I211+J211+Q211+T211+Y211+Z211+AJ211+AN211))</f>
        <v>-23</v>
      </c>
      <c r="AT211" s="78" t="str">
        <f>IF((Consultas!AD211&lt;'Parâmetros'!$A$31),"X",(AD211+AC211+AB211))</f>
        <v>X</v>
      </c>
      <c r="AU211" s="78">
        <f t="shared" si="1"/>
        <v>-23</v>
      </c>
      <c r="AV211" s="82" t="str">
        <f>IF(AQ211="N/A","N/A",IF(AQ211&gt;5,'Parâmetros'!$A$15,(IF(AU211=AR211,'Parâmetros'!$A$17,IF(AU211=AS211,'Parâmetros'!$A$16,'Parâmetros'!$A$14)))))</f>
        <v>N/A</v>
      </c>
      <c r="AW211" s="86" t="str">
        <f>IF(AQ211="N/A","N/A",IF(AV211='Parâmetros'!$A$15,'Parâmetros'!$C$15,(IF(AV211='Parâmetros'!$A$17,'Parâmetros'!$C$17,IF(AV211='Parâmetros'!$A$16,'Parâmetros'!$C$16,IF(AV211='Parâmetros'!$A$14,'Parâmetros'!$C$12))))))</f>
        <v>N/A</v>
      </c>
      <c r="AX211" s="82" t="b">
        <f>IF(Consultas!F211&gt;1,(IF(Consultas!F211&gt;5000,"SOLICITAR PED COMPRA","N/A")))</f>
        <v>0</v>
      </c>
      <c r="AY211" s="167" t="str">
        <f>IF(AND(Consultas!M211&lt;&gt;"S", Consultas!H211="S"), "CHECAGEM REVERSA", "N/A")</f>
        <v>N/A</v>
      </c>
      <c r="AZ211" s="167" t="str">
        <f>IF(Consultas!U211="N","PRECISA CORRIGIR END DIVERGENTE","N/A")</f>
        <v>N/A</v>
      </c>
    </row>
    <row r="212" ht="12.0" customHeight="1">
      <c r="A212" s="39" t="s">
        <v>90</v>
      </c>
      <c r="B212" s="82" t="str">
        <f>Consultas!B212</f>
        <v/>
      </c>
      <c r="C212" s="82" t="str">
        <f>Consultas!D212</f>
        <v/>
      </c>
      <c r="D212" s="96" t="str">
        <f>Consultas!E212</f>
        <v/>
      </c>
      <c r="E212" s="104" t="str">
        <f>IF(Consultas!AB212&gt;0,YEAR('Parâmetros'!$B$1)-YEAR(Consultas!AB212),"NA")</f>
        <v>NA</v>
      </c>
      <c r="F212" s="82">
        <f>IF(Consultas!F212&gt;'Parâmetros'!$B$2,-8,0)</f>
        <v>0</v>
      </c>
      <c r="G212" s="82">
        <f>IF(Consultas!H212='Parâmetros'!$E$1,100,0)</f>
        <v>0</v>
      </c>
      <c r="H212" s="82">
        <f>IF(Consultas!I212='Parâmetros'!$E$1,-4,12)</f>
        <v>12</v>
      </c>
      <c r="I212" s="82">
        <f>IF(Consultas!J212='Parâmetros'!$E$1,1,-13)</f>
        <v>-13</v>
      </c>
      <c r="J212" s="82">
        <f>IF(Consultas!K212='Parâmetros'!$E$1,2,-5)</f>
        <v>-5</v>
      </c>
      <c r="K212" s="82" t="str">
        <f>IF(Consultas!L212='Parâmetros'!$D$1,"SOLIC CONTRATO DE ENTREGA","N/A")</f>
        <v>N/A</v>
      </c>
      <c r="L212" s="82">
        <f>IF(Consultas!R212='Parâmetros'!$E$1,1,-3)</f>
        <v>-3</v>
      </c>
      <c r="M212" s="82" t="b">
        <f>IF(Consultas!S212&gt;1,(IF(Consultas!S212='Parâmetros'!$E$1,-3,9)))</f>
        <v>0</v>
      </c>
      <c r="N212" s="82">
        <f>IF(Consultas!T212="S",23,0)</f>
        <v>0</v>
      </c>
      <c r="O212" s="82">
        <f>IF(Consultas!U212='Parâmetros'!$E$1,-3,3)</f>
        <v>3</v>
      </c>
      <c r="P212" s="82">
        <f>IF(Consultas!V212='Parâmetros'!$E$1,-100,2)</f>
        <v>2</v>
      </c>
      <c r="Q212" s="82">
        <f>IF(Consultas!M212='Parâmetros'!$D$1,2,-9)</f>
        <v>-9</v>
      </c>
      <c r="R212" s="82">
        <f>IF(Consultas!N212="RJ",-12,0)</f>
        <v>0</v>
      </c>
      <c r="S212" s="82">
        <f>IF(Consultas!O212="-",-3,IF(Consultas!O212=0,-6,IF(Consultas!O212=5,0,IF(Consultas!O212=10,6))))</f>
        <v>-6</v>
      </c>
      <c r="T212" s="82">
        <f>IF(Consultas!M212="S",0,(IF(Consultas!P212="S",6,0)))</f>
        <v>0</v>
      </c>
      <c r="U212" s="82">
        <f>IF(Consultas!Q212&gt;97,9,IF(Consultas!Q212&gt;75,0,-7))</f>
        <v>-7</v>
      </c>
      <c r="V212" s="82">
        <f>IF(Consultas!W212='Parâmetros'!$E$1,1,-5)</f>
        <v>-5</v>
      </c>
      <c r="W212" s="82">
        <f>IF(Consultas!X212="S",3,-3)</f>
        <v>-3</v>
      </c>
      <c r="X212" s="82">
        <f>IF(Consultas!Y212="S",0,-7)</f>
        <v>-7</v>
      </c>
      <c r="Y212" s="82">
        <f>IF(Consultas!Z212='Parâmetros'!$E$1,2,-8)</f>
        <v>-8</v>
      </c>
      <c r="Z212" s="82">
        <f>IF(Consultas!AA212='Parâmetros'!$E$1,-15,1)</f>
        <v>1</v>
      </c>
      <c r="AA212" s="147" t="s">
        <v>140</v>
      </c>
      <c r="AB212" s="82" t="str">
        <f>IF(E212="NA","NA",IF(E212&gt;'Parâmetros'!$A$9,8,IF(E212&gt;'Parâmetros'!$A$8,4,IF(E212&gt;'Parâmetros'!$A$7,0,-6))))</f>
        <v>NA</v>
      </c>
      <c r="AC212" s="82">
        <f>IF(Consultas!AC212='Parâmetros'!$E$1,0,5)</f>
        <v>5</v>
      </c>
      <c r="AD212" s="82">
        <f>IF(Consultas!AH212='Parâmetros'!$D$1,-10,5)</f>
        <v>5</v>
      </c>
      <c r="AE212" s="82">
        <f>IF(Consultas!AI212&gt;(Consultas!F212*2),-10,0)</f>
        <v>0</v>
      </c>
      <c r="AF212" s="82" t="b">
        <f>IF(Consultas!AD212&gt;1,(IF(Consultas!AI212&gt;(Consultas!AD212),-20,4)))</f>
        <v>0</v>
      </c>
      <c r="AG212" s="82">
        <f>IF(Consultas!AG212='Parâmetros'!$E$1,0,-6)</f>
        <v>-6</v>
      </c>
      <c r="AH212" s="82">
        <f>IF(Consultas!AF212='Parâmetros'!$E$1,1,-5)</f>
        <v>-5</v>
      </c>
      <c r="AI212" s="82">
        <f>IF(Consultas!AJ212&gt;700,8,IF(Consultas!AJ212&gt;500,4,IF(Consultas!AJ212&gt;200,-4,IF(Consultas!AJ212&gt;1,-15,-20))))</f>
        <v>-20</v>
      </c>
      <c r="AJ212" s="82">
        <f>IF(Consultas!AD212='Parâmetros'!$E$10,0,IF(Consultas!AD212&gt;'Parâmetros'!$A$30,12,IF(Consultas!AD212&gt;'Parâmetros'!$A$31,6,IF(Consultas!AD212&gt;'Parâmetros'!$A$32,0,IF(Consultas!AD212&gt;'Parâmetros'!$A$33,0,IF(Consultas!AD212&gt;'Parâmetros'!$A$34,-3,IF(Consultas!AD212&gt;'Parâmetros'!$A$35,-7,-1)))))))</f>
        <v>-1</v>
      </c>
      <c r="AK212" s="82">
        <f>IF(Consultas!AO212='Parâmetros'!$D$1,3,-3)</f>
        <v>-3</v>
      </c>
      <c r="AL212" s="82">
        <f>IF(Consultas!AP212='Parâmetros'!$D$1,5,-3)</f>
        <v>-3</v>
      </c>
      <c r="AM212" s="82">
        <f>IF(Consultas!AL212="N",-6,0)</f>
        <v>0</v>
      </c>
      <c r="AN212" s="82">
        <f>IF(Consultas!AM212="N",-10,0)</f>
        <v>0</v>
      </c>
      <c r="AO212" s="82">
        <f>IF(Consultas!AN212="S",4,-2)</f>
        <v>-2</v>
      </c>
      <c r="AP212" s="39"/>
      <c r="AQ212" s="165" t="str">
        <f>IF(Consultas!F212&gt;1,(SUM(F212:AO212)),"N/A")</f>
        <v>N/A</v>
      </c>
      <c r="AR212" s="78">
        <f>IF((Consultas!AD212&gt;'Parâmetros'!$A$31),"X",AJ212+Y212+V212+AC212)</f>
        <v>-9</v>
      </c>
      <c r="AS212" s="78">
        <f>IF((Consultas!AD212&gt;'Parâmetros'!$A$31),"X",(H212+I212+J212+Q212+T212+Y212+Z212+AJ212+AN212))</f>
        <v>-23</v>
      </c>
      <c r="AT212" s="78" t="str">
        <f>IF((Consultas!AD212&lt;'Parâmetros'!$A$31),"X",(AD212+AC212+AB212))</f>
        <v>X</v>
      </c>
      <c r="AU212" s="78">
        <f t="shared" si="1"/>
        <v>-23</v>
      </c>
      <c r="AV212" s="82" t="str">
        <f>IF(AQ212="N/A","N/A",IF(AQ212&gt;5,'Parâmetros'!$A$15,(IF(AU212=AR212,'Parâmetros'!$A$17,IF(AU212=AS212,'Parâmetros'!$A$16,'Parâmetros'!$A$14)))))</f>
        <v>N/A</v>
      </c>
      <c r="AW212" s="86" t="str">
        <f>IF(AQ212="N/A","N/A",IF(AV212='Parâmetros'!$A$15,'Parâmetros'!$C$15,(IF(AV212='Parâmetros'!$A$17,'Parâmetros'!$C$17,IF(AV212='Parâmetros'!$A$16,'Parâmetros'!$C$16,IF(AV212='Parâmetros'!$A$14,'Parâmetros'!$C$12))))))</f>
        <v>N/A</v>
      </c>
      <c r="AX212" s="82" t="b">
        <f>IF(Consultas!F212&gt;1,(IF(Consultas!F212&gt;5000,"SOLICITAR PED COMPRA","N/A")))</f>
        <v>0</v>
      </c>
      <c r="AY212" s="167" t="str">
        <f>IF(AND(Consultas!M212&lt;&gt;"S", Consultas!H212="S"), "CHECAGEM REVERSA", "N/A")</f>
        <v>N/A</v>
      </c>
      <c r="AZ212" s="167" t="str">
        <f>IF(Consultas!U212="N","PRECISA CORRIGIR END DIVERGENTE","N/A")</f>
        <v>N/A</v>
      </c>
    </row>
    <row r="213" ht="12.0" customHeight="1">
      <c r="A213" s="39" t="s">
        <v>90</v>
      </c>
      <c r="B213" s="82" t="str">
        <f>Consultas!B213</f>
        <v/>
      </c>
      <c r="C213" s="82" t="str">
        <f>Consultas!D213</f>
        <v/>
      </c>
      <c r="D213" s="96" t="str">
        <f>Consultas!E213</f>
        <v/>
      </c>
      <c r="E213" s="104" t="str">
        <f>IF(Consultas!AB213&gt;0,YEAR('Parâmetros'!$B$1)-YEAR(Consultas!AB213),"NA")</f>
        <v>NA</v>
      </c>
      <c r="F213" s="82">
        <f>IF(Consultas!F213&gt;'Parâmetros'!$B$2,-8,0)</f>
        <v>0</v>
      </c>
      <c r="G213" s="82">
        <f>IF(Consultas!H213='Parâmetros'!$E$1,100,0)</f>
        <v>0</v>
      </c>
      <c r="H213" s="82">
        <f>IF(Consultas!I213='Parâmetros'!$E$1,-4,12)</f>
        <v>12</v>
      </c>
      <c r="I213" s="82">
        <f>IF(Consultas!J213='Parâmetros'!$E$1,1,-13)</f>
        <v>-13</v>
      </c>
      <c r="J213" s="82">
        <f>IF(Consultas!K213='Parâmetros'!$E$1,2,-5)</f>
        <v>-5</v>
      </c>
      <c r="K213" s="82" t="str">
        <f>IF(Consultas!L213='Parâmetros'!$D$1,"SOLIC CONTRATO DE ENTREGA","N/A")</f>
        <v>N/A</v>
      </c>
      <c r="L213" s="82">
        <f>IF(Consultas!R213='Parâmetros'!$E$1,1,-3)</f>
        <v>-3</v>
      </c>
      <c r="M213" s="82" t="b">
        <f>IF(Consultas!S213&gt;1,(IF(Consultas!S213='Parâmetros'!$E$1,-3,9)))</f>
        <v>0</v>
      </c>
      <c r="N213" s="82">
        <f>IF(Consultas!T213="S",23,0)</f>
        <v>0</v>
      </c>
      <c r="O213" s="82">
        <f>IF(Consultas!U213='Parâmetros'!$E$1,-3,3)</f>
        <v>3</v>
      </c>
      <c r="P213" s="82">
        <f>IF(Consultas!V213='Parâmetros'!$E$1,-100,2)</f>
        <v>2</v>
      </c>
      <c r="Q213" s="82">
        <f>IF(Consultas!M213='Parâmetros'!$D$1,2,-9)</f>
        <v>-9</v>
      </c>
      <c r="R213" s="82">
        <f>IF(Consultas!N213="RJ",-12,0)</f>
        <v>0</v>
      </c>
      <c r="S213" s="82">
        <f>IF(Consultas!O213="-",-3,IF(Consultas!O213=0,-6,IF(Consultas!O213=5,0,IF(Consultas!O213=10,6))))</f>
        <v>-6</v>
      </c>
      <c r="T213" s="82">
        <f>IF(Consultas!M213="S",0,(IF(Consultas!P213="S",6,0)))</f>
        <v>0</v>
      </c>
      <c r="U213" s="82">
        <f>IF(Consultas!Q213&gt;97,9,IF(Consultas!Q213&gt;75,0,-7))</f>
        <v>-7</v>
      </c>
      <c r="V213" s="82">
        <f>IF(Consultas!W213='Parâmetros'!$E$1,1,-5)</f>
        <v>-5</v>
      </c>
      <c r="W213" s="82">
        <f>IF(Consultas!X213="S",3,-3)</f>
        <v>-3</v>
      </c>
      <c r="X213" s="82">
        <f>IF(Consultas!Y213="S",0,-7)</f>
        <v>-7</v>
      </c>
      <c r="Y213" s="82">
        <f>IF(Consultas!Z213='Parâmetros'!$E$1,2,-8)</f>
        <v>-8</v>
      </c>
      <c r="Z213" s="82">
        <f>IF(Consultas!AA213='Parâmetros'!$E$1,-15,1)</f>
        <v>1</v>
      </c>
      <c r="AA213" s="147" t="s">
        <v>140</v>
      </c>
      <c r="AB213" s="82" t="str">
        <f>IF(E213="NA","NA",IF(E213&gt;'Parâmetros'!$A$9,8,IF(E213&gt;'Parâmetros'!$A$8,4,IF(E213&gt;'Parâmetros'!$A$7,0,-6))))</f>
        <v>NA</v>
      </c>
      <c r="AC213" s="82">
        <f>IF(Consultas!AC213='Parâmetros'!$E$1,0,5)</f>
        <v>5</v>
      </c>
      <c r="AD213" s="82">
        <f>IF(Consultas!AH213='Parâmetros'!$D$1,-10,5)</f>
        <v>5</v>
      </c>
      <c r="AE213" s="82">
        <f>IF(Consultas!AI213&gt;(Consultas!F213*2),-10,0)</f>
        <v>0</v>
      </c>
      <c r="AF213" s="82" t="b">
        <f>IF(Consultas!AD213&gt;1,(IF(Consultas!AI213&gt;(Consultas!AD213),-20,4)))</f>
        <v>0</v>
      </c>
      <c r="AG213" s="82">
        <f>IF(Consultas!AG213='Parâmetros'!$E$1,0,-6)</f>
        <v>-6</v>
      </c>
      <c r="AH213" s="82">
        <f>IF(Consultas!AF213='Parâmetros'!$E$1,1,-5)</f>
        <v>-5</v>
      </c>
      <c r="AI213" s="82">
        <f>IF(Consultas!AJ213&gt;700,8,IF(Consultas!AJ213&gt;500,4,IF(Consultas!AJ213&gt;200,-4,IF(Consultas!AJ213&gt;1,-15,-20))))</f>
        <v>-20</v>
      </c>
      <c r="AJ213" s="82">
        <f>IF(Consultas!AD213='Parâmetros'!$E$10,0,IF(Consultas!AD213&gt;'Parâmetros'!$A$30,12,IF(Consultas!AD213&gt;'Parâmetros'!$A$31,6,IF(Consultas!AD213&gt;'Parâmetros'!$A$32,0,IF(Consultas!AD213&gt;'Parâmetros'!$A$33,0,IF(Consultas!AD213&gt;'Parâmetros'!$A$34,-3,IF(Consultas!AD213&gt;'Parâmetros'!$A$35,-7,-1)))))))</f>
        <v>-1</v>
      </c>
      <c r="AK213" s="82">
        <f>IF(Consultas!AO213='Parâmetros'!$D$1,3,-3)</f>
        <v>-3</v>
      </c>
      <c r="AL213" s="82">
        <f>IF(Consultas!AP213='Parâmetros'!$D$1,5,-3)</f>
        <v>-3</v>
      </c>
      <c r="AM213" s="82">
        <f>IF(Consultas!AL213="N",-6,0)</f>
        <v>0</v>
      </c>
      <c r="AN213" s="82">
        <f>IF(Consultas!AM213="N",-10,0)</f>
        <v>0</v>
      </c>
      <c r="AO213" s="82">
        <f>IF(Consultas!AN213="S",4,-2)</f>
        <v>-2</v>
      </c>
      <c r="AP213" s="39"/>
      <c r="AQ213" s="165" t="str">
        <f>IF(Consultas!F213&gt;1,(SUM(F213:AO213)),"N/A")</f>
        <v>N/A</v>
      </c>
      <c r="AR213" s="78">
        <f>IF((Consultas!AD213&gt;'Parâmetros'!$A$31),"X",AJ213+Y213+V213+AC213)</f>
        <v>-9</v>
      </c>
      <c r="AS213" s="78">
        <f>IF((Consultas!AD213&gt;'Parâmetros'!$A$31),"X",(H213+I213+J213+Q213+T213+Y213+Z213+AJ213+AN213))</f>
        <v>-23</v>
      </c>
      <c r="AT213" s="78" t="str">
        <f>IF((Consultas!AD213&lt;'Parâmetros'!$A$31),"X",(AD213+AC213+AB213))</f>
        <v>X</v>
      </c>
      <c r="AU213" s="78">
        <f t="shared" si="1"/>
        <v>-23</v>
      </c>
      <c r="AV213" s="82" t="str">
        <f>IF(AQ213="N/A","N/A",IF(AQ213&gt;5,'Parâmetros'!$A$15,(IF(AU213=AR213,'Parâmetros'!$A$17,IF(AU213=AS213,'Parâmetros'!$A$16,'Parâmetros'!$A$14)))))</f>
        <v>N/A</v>
      </c>
      <c r="AW213" s="86" t="str">
        <f>IF(AQ213="N/A","N/A",IF(AV213='Parâmetros'!$A$15,'Parâmetros'!$C$15,(IF(AV213='Parâmetros'!$A$17,'Parâmetros'!$C$17,IF(AV213='Parâmetros'!$A$16,'Parâmetros'!$C$16,IF(AV213='Parâmetros'!$A$14,'Parâmetros'!$C$12))))))</f>
        <v>N/A</v>
      </c>
      <c r="AX213" s="82" t="b">
        <f>IF(Consultas!F213&gt;1,(IF(Consultas!F213&gt;5000,"SOLICITAR PED COMPRA","N/A")))</f>
        <v>0</v>
      </c>
      <c r="AY213" s="167" t="str">
        <f>IF(AND(Consultas!M213&lt;&gt;"S", Consultas!H213="S"), "CHECAGEM REVERSA", "N/A")</f>
        <v>N/A</v>
      </c>
      <c r="AZ213" s="167" t="str">
        <f>IF(Consultas!U213="N","PRECISA CORRIGIR END DIVERGENTE","N/A")</f>
        <v>N/A</v>
      </c>
    </row>
    <row r="214" ht="12.0" customHeight="1">
      <c r="A214" s="39" t="s">
        <v>90</v>
      </c>
      <c r="B214" s="82" t="str">
        <f>Consultas!B214</f>
        <v/>
      </c>
      <c r="C214" s="82" t="str">
        <f>Consultas!D214</f>
        <v/>
      </c>
      <c r="D214" s="96" t="str">
        <f>Consultas!E214</f>
        <v/>
      </c>
      <c r="E214" s="104" t="str">
        <f>IF(Consultas!AB214&gt;0,YEAR('Parâmetros'!$B$1)-YEAR(Consultas!AB214),"NA")</f>
        <v>NA</v>
      </c>
      <c r="F214" s="82">
        <f>IF(Consultas!F214&gt;'Parâmetros'!$B$2,-8,0)</f>
        <v>0</v>
      </c>
      <c r="G214" s="82">
        <f>IF(Consultas!H214='Parâmetros'!$E$1,100,0)</f>
        <v>0</v>
      </c>
      <c r="H214" s="82">
        <f>IF(Consultas!I214='Parâmetros'!$E$1,-4,12)</f>
        <v>12</v>
      </c>
      <c r="I214" s="82">
        <f>IF(Consultas!J214='Parâmetros'!$E$1,1,-13)</f>
        <v>-13</v>
      </c>
      <c r="J214" s="82">
        <f>IF(Consultas!K214='Parâmetros'!$E$1,2,-5)</f>
        <v>-5</v>
      </c>
      <c r="K214" s="82" t="str">
        <f>IF(Consultas!L214='Parâmetros'!$D$1,"SOLIC CONTRATO DE ENTREGA","N/A")</f>
        <v>N/A</v>
      </c>
      <c r="L214" s="82">
        <f>IF(Consultas!R214='Parâmetros'!$E$1,1,-3)</f>
        <v>-3</v>
      </c>
      <c r="M214" s="82" t="b">
        <f>IF(Consultas!S214&gt;1,(IF(Consultas!S214='Parâmetros'!$E$1,-3,9)))</f>
        <v>0</v>
      </c>
      <c r="N214" s="82">
        <f>IF(Consultas!T214="S",23,0)</f>
        <v>0</v>
      </c>
      <c r="O214" s="82">
        <f>IF(Consultas!U214='Parâmetros'!$E$1,-3,3)</f>
        <v>3</v>
      </c>
      <c r="P214" s="82">
        <f>IF(Consultas!V214='Parâmetros'!$E$1,-100,2)</f>
        <v>2</v>
      </c>
      <c r="Q214" s="82">
        <f>IF(Consultas!M214='Parâmetros'!$D$1,2,-9)</f>
        <v>-9</v>
      </c>
      <c r="R214" s="82">
        <f>IF(Consultas!N214="RJ",-12,0)</f>
        <v>0</v>
      </c>
      <c r="S214" s="82">
        <f>IF(Consultas!O214="-",-3,IF(Consultas!O214=0,-6,IF(Consultas!O214=5,0,IF(Consultas!O214=10,6))))</f>
        <v>-6</v>
      </c>
      <c r="T214" s="82">
        <f>IF(Consultas!M214="S",0,(IF(Consultas!P214="S",6,0)))</f>
        <v>0</v>
      </c>
      <c r="U214" s="82">
        <f>IF(Consultas!Q214&gt;97,9,IF(Consultas!Q214&gt;75,0,-7))</f>
        <v>-7</v>
      </c>
      <c r="V214" s="82">
        <f>IF(Consultas!W214='Parâmetros'!$E$1,1,-5)</f>
        <v>-5</v>
      </c>
      <c r="W214" s="82">
        <f>IF(Consultas!X214="S",3,-3)</f>
        <v>-3</v>
      </c>
      <c r="X214" s="82">
        <f>IF(Consultas!Y214="S",0,-7)</f>
        <v>-7</v>
      </c>
      <c r="Y214" s="82">
        <f>IF(Consultas!Z214='Parâmetros'!$E$1,2,-8)</f>
        <v>-8</v>
      </c>
      <c r="Z214" s="82">
        <f>IF(Consultas!AA214='Parâmetros'!$E$1,-15,1)</f>
        <v>1</v>
      </c>
      <c r="AA214" s="147" t="s">
        <v>140</v>
      </c>
      <c r="AB214" s="82" t="str">
        <f>IF(E214="NA","NA",IF(E214&gt;'Parâmetros'!$A$9,8,IF(E214&gt;'Parâmetros'!$A$8,4,IF(E214&gt;'Parâmetros'!$A$7,0,-6))))</f>
        <v>NA</v>
      </c>
      <c r="AC214" s="82">
        <f>IF(Consultas!AC214='Parâmetros'!$E$1,0,5)</f>
        <v>5</v>
      </c>
      <c r="AD214" s="82">
        <f>IF(Consultas!AH214='Parâmetros'!$D$1,-10,5)</f>
        <v>5</v>
      </c>
      <c r="AE214" s="82">
        <f>IF(Consultas!AI214&gt;(Consultas!F214*2),-10,0)</f>
        <v>0</v>
      </c>
      <c r="AF214" s="82" t="b">
        <f>IF(Consultas!AD214&gt;1,(IF(Consultas!AI214&gt;(Consultas!AD214),-20,4)))</f>
        <v>0</v>
      </c>
      <c r="AG214" s="82">
        <f>IF(Consultas!AG214='Parâmetros'!$E$1,0,-6)</f>
        <v>-6</v>
      </c>
      <c r="AH214" s="82">
        <f>IF(Consultas!AF214='Parâmetros'!$E$1,1,-5)</f>
        <v>-5</v>
      </c>
      <c r="AI214" s="82">
        <f>IF(Consultas!AJ214&gt;700,8,IF(Consultas!AJ214&gt;500,4,IF(Consultas!AJ214&gt;200,-4,IF(Consultas!AJ214&gt;1,-15,-20))))</f>
        <v>-20</v>
      </c>
      <c r="AJ214" s="82">
        <f>IF(Consultas!AD214='Parâmetros'!$E$10,0,IF(Consultas!AD214&gt;'Parâmetros'!$A$30,12,IF(Consultas!AD214&gt;'Parâmetros'!$A$31,6,IF(Consultas!AD214&gt;'Parâmetros'!$A$32,0,IF(Consultas!AD214&gt;'Parâmetros'!$A$33,0,IF(Consultas!AD214&gt;'Parâmetros'!$A$34,-3,IF(Consultas!AD214&gt;'Parâmetros'!$A$35,-7,-1)))))))</f>
        <v>-1</v>
      </c>
      <c r="AK214" s="82">
        <f>IF(Consultas!AO214='Parâmetros'!$D$1,3,-3)</f>
        <v>-3</v>
      </c>
      <c r="AL214" s="82">
        <f>IF(Consultas!AP214='Parâmetros'!$D$1,5,-3)</f>
        <v>-3</v>
      </c>
      <c r="AM214" s="82">
        <f>IF(Consultas!AL214="N",-6,0)</f>
        <v>0</v>
      </c>
      <c r="AN214" s="82">
        <f>IF(Consultas!AM214="N",-10,0)</f>
        <v>0</v>
      </c>
      <c r="AO214" s="82">
        <f>IF(Consultas!AN214="S",4,-2)</f>
        <v>-2</v>
      </c>
      <c r="AP214" s="39"/>
      <c r="AQ214" s="165" t="str">
        <f>IF(Consultas!F214&gt;1,(SUM(F214:AO214)),"N/A")</f>
        <v>N/A</v>
      </c>
      <c r="AR214" s="78">
        <f>IF((Consultas!AD214&gt;'Parâmetros'!$A$31),"X",AJ214+Y214+V214+AC214)</f>
        <v>-9</v>
      </c>
      <c r="AS214" s="78">
        <f>IF((Consultas!AD214&gt;'Parâmetros'!$A$31),"X",(H214+I214+J214+Q214+T214+Y214+Z214+AJ214+AN214))</f>
        <v>-23</v>
      </c>
      <c r="AT214" s="78" t="str">
        <f>IF((Consultas!AD214&lt;'Parâmetros'!$A$31),"X",(AD214+AC214+AB214))</f>
        <v>X</v>
      </c>
      <c r="AU214" s="78">
        <f t="shared" si="1"/>
        <v>-23</v>
      </c>
      <c r="AV214" s="82" t="str">
        <f>IF(AQ214="N/A","N/A",IF(AQ214&gt;5,'Parâmetros'!$A$15,(IF(AU214=AR214,'Parâmetros'!$A$17,IF(AU214=AS214,'Parâmetros'!$A$16,'Parâmetros'!$A$14)))))</f>
        <v>N/A</v>
      </c>
      <c r="AW214" s="86" t="str">
        <f>IF(AQ214="N/A","N/A",IF(AV214='Parâmetros'!$A$15,'Parâmetros'!$C$15,(IF(AV214='Parâmetros'!$A$17,'Parâmetros'!$C$17,IF(AV214='Parâmetros'!$A$16,'Parâmetros'!$C$16,IF(AV214='Parâmetros'!$A$14,'Parâmetros'!$C$12))))))</f>
        <v>N/A</v>
      </c>
      <c r="AX214" s="82" t="b">
        <f>IF(Consultas!F214&gt;1,(IF(Consultas!F214&gt;5000,"SOLICITAR PED COMPRA","N/A")))</f>
        <v>0</v>
      </c>
      <c r="AY214" s="167" t="str">
        <f>IF(AND(Consultas!M214&lt;&gt;"S", Consultas!H214="S"), "CHECAGEM REVERSA", "N/A")</f>
        <v>N/A</v>
      </c>
      <c r="AZ214" s="167" t="str">
        <f>IF(Consultas!U214="N","PRECISA CORRIGIR END DIVERGENTE","N/A")</f>
        <v>N/A</v>
      </c>
    </row>
    <row r="215" ht="12.0" customHeight="1">
      <c r="A215" s="39" t="s">
        <v>90</v>
      </c>
      <c r="B215" s="82" t="str">
        <f>Consultas!B215</f>
        <v/>
      </c>
      <c r="C215" s="82" t="str">
        <f>Consultas!D215</f>
        <v/>
      </c>
      <c r="D215" s="96" t="str">
        <f>Consultas!E215</f>
        <v/>
      </c>
      <c r="E215" s="104" t="str">
        <f>IF(Consultas!AB215&gt;0,YEAR('Parâmetros'!$B$1)-YEAR(Consultas!AB215),"NA")</f>
        <v>NA</v>
      </c>
      <c r="F215" s="82">
        <f>IF(Consultas!F215&gt;'Parâmetros'!$B$2,-8,0)</f>
        <v>0</v>
      </c>
      <c r="G215" s="82">
        <f>IF(Consultas!H215='Parâmetros'!$E$1,100,0)</f>
        <v>0</v>
      </c>
      <c r="H215" s="82">
        <f>IF(Consultas!I215='Parâmetros'!$E$1,-4,12)</f>
        <v>12</v>
      </c>
      <c r="I215" s="82">
        <f>IF(Consultas!J215='Parâmetros'!$E$1,1,-13)</f>
        <v>-13</v>
      </c>
      <c r="J215" s="82">
        <f>IF(Consultas!K215='Parâmetros'!$E$1,2,-5)</f>
        <v>-5</v>
      </c>
      <c r="K215" s="82" t="str">
        <f>IF(Consultas!L215='Parâmetros'!$D$1,"SOLIC CONTRATO DE ENTREGA","N/A")</f>
        <v>N/A</v>
      </c>
      <c r="L215" s="82">
        <f>IF(Consultas!R215='Parâmetros'!$E$1,1,-3)</f>
        <v>-3</v>
      </c>
      <c r="M215" s="82" t="b">
        <f>IF(Consultas!S215&gt;1,(IF(Consultas!S215='Parâmetros'!$E$1,-3,9)))</f>
        <v>0</v>
      </c>
      <c r="N215" s="82">
        <f>IF(Consultas!T215="S",23,0)</f>
        <v>0</v>
      </c>
      <c r="O215" s="82">
        <f>IF(Consultas!U215='Parâmetros'!$E$1,-3,3)</f>
        <v>3</v>
      </c>
      <c r="P215" s="82">
        <f>IF(Consultas!V215='Parâmetros'!$E$1,-100,2)</f>
        <v>2</v>
      </c>
      <c r="Q215" s="82">
        <f>IF(Consultas!M215='Parâmetros'!$D$1,2,-9)</f>
        <v>-9</v>
      </c>
      <c r="R215" s="82">
        <f>IF(Consultas!N215="RJ",-12,0)</f>
        <v>0</v>
      </c>
      <c r="S215" s="82">
        <f>IF(Consultas!O215="-",-3,IF(Consultas!O215=0,-6,IF(Consultas!O215=5,0,IF(Consultas!O215=10,6))))</f>
        <v>-6</v>
      </c>
      <c r="T215" s="82">
        <f>IF(Consultas!M215="S",0,(IF(Consultas!P215="S",6,0)))</f>
        <v>0</v>
      </c>
      <c r="U215" s="82">
        <f>IF(Consultas!Q215&gt;97,9,IF(Consultas!Q215&gt;75,0,-7))</f>
        <v>-7</v>
      </c>
      <c r="V215" s="82">
        <f>IF(Consultas!W215='Parâmetros'!$E$1,1,-5)</f>
        <v>-5</v>
      </c>
      <c r="W215" s="82">
        <f>IF(Consultas!X215="S",3,-3)</f>
        <v>-3</v>
      </c>
      <c r="X215" s="82">
        <f>IF(Consultas!Y215="S",0,-7)</f>
        <v>-7</v>
      </c>
      <c r="Y215" s="82">
        <f>IF(Consultas!Z215='Parâmetros'!$E$1,2,-8)</f>
        <v>-8</v>
      </c>
      <c r="Z215" s="82">
        <f>IF(Consultas!AA215='Parâmetros'!$E$1,-15,1)</f>
        <v>1</v>
      </c>
      <c r="AA215" s="147" t="s">
        <v>140</v>
      </c>
      <c r="AB215" s="82" t="str">
        <f>IF(E215="NA","NA",IF(E215&gt;'Parâmetros'!$A$9,8,IF(E215&gt;'Parâmetros'!$A$8,4,IF(E215&gt;'Parâmetros'!$A$7,0,-6))))</f>
        <v>NA</v>
      </c>
      <c r="AC215" s="82">
        <f>IF(Consultas!AC215='Parâmetros'!$E$1,0,5)</f>
        <v>5</v>
      </c>
      <c r="AD215" s="82">
        <f>IF(Consultas!AH215='Parâmetros'!$D$1,-10,5)</f>
        <v>5</v>
      </c>
      <c r="AE215" s="82">
        <f>IF(Consultas!AI215&gt;(Consultas!F215*2),-10,0)</f>
        <v>0</v>
      </c>
      <c r="AF215" s="82" t="b">
        <f>IF(Consultas!AD215&gt;1,(IF(Consultas!AI215&gt;(Consultas!AD215),-20,4)))</f>
        <v>0</v>
      </c>
      <c r="AG215" s="82">
        <f>IF(Consultas!AG215='Parâmetros'!$E$1,0,-6)</f>
        <v>-6</v>
      </c>
      <c r="AH215" s="82">
        <f>IF(Consultas!AF215='Parâmetros'!$E$1,1,-5)</f>
        <v>-5</v>
      </c>
      <c r="AI215" s="82">
        <f>IF(Consultas!AJ215&gt;700,8,IF(Consultas!AJ215&gt;500,4,IF(Consultas!AJ215&gt;200,-4,IF(Consultas!AJ215&gt;1,-15,-20))))</f>
        <v>-20</v>
      </c>
      <c r="AJ215" s="82">
        <f>IF(Consultas!AD215='Parâmetros'!$E$10,0,IF(Consultas!AD215&gt;'Parâmetros'!$A$30,12,IF(Consultas!AD215&gt;'Parâmetros'!$A$31,6,IF(Consultas!AD215&gt;'Parâmetros'!$A$32,0,IF(Consultas!AD215&gt;'Parâmetros'!$A$33,0,IF(Consultas!AD215&gt;'Parâmetros'!$A$34,-3,IF(Consultas!AD215&gt;'Parâmetros'!$A$35,-7,-1)))))))</f>
        <v>-1</v>
      </c>
      <c r="AK215" s="82">
        <f>IF(Consultas!AO215='Parâmetros'!$D$1,3,-3)</f>
        <v>-3</v>
      </c>
      <c r="AL215" s="82">
        <f>IF(Consultas!AP215='Parâmetros'!$D$1,5,-3)</f>
        <v>-3</v>
      </c>
      <c r="AM215" s="82">
        <f>IF(Consultas!AL215="N",-6,0)</f>
        <v>0</v>
      </c>
      <c r="AN215" s="82">
        <f>IF(Consultas!AM215="N",-10,0)</f>
        <v>0</v>
      </c>
      <c r="AO215" s="82">
        <f>IF(Consultas!AN215="S",4,-2)</f>
        <v>-2</v>
      </c>
      <c r="AP215" s="39"/>
      <c r="AQ215" s="165" t="str">
        <f>IF(Consultas!F215&gt;1,(SUM(F215:AO215)),"N/A")</f>
        <v>N/A</v>
      </c>
      <c r="AR215" s="78">
        <f>IF((Consultas!AD215&gt;'Parâmetros'!$A$31),"X",AJ215+Y215+V215+AC215)</f>
        <v>-9</v>
      </c>
      <c r="AS215" s="78">
        <f>IF((Consultas!AD215&gt;'Parâmetros'!$A$31),"X",(H215+I215+J215+Q215+T215+Y215+Z215+AJ215+AN215))</f>
        <v>-23</v>
      </c>
      <c r="AT215" s="78" t="str">
        <f>IF((Consultas!AD215&lt;'Parâmetros'!$A$31),"X",(AD215+AC215+AB215))</f>
        <v>X</v>
      </c>
      <c r="AU215" s="78">
        <f t="shared" si="1"/>
        <v>-23</v>
      </c>
      <c r="AV215" s="82" t="str">
        <f>IF(AQ215="N/A","N/A",IF(AQ215&gt;5,'Parâmetros'!$A$15,(IF(AU215=AR215,'Parâmetros'!$A$17,IF(AU215=AS215,'Parâmetros'!$A$16,'Parâmetros'!$A$14)))))</f>
        <v>N/A</v>
      </c>
      <c r="AW215" s="86" t="str">
        <f>IF(AQ215="N/A","N/A",IF(AV215='Parâmetros'!$A$15,'Parâmetros'!$C$15,(IF(AV215='Parâmetros'!$A$17,'Parâmetros'!$C$17,IF(AV215='Parâmetros'!$A$16,'Parâmetros'!$C$16,IF(AV215='Parâmetros'!$A$14,'Parâmetros'!$C$12))))))</f>
        <v>N/A</v>
      </c>
      <c r="AX215" s="82" t="b">
        <f>IF(Consultas!F215&gt;1,(IF(Consultas!F215&gt;5000,"SOLICITAR PED COMPRA","N/A")))</f>
        <v>0</v>
      </c>
      <c r="AY215" s="167" t="str">
        <f>IF(AND(Consultas!M215&lt;&gt;"S", Consultas!H215="S"), "CHECAGEM REVERSA", "N/A")</f>
        <v>N/A</v>
      </c>
      <c r="AZ215" s="167" t="str">
        <f>IF(Consultas!U215="N","PRECISA CORRIGIR END DIVERGENTE","N/A")</f>
        <v>N/A</v>
      </c>
    </row>
    <row r="216" ht="12.0" customHeight="1">
      <c r="A216" s="39" t="s">
        <v>90</v>
      </c>
      <c r="B216" s="82" t="str">
        <f>Consultas!B216</f>
        <v/>
      </c>
      <c r="C216" s="82" t="str">
        <f>Consultas!D216</f>
        <v/>
      </c>
      <c r="D216" s="96" t="str">
        <f>Consultas!E216</f>
        <v/>
      </c>
      <c r="E216" s="104" t="str">
        <f>IF(Consultas!AB216&gt;0,YEAR('Parâmetros'!$B$1)-YEAR(Consultas!AB216),"NA")</f>
        <v>NA</v>
      </c>
      <c r="F216" s="82">
        <f>IF(Consultas!F216&gt;'Parâmetros'!$B$2,-8,0)</f>
        <v>0</v>
      </c>
      <c r="G216" s="82">
        <f>IF(Consultas!H216='Parâmetros'!$E$1,100,0)</f>
        <v>0</v>
      </c>
      <c r="H216" s="82">
        <f>IF(Consultas!I216='Parâmetros'!$E$1,-4,12)</f>
        <v>12</v>
      </c>
      <c r="I216" s="82">
        <f>IF(Consultas!J216='Parâmetros'!$E$1,1,-13)</f>
        <v>-13</v>
      </c>
      <c r="J216" s="82">
        <f>IF(Consultas!K216='Parâmetros'!$E$1,2,-5)</f>
        <v>-5</v>
      </c>
      <c r="K216" s="82" t="str">
        <f>IF(Consultas!L216='Parâmetros'!$D$1,"SOLIC CONTRATO DE ENTREGA","N/A")</f>
        <v>N/A</v>
      </c>
      <c r="L216" s="82">
        <f>IF(Consultas!R216='Parâmetros'!$E$1,1,-3)</f>
        <v>-3</v>
      </c>
      <c r="M216" s="82" t="b">
        <f>IF(Consultas!S216&gt;1,(IF(Consultas!S216='Parâmetros'!$E$1,-3,9)))</f>
        <v>0</v>
      </c>
      <c r="N216" s="82">
        <f>IF(Consultas!T216="S",23,0)</f>
        <v>0</v>
      </c>
      <c r="O216" s="82">
        <f>IF(Consultas!U216='Parâmetros'!$E$1,-3,3)</f>
        <v>3</v>
      </c>
      <c r="P216" s="82">
        <f>IF(Consultas!V216='Parâmetros'!$E$1,-100,2)</f>
        <v>2</v>
      </c>
      <c r="Q216" s="82">
        <f>IF(Consultas!M216='Parâmetros'!$D$1,2,-9)</f>
        <v>-9</v>
      </c>
      <c r="R216" s="82">
        <f>IF(Consultas!N216="RJ",-12,0)</f>
        <v>0</v>
      </c>
      <c r="S216" s="82">
        <f>IF(Consultas!O216="-",-3,IF(Consultas!O216=0,-6,IF(Consultas!O216=5,0,IF(Consultas!O216=10,6))))</f>
        <v>-6</v>
      </c>
      <c r="T216" s="82">
        <f>IF(Consultas!M216="S",0,(IF(Consultas!P216="S",6,0)))</f>
        <v>0</v>
      </c>
      <c r="U216" s="82">
        <f>IF(Consultas!Q216&gt;97,9,IF(Consultas!Q216&gt;75,0,-7))</f>
        <v>-7</v>
      </c>
      <c r="V216" s="82">
        <f>IF(Consultas!W216='Parâmetros'!$E$1,1,-5)</f>
        <v>-5</v>
      </c>
      <c r="W216" s="82">
        <f>IF(Consultas!X216="S",3,-3)</f>
        <v>-3</v>
      </c>
      <c r="X216" s="82">
        <f>IF(Consultas!Y216="S",0,-7)</f>
        <v>-7</v>
      </c>
      <c r="Y216" s="82">
        <f>IF(Consultas!Z216='Parâmetros'!$E$1,2,-8)</f>
        <v>-8</v>
      </c>
      <c r="Z216" s="82">
        <f>IF(Consultas!AA216='Parâmetros'!$E$1,-15,1)</f>
        <v>1</v>
      </c>
      <c r="AA216" s="147" t="s">
        <v>140</v>
      </c>
      <c r="AB216" s="82" t="str">
        <f>IF(E216="NA","NA",IF(E216&gt;'Parâmetros'!$A$9,8,IF(E216&gt;'Parâmetros'!$A$8,4,IF(E216&gt;'Parâmetros'!$A$7,0,-6))))</f>
        <v>NA</v>
      </c>
      <c r="AC216" s="82">
        <f>IF(Consultas!AC216='Parâmetros'!$E$1,0,5)</f>
        <v>5</v>
      </c>
      <c r="AD216" s="82">
        <f>IF(Consultas!AH216='Parâmetros'!$D$1,-10,5)</f>
        <v>5</v>
      </c>
      <c r="AE216" s="82">
        <f>IF(Consultas!AI216&gt;(Consultas!F216*2),-10,0)</f>
        <v>0</v>
      </c>
      <c r="AF216" s="82" t="b">
        <f>IF(Consultas!AD216&gt;1,(IF(Consultas!AI216&gt;(Consultas!AD216),-20,4)))</f>
        <v>0</v>
      </c>
      <c r="AG216" s="82">
        <f>IF(Consultas!AG216='Parâmetros'!$E$1,0,-6)</f>
        <v>-6</v>
      </c>
      <c r="AH216" s="82">
        <f>IF(Consultas!AF216='Parâmetros'!$E$1,1,-5)</f>
        <v>-5</v>
      </c>
      <c r="AI216" s="82">
        <f>IF(Consultas!AJ216&gt;700,8,IF(Consultas!AJ216&gt;500,4,IF(Consultas!AJ216&gt;200,-4,IF(Consultas!AJ216&gt;1,-15,-20))))</f>
        <v>-20</v>
      </c>
      <c r="AJ216" s="82">
        <f>IF(Consultas!AD216='Parâmetros'!$E$10,0,IF(Consultas!AD216&gt;'Parâmetros'!$A$30,12,IF(Consultas!AD216&gt;'Parâmetros'!$A$31,6,IF(Consultas!AD216&gt;'Parâmetros'!$A$32,0,IF(Consultas!AD216&gt;'Parâmetros'!$A$33,0,IF(Consultas!AD216&gt;'Parâmetros'!$A$34,-3,IF(Consultas!AD216&gt;'Parâmetros'!$A$35,-7,-1)))))))</f>
        <v>-1</v>
      </c>
      <c r="AK216" s="82">
        <f>IF(Consultas!AO216='Parâmetros'!$D$1,3,-3)</f>
        <v>-3</v>
      </c>
      <c r="AL216" s="82">
        <f>IF(Consultas!AP216='Parâmetros'!$D$1,5,-3)</f>
        <v>-3</v>
      </c>
      <c r="AM216" s="82">
        <f>IF(Consultas!AL216="N",-6,0)</f>
        <v>0</v>
      </c>
      <c r="AN216" s="82">
        <f>IF(Consultas!AM216="N",-10,0)</f>
        <v>0</v>
      </c>
      <c r="AO216" s="82">
        <f>IF(Consultas!AN216="S",4,-2)</f>
        <v>-2</v>
      </c>
      <c r="AP216" s="39"/>
      <c r="AQ216" s="165" t="str">
        <f>IF(Consultas!F216&gt;1,(SUM(F216:AO216)),"N/A")</f>
        <v>N/A</v>
      </c>
      <c r="AR216" s="78">
        <f>IF((Consultas!AD216&gt;'Parâmetros'!$A$31),"X",AJ216+Y216+V216+AC216)</f>
        <v>-9</v>
      </c>
      <c r="AS216" s="78">
        <f>IF((Consultas!AD216&gt;'Parâmetros'!$A$31),"X",(H216+I216+J216+Q216+T216+Y216+Z216+AJ216+AN216))</f>
        <v>-23</v>
      </c>
      <c r="AT216" s="78" t="str">
        <f>IF((Consultas!AD216&lt;'Parâmetros'!$A$31),"X",(AD216+AC216+AB216))</f>
        <v>X</v>
      </c>
      <c r="AU216" s="78">
        <f t="shared" si="1"/>
        <v>-23</v>
      </c>
      <c r="AV216" s="82" t="str">
        <f>IF(AQ216="N/A","N/A",IF(AQ216&gt;5,'Parâmetros'!$A$15,(IF(AU216=AR216,'Parâmetros'!$A$17,IF(AU216=AS216,'Parâmetros'!$A$16,'Parâmetros'!$A$14)))))</f>
        <v>N/A</v>
      </c>
      <c r="AW216" s="86" t="str">
        <f>IF(AQ216="N/A","N/A",IF(AV216='Parâmetros'!$A$15,'Parâmetros'!$C$15,(IF(AV216='Parâmetros'!$A$17,'Parâmetros'!$C$17,IF(AV216='Parâmetros'!$A$16,'Parâmetros'!$C$16,IF(AV216='Parâmetros'!$A$14,'Parâmetros'!$C$12))))))</f>
        <v>N/A</v>
      </c>
      <c r="AX216" s="82" t="b">
        <f>IF(Consultas!F216&gt;1,(IF(Consultas!F216&gt;5000,"SOLICITAR PED COMPRA","N/A")))</f>
        <v>0</v>
      </c>
      <c r="AY216" s="167" t="str">
        <f>IF(AND(Consultas!M216&lt;&gt;"S", Consultas!H216="S"), "CHECAGEM REVERSA", "N/A")</f>
        <v>N/A</v>
      </c>
      <c r="AZ216" s="167" t="str">
        <f>IF(Consultas!U216="N","PRECISA CORRIGIR END DIVERGENTE","N/A")</f>
        <v>N/A</v>
      </c>
    </row>
    <row r="217" ht="12.0" customHeight="1">
      <c r="A217" s="39" t="s">
        <v>90</v>
      </c>
      <c r="B217" s="82" t="str">
        <f>Consultas!B217</f>
        <v/>
      </c>
      <c r="C217" s="82" t="str">
        <f>Consultas!D217</f>
        <v/>
      </c>
      <c r="D217" s="96" t="str">
        <f>Consultas!E217</f>
        <v/>
      </c>
      <c r="E217" s="104" t="str">
        <f>IF(Consultas!AB217&gt;0,YEAR('Parâmetros'!$B$1)-YEAR(Consultas!AB217),"NA")</f>
        <v>NA</v>
      </c>
      <c r="F217" s="82">
        <f>IF(Consultas!F217&gt;'Parâmetros'!$B$2,-8,0)</f>
        <v>0</v>
      </c>
      <c r="G217" s="82">
        <f>IF(Consultas!H217='Parâmetros'!$E$1,100,0)</f>
        <v>0</v>
      </c>
      <c r="H217" s="82">
        <f>IF(Consultas!I217='Parâmetros'!$E$1,-4,12)</f>
        <v>12</v>
      </c>
      <c r="I217" s="82">
        <f>IF(Consultas!J217='Parâmetros'!$E$1,1,-13)</f>
        <v>-13</v>
      </c>
      <c r="J217" s="82">
        <f>IF(Consultas!K217='Parâmetros'!$E$1,2,-5)</f>
        <v>-5</v>
      </c>
      <c r="K217" s="82" t="str">
        <f>IF(Consultas!L217='Parâmetros'!$D$1,"SOLIC CONTRATO DE ENTREGA","N/A")</f>
        <v>N/A</v>
      </c>
      <c r="L217" s="82">
        <f>IF(Consultas!R217='Parâmetros'!$E$1,1,-3)</f>
        <v>-3</v>
      </c>
      <c r="M217" s="82" t="b">
        <f>IF(Consultas!S217&gt;1,(IF(Consultas!S217='Parâmetros'!$E$1,-3,9)))</f>
        <v>0</v>
      </c>
      <c r="N217" s="82">
        <f>IF(Consultas!T217="S",23,0)</f>
        <v>0</v>
      </c>
      <c r="O217" s="82">
        <f>IF(Consultas!U217='Parâmetros'!$E$1,-3,3)</f>
        <v>3</v>
      </c>
      <c r="P217" s="82">
        <f>IF(Consultas!V217='Parâmetros'!$E$1,-100,2)</f>
        <v>2</v>
      </c>
      <c r="Q217" s="82">
        <f>IF(Consultas!M217='Parâmetros'!$D$1,2,-9)</f>
        <v>-9</v>
      </c>
      <c r="R217" s="82">
        <f>IF(Consultas!N217="RJ",-12,0)</f>
        <v>0</v>
      </c>
      <c r="S217" s="82">
        <f>IF(Consultas!O217="-",-3,IF(Consultas!O217=0,-6,IF(Consultas!O217=5,0,IF(Consultas!O217=10,6))))</f>
        <v>-6</v>
      </c>
      <c r="T217" s="82">
        <f>IF(Consultas!M217="S",0,(IF(Consultas!P217="S",6,0)))</f>
        <v>0</v>
      </c>
      <c r="U217" s="82">
        <f>IF(Consultas!Q217&gt;97,9,IF(Consultas!Q217&gt;75,0,-7))</f>
        <v>-7</v>
      </c>
      <c r="V217" s="82">
        <f>IF(Consultas!W217='Parâmetros'!$E$1,1,-5)</f>
        <v>-5</v>
      </c>
      <c r="W217" s="82">
        <f>IF(Consultas!X217="S",3,-3)</f>
        <v>-3</v>
      </c>
      <c r="X217" s="82">
        <f>IF(Consultas!Y217="S",0,-7)</f>
        <v>-7</v>
      </c>
      <c r="Y217" s="82">
        <f>IF(Consultas!Z217='Parâmetros'!$E$1,2,-8)</f>
        <v>-8</v>
      </c>
      <c r="Z217" s="82">
        <f>IF(Consultas!AA217='Parâmetros'!$E$1,-15,1)</f>
        <v>1</v>
      </c>
      <c r="AA217" s="147" t="s">
        <v>140</v>
      </c>
      <c r="AB217" s="82" t="str">
        <f>IF(E217="NA","NA",IF(E217&gt;'Parâmetros'!$A$9,8,IF(E217&gt;'Parâmetros'!$A$8,4,IF(E217&gt;'Parâmetros'!$A$7,0,-6))))</f>
        <v>NA</v>
      </c>
      <c r="AC217" s="82">
        <f>IF(Consultas!AC217='Parâmetros'!$E$1,0,5)</f>
        <v>5</v>
      </c>
      <c r="AD217" s="82">
        <f>IF(Consultas!AH217='Parâmetros'!$D$1,-10,5)</f>
        <v>5</v>
      </c>
      <c r="AE217" s="82">
        <f>IF(Consultas!AI217&gt;(Consultas!F217*2),-10,0)</f>
        <v>0</v>
      </c>
      <c r="AF217" s="82" t="b">
        <f>IF(Consultas!AD217&gt;1,(IF(Consultas!AI217&gt;(Consultas!AD217),-20,4)))</f>
        <v>0</v>
      </c>
      <c r="AG217" s="82">
        <f>IF(Consultas!AG217='Parâmetros'!$E$1,0,-6)</f>
        <v>-6</v>
      </c>
      <c r="AH217" s="82">
        <f>IF(Consultas!AF217='Parâmetros'!$E$1,1,-5)</f>
        <v>-5</v>
      </c>
      <c r="AI217" s="82">
        <f>IF(Consultas!AJ217&gt;700,8,IF(Consultas!AJ217&gt;500,4,IF(Consultas!AJ217&gt;200,-4,IF(Consultas!AJ217&gt;1,-15,-20))))</f>
        <v>-20</v>
      </c>
      <c r="AJ217" s="82">
        <f>IF(Consultas!AD217='Parâmetros'!$E$10,0,IF(Consultas!AD217&gt;'Parâmetros'!$A$30,12,IF(Consultas!AD217&gt;'Parâmetros'!$A$31,6,IF(Consultas!AD217&gt;'Parâmetros'!$A$32,0,IF(Consultas!AD217&gt;'Parâmetros'!$A$33,0,IF(Consultas!AD217&gt;'Parâmetros'!$A$34,-3,IF(Consultas!AD217&gt;'Parâmetros'!$A$35,-7,-1)))))))</f>
        <v>-1</v>
      </c>
      <c r="AK217" s="82">
        <f>IF(Consultas!AO217='Parâmetros'!$D$1,3,-3)</f>
        <v>-3</v>
      </c>
      <c r="AL217" s="82">
        <f>IF(Consultas!AP217='Parâmetros'!$D$1,5,-3)</f>
        <v>-3</v>
      </c>
      <c r="AM217" s="82">
        <f>IF(Consultas!AL217="N",-6,0)</f>
        <v>0</v>
      </c>
      <c r="AN217" s="82">
        <f>IF(Consultas!AM217="N",-10,0)</f>
        <v>0</v>
      </c>
      <c r="AO217" s="82">
        <f>IF(Consultas!AN217="S",4,-2)</f>
        <v>-2</v>
      </c>
      <c r="AP217" s="39"/>
      <c r="AQ217" s="165" t="str">
        <f>IF(Consultas!F217&gt;1,(SUM(F217:AO217)),"N/A")</f>
        <v>N/A</v>
      </c>
      <c r="AR217" s="78">
        <f>IF((Consultas!AD217&gt;'Parâmetros'!$A$31),"X",AJ217+Y217+V217+AC217)</f>
        <v>-9</v>
      </c>
      <c r="AS217" s="78">
        <f>IF((Consultas!AD217&gt;'Parâmetros'!$A$31),"X",(H217+I217+J217+Q217+T217+Y217+Z217+AJ217+AN217))</f>
        <v>-23</v>
      </c>
      <c r="AT217" s="78" t="str">
        <f>IF((Consultas!AD217&lt;'Parâmetros'!$A$31),"X",(AD217+AC217+AB217))</f>
        <v>X</v>
      </c>
      <c r="AU217" s="78">
        <f t="shared" si="1"/>
        <v>-23</v>
      </c>
      <c r="AV217" s="82" t="str">
        <f>IF(AQ217="N/A","N/A",IF(AQ217&gt;5,'Parâmetros'!$A$15,(IF(AU217=AR217,'Parâmetros'!$A$17,IF(AU217=AS217,'Parâmetros'!$A$16,'Parâmetros'!$A$14)))))</f>
        <v>N/A</v>
      </c>
      <c r="AW217" s="86" t="str">
        <f>IF(AQ217="N/A","N/A",IF(AV217='Parâmetros'!$A$15,'Parâmetros'!$C$15,(IF(AV217='Parâmetros'!$A$17,'Parâmetros'!$C$17,IF(AV217='Parâmetros'!$A$16,'Parâmetros'!$C$16,IF(AV217='Parâmetros'!$A$14,'Parâmetros'!$C$12))))))</f>
        <v>N/A</v>
      </c>
      <c r="AX217" s="82" t="b">
        <f>IF(Consultas!F217&gt;1,(IF(Consultas!F217&gt;5000,"SOLICITAR PED COMPRA","N/A")))</f>
        <v>0</v>
      </c>
      <c r="AY217" s="167" t="str">
        <f>IF(AND(Consultas!M217&lt;&gt;"S", Consultas!H217="S"), "CHECAGEM REVERSA", "N/A")</f>
        <v>N/A</v>
      </c>
      <c r="AZ217" s="167" t="str">
        <f>IF(Consultas!U217="N","PRECISA CORRIGIR END DIVERGENTE","N/A")</f>
        <v>N/A</v>
      </c>
    </row>
    <row r="218" ht="12.0" customHeight="1">
      <c r="A218" s="39" t="s">
        <v>90</v>
      </c>
      <c r="B218" s="82" t="str">
        <f>Consultas!B218</f>
        <v/>
      </c>
      <c r="C218" s="82" t="str">
        <f>Consultas!D218</f>
        <v/>
      </c>
      <c r="D218" s="96" t="str">
        <f>Consultas!E218</f>
        <v/>
      </c>
      <c r="E218" s="104" t="str">
        <f>IF(Consultas!AB218&gt;0,YEAR('Parâmetros'!$B$1)-YEAR(Consultas!AB218),"NA")</f>
        <v>NA</v>
      </c>
      <c r="F218" s="82">
        <f>IF(Consultas!F218&gt;'Parâmetros'!$B$2,-8,0)</f>
        <v>0</v>
      </c>
      <c r="G218" s="82">
        <f>IF(Consultas!H218='Parâmetros'!$E$1,100,0)</f>
        <v>0</v>
      </c>
      <c r="H218" s="82">
        <f>IF(Consultas!I218='Parâmetros'!$E$1,-4,12)</f>
        <v>12</v>
      </c>
      <c r="I218" s="82">
        <f>IF(Consultas!J218='Parâmetros'!$E$1,1,-13)</f>
        <v>-13</v>
      </c>
      <c r="J218" s="82">
        <f>IF(Consultas!K218='Parâmetros'!$E$1,2,-5)</f>
        <v>-5</v>
      </c>
      <c r="K218" s="82" t="str">
        <f>IF(Consultas!L218='Parâmetros'!$D$1,"SOLIC CONTRATO DE ENTREGA","N/A")</f>
        <v>N/A</v>
      </c>
      <c r="L218" s="82">
        <f>IF(Consultas!R218='Parâmetros'!$E$1,1,-3)</f>
        <v>-3</v>
      </c>
      <c r="M218" s="82" t="b">
        <f>IF(Consultas!S218&gt;1,(IF(Consultas!S218='Parâmetros'!$E$1,-3,9)))</f>
        <v>0</v>
      </c>
      <c r="N218" s="82">
        <f>IF(Consultas!T218="S",23,0)</f>
        <v>0</v>
      </c>
      <c r="O218" s="82">
        <f>IF(Consultas!U218='Parâmetros'!$E$1,-3,3)</f>
        <v>3</v>
      </c>
      <c r="P218" s="82">
        <f>IF(Consultas!V218='Parâmetros'!$E$1,-100,2)</f>
        <v>2</v>
      </c>
      <c r="Q218" s="82">
        <f>IF(Consultas!M218='Parâmetros'!$D$1,2,-9)</f>
        <v>-9</v>
      </c>
      <c r="R218" s="82">
        <f>IF(Consultas!N218="RJ",-12,0)</f>
        <v>0</v>
      </c>
      <c r="S218" s="82">
        <f>IF(Consultas!O218="-",-3,IF(Consultas!O218=0,-6,IF(Consultas!O218=5,0,IF(Consultas!O218=10,6))))</f>
        <v>-6</v>
      </c>
      <c r="T218" s="82">
        <f>IF(Consultas!M218="S",0,(IF(Consultas!P218="S",6,0)))</f>
        <v>0</v>
      </c>
      <c r="U218" s="82">
        <f>IF(Consultas!Q218&gt;97,9,IF(Consultas!Q218&gt;75,0,-7))</f>
        <v>-7</v>
      </c>
      <c r="V218" s="82">
        <f>IF(Consultas!W218='Parâmetros'!$E$1,1,-5)</f>
        <v>-5</v>
      </c>
      <c r="W218" s="82">
        <f>IF(Consultas!X218="S",3,-3)</f>
        <v>-3</v>
      </c>
      <c r="X218" s="82">
        <f>IF(Consultas!Y218="S",0,-7)</f>
        <v>-7</v>
      </c>
      <c r="Y218" s="82">
        <f>IF(Consultas!Z218='Parâmetros'!$E$1,2,-8)</f>
        <v>-8</v>
      </c>
      <c r="Z218" s="82">
        <f>IF(Consultas!AA218='Parâmetros'!$E$1,-15,1)</f>
        <v>1</v>
      </c>
      <c r="AA218" s="147" t="s">
        <v>140</v>
      </c>
      <c r="AB218" s="82" t="str">
        <f>IF(E218="NA","NA",IF(E218&gt;'Parâmetros'!$A$9,8,IF(E218&gt;'Parâmetros'!$A$8,4,IF(E218&gt;'Parâmetros'!$A$7,0,-6))))</f>
        <v>NA</v>
      </c>
      <c r="AC218" s="82">
        <f>IF(Consultas!AC218='Parâmetros'!$E$1,0,5)</f>
        <v>5</v>
      </c>
      <c r="AD218" s="82">
        <f>IF(Consultas!AH218='Parâmetros'!$D$1,-10,5)</f>
        <v>5</v>
      </c>
      <c r="AE218" s="82">
        <f>IF(Consultas!AI218&gt;(Consultas!F218*2),-10,0)</f>
        <v>0</v>
      </c>
      <c r="AF218" s="82" t="b">
        <f>IF(Consultas!AD218&gt;1,(IF(Consultas!AI218&gt;(Consultas!AD218),-20,4)))</f>
        <v>0</v>
      </c>
      <c r="AG218" s="82">
        <f>IF(Consultas!AG218='Parâmetros'!$E$1,0,-6)</f>
        <v>-6</v>
      </c>
      <c r="AH218" s="82">
        <f>IF(Consultas!AF218='Parâmetros'!$E$1,1,-5)</f>
        <v>-5</v>
      </c>
      <c r="AI218" s="82">
        <f>IF(Consultas!AJ218&gt;700,8,IF(Consultas!AJ218&gt;500,4,IF(Consultas!AJ218&gt;200,-4,IF(Consultas!AJ218&gt;1,-15,-20))))</f>
        <v>-20</v>
      </c>
      <c r="AJ218" s="82">
        <f>IF(Consultas!AD218='Parâmetros'!$E$10,0,IF(Consultas!AD218&gt;'Parâmetros'!$A$30,12,IF(Consultas!AD218&gt;'Parâmetros'!$A$31,6,IF(Consultas!AD218&gt;'Parâmetros'!$A$32,0,IF(Consultas!AD218&gt;'Parâmetros'!$A$33,0,IF(Consultas!AD218&gt;'Parâmetros'!$A$34,-3,IF(Consultas!AD218&gt;'Parâmetros'!$A$35,-7,-1)))))))</f>
        <v>-1</v>
      </c>
      <c r="AK218" s="82">
        <f>IF(Consultas!AO218='Parâmetros'!$D$1,3,-3)</f>
        <v>-3</v>
      </c>
      <c r="AL218" s="82">
        <f>IF(Consultas!AP218='Parâmetros'!$D$1,5,-3)</f>
        <v>-3</v>
      </c>
      <c r="AM218" s="82">
        <f>IF(Consultas!AL218="N",-6,0)</f>
        <v>0</v>
      </c>
      <c r="AN218" s="82">
        <f>IF(Consultas!AM218="N",-10,0)</f>
        <v>0</v>
      </c>
      <c r="AO218" s="82">
        <f>IF(Consultas!AN218="S",4,-2)</f>
        <v>-2</v>
      </c>
      <c r="AP218" s="39"/>
      <c r="AQ218" s="165" t="str">
        <f>IF(Consultas!F218&gt;1,(SUM(F218:AO218)),"N/A")</f>
        <v>N/A</v>
      </c>
      <c r="AR218" s="78">
        <f>IF((Consultas!AD218&gt;'Parâmetros'!$A$31),"X",AJ218+Y218+V218+AC218)</f>
        <v>-9</v>
      </c>
      <c r="AS218" s="78">
        <f>IF((Consultas!AD218&gt;'Parâmetros'!$A$31),"X",(H218+I218+J218+Q218+T218+Y218+Z218+AJ218+AN218))</f>
        <v>-23</v>
      </c>
      <c r="AT218" s="78" t="str">
        <f>IF((Consultas!AD218&lt;'Parâmetros'!$A$31),"X",(AD218+AC218+AB218))</f>
        <v>X</v>
      </c>
      <c r="AU218" s="78">
        <f t="shared" si="1"/>
        <v>-23</v>
      </c>
      <c r="AV218" s="82" t="str">
        <f>IF(AQ218="N/A","N/A",IF(AQ218&gt;5,'Parâmetros'!$A$15,(IF(AU218=AR218,'Parâmetros'!$A$17,IF(AU218=AS218,'Parâmetros'!$A$16,'Parâmetros'!$A$14)))))</f>
        <v>N/A</v>
      </c>
      <c r="AW218" s="86" t="str">
        <f>IF(AQ218="N/A","N/A",IF(AV218='Parâmetros'!$A$15,'Parâmetros'!$C$15,(IF(AV218='Parâmetros'!$A$17,'Parâmetros'!$C$17,IF(AV218='Parâmetros'!$A$16,'Parâmetros'!$C$16,IF(AV218='Parâmetros'!$A$14,'Parâmetros'!$C$12))))))</f>
        <v>N/A</v>
      </c>
      <c r="AX218" s="82" t="b">
        <f>IF(Consultas!F218&gt;1,(IF(Consultas!F218&gt;5000,"SOLICITAR PED COMPRA","N/A")))</f>
        <v>0</v>
      </c>
      <c r="AY218" s="167" t="str">
        <f>IF(AND(Consultas!M218&lt;&gt;"S", Consultas!H218="S"), "CHECAGEM REVERSA", "N/A")</f>
        <v>N/A</v>
      </c>
      <c r="AZ218" s="167" t="str">
        <f>IF(Consultas!U218="N","PRECISA CORRIGIR END DIVERGENTE","N/A")</f>
        <v>N/A</v>
      </c>
    </row>
    <row r="219" ht="12.0" customHeight="1">
      <c r="A219" s="39" t="s">
        <v>90</v>
      </c>
      <c r="B219" s="82" t="str">
        <f>Consultas!B219</f>
        <v/>
      </c>
      <c r="C219" s="82" t="str">
        <f>Consultas!D219</f>
        <v/>
      </c>
      <c r="D219" s="96" t="str">
        <f>Consultas!E219</f>
        <v/>
      </c>
      <c r="E219" s="104" t="str">
        <f>IF(Consultas!AB219&gt;0,YEAR('Parâmetros'!$B$1)-YEAR(Consultas!AB219),"NA")</f>
        <v>NA</v>
      </c>
      <c r="F219" s="82">
        <f>IF(Consultas!F219&gt;'Parâmetros'!$B$2,-8,0)</f>
        <v>0</v>
      </c>
      <c r="G219" s="82">
        <f>IF(Consultas!H219='Parâmetros'!$E$1,100,0)</f>
        <v>0</v>
      </c>
      <c r="H219" s="82">
        <f>IF(Consultas!I219='Parâmetros'!$E$1,-4,12)</f>
        <v>12</v>
      </c>
      <c r="I219" s="82">
        <f>IF(Consultas!J219='Parâmetros'!$E$1,1,-13)</f>
        <v>-13</v>
      </c>
      <c r="J219" s="82">
        <f>IF(Consultas!K219='Parâmetros'!$E$1,2,-5)</f>
        <v>-5</v>
      </c>
      <c r="K219" s="82" t="str">
        <f>IF(Consultas!L219='Parâmetros'!$D$1,"SOLIC CONTRATO DE ENTREGA","N/A")</f>
        <v>N/A</v>
      </c>
      <c r="L219" s="82">
        <f>IF(Consultas!R219='Parâmetros'!$E$1,1,-3)</f>
        <v>-3</v>
      </c>
      <c r="M219" s="82" t="b">
        <f>IF(Consultas!S219&gt;1,(IF(Consultas!S219='Parâmetros'!$E$1,-3,9)))</f>
        <v>0</v>
      </c>
      <c r="N219" s="82">
        <f>IF(Consultas!T219="S",23,0)</f>
        <v>0</v>
      </c>
      <c r="O219" s="82">
        <f>IF(Consultas!U219='Parâmetros'!$E$1,-3,3)</f>
        <v>3</v>
      </c>
      <c r="P219" s="82">
        <f>IF(Consultas!V219='Parâmetros'!$E$1,-100,2)</f>
        <v>2</v>
      </c>
      <c r="Q219" s="82">
        <f>IF(Consultas!M219='Parâmetros'!$D$1,2,-9)</f>
        <v>-9</v>
      </c>
      <c r="R219" s="82">
        <f>IF(Consultas!N219="RJ",-12,0)</f>
        <v>0</v>
      </c>
      <c r="S219" s="82">
        <f>IF(Consultas!O219="-",-3,IF(Consultas!O219=0,-6,IF(Consultas!O219=5,0,IF(Consultas!O219=10,6))))</f>
        <v>-6</v>
      </c>
      <c r="T219" s="82">
        <f>IF(Consultas!M219="S",0,(IF(Consultas!P219="S",6,0)))</f>
        <v>0</v>
      </c>
      <c r="U219" s="82">
        <f>IF(Consultas!Q219&gt;97,9,IF(Consultas!Q219&gt;75,0,-7))</f>
        <v>-7</v>
      </c>
      <c r="V219" s="82">
        <f>IF(Consultas!W219='Parâmetros'!$E$1,1,-5)</f>
        <v>-5</v>
      </c>
      <c r="W219" s="82">
        <f>IF(Consultas!X219="S",3,-3)</f>
        <v>-3</v>
      </c>
      <c r="X219" s="82">
        <f>IF(Consultas!Y219="S",0,-7)</f>
        <v>-7</v>
      </c>
      <c r="Y219" s="82">
        <f>IF(Consultas!Z219='Parâmetros'!$E$1,2,-8)</f>
        <v>-8</v>
      </c>
      <c r="Z219" s="82">
        <f>IF(Consultas!AA219='Parâmetros'!$E$1,-15,1)</f>
        <v>1</v>
      </c>
      <c r="AA219" s="147" t="s">
        <v>140</v>
      </c>
      <c r="AB219" s="82" t="str">
        <f>IF(E219="NA","NA",IF(E219&gt;'Parâmetros'!$A$9,8,IF(E219&gt;'Parâmetros'!$A$8,4,IF(E219&gt;'Parâmetros'!$A$7,0,-6))))</f>
        <v>NA</v>
      </c>
      <c r="AC219" s="82">
        <f>IF(Consultas!AC219='Parâmetros'!$E$1,0,5)</f>
        <v>5</v>
      </c>
      <c r="AD219" s="82">
        <f>IF(Consultas!AH219='Parâmetros'!$D$1,-10,5)</f>
        <v>5</v>
      </c>
      <c r="AE219" s="82">
        <f>IF(Consultas!AI219&gt;(Consultas!F219*2),-10,0)</f>
        <v>0</v>
      </c>
      <c r="AF219" s="82" t="b">
        <f>IF(Consultas!AD219&gt;1,(IF(Consultas!AI219&gt;(Consultas!AD219),-20,4)))</f>
        <v>0</v>
      </c>
      <c r="AG219" s="82">
        <f>IF(Consultas!AG219='Parâmetros'!$E$1,0,-6)</f>
        <v>-6</v>
      </c>
      <c r="AH219" s="82">
        <f>IF(Consultas!AF219='Parâmetros'!$E$1,1,-5)</f>
        <v>-5</v>
      </c>
      <c r="AI219" s="82">
        <f>IF(Consultas!AJ219&gt;700,8,IF(Consultas!AJ219&gt;500,4,IF(Consultas!AJ219&gt;200,-4,IF(Consultas!AJ219&gt;1,-15,-20))))</f>
        <v>-20</v>
      </c>
      <c r="AJ219" s="82">
        <f>IF(Consultas!AD219='Parâmetros'!$E$10,0,IF(Consultas!AD219&gt;'Parâmetros'!$A$30,12,IF(Consultas!AD219&gt;'Parâmetros'!$A$31,6,IF(Consultas!AD219&gt;'Parâmetros'!$A$32,0,IF(Consultas!AD219&gt;'Parâmetros'!$A$33,0,IF(Consultas!AD219&gt;'Parâmetros'!$A$34,-3,IF(Consultas!AD219&gt;'Parâmetros'!$A$35,-7,-1)))))))</f>
        <v>-1</v>
      </c>
      <c r="AK219" s="82">
        <f>IF(Consultas!AO219='Parâmetros'!$D$1,3,-3)</f>
        <v>-3</v>
      </c>
      <c r="AL219" s="82">
        <f>IF(Consultas!AP219='Parâmetros'!$D$1,5,-3)</f>
        <v>-3</v>
      </c>
      <c r="AM219" s="82">
        <f>IF(Consultas!AL219="N",-6,0)</f>
        <v>0</v>
      </c>
      <c r="AN219" s="82">
        <f>IF(Consultas!AM219="N",-10,0)</f>
        <v>0</v>
      </c>
      <c r="AO219" s="82">
        <f>IF(Consultas!AN219="S",4,-2)</f>
        <v>-2</v>
      </c>
      <c r="AP219" s="39"/>
      <c r="AQ219" s="165" t="str">
        <f>IF(Consultas!F219&gt;1,(SUM(F219:AO219)),"N/A")</f>
        <v>N/A</v>
      </c>
      <c r="AR219" s="78">
        <f>IF((Consultas!AD219&gt;'Parâmetros'!$A$31),"X",AJ219+Y219+V219+AC219)</f>
        <v>-9</v>
      </c>
      <c r="AS219" s="78">
        <f>IF((Consultas!AD219&gt;'Parâmetros'!$A$31),"X",(H219+I219+J219+Q219+T219+Y219+Z219+AJ219+AN219))</f>
        <v>-23</v>
      </c>
      <c r="AT219" s="78" t="str">
        <f>IF((Consultas!AD219&lt;'Parâmetros'!$A$31),"X",(AD219+AC219+AB219))</f>
        <v>X</v>
      </c>
      <c r="AU219" s="78">
        <f t="shared" si="1"/>
        <v>-23</v>
      </c>
      <c r="AV219" s="82" t="str">
        <f>IF(AQ219="N/A","N/A",IF(AQ219&gt;5,'Parâmetros'!$A$15,(IF(AU219=AR219,'Parâmetros'!$A$17,IF(AU219=AS219,'Parâmetros'!$A$16,'Parâmetros'!$A$14)))))</f>
        <v>N/A</v>
      </c>
      <c r="AW219" s="86" t="str">
        <f>IF(AQ219="N/A","N/A",IF(AV219='Parâmetros'!$A$15,'Parâmetros'!$C$15,(IF(AV219='Parâmetros'!$A$17,'Parâmetros'!$C$17,IF(AV219='Parâmetros'!$A$16,'Parâmetros'!$C$16,IF(AV219='Parâmetros'!$A$14,'Parâmetros'!$C$12))))))</f>
        <v>N/A</v>
      </c>
      <c r="AX219" s="82" t="b">
        <f>IF(Consultas!F219&gt;1,(IF(Consultas!F219&gt;5000,"SOLICITAR PED COMPRA","N/A")))</f>
        <v>0</v>
      </c>
      <c r="AY219" s="167" t="str">
        <f>IF(AND(Consultas!M219&lt;&gt;"S", Consultas!H219="S"), "CHECAGEM REVERSA", "N/A")</f>
        <v>N/A</v>
      </c>
      <c r="AZ219" s="167" t="str">
        <f>IF(Consultas!U219="N","PRECISA CORRIGIR END DIVERGENTE","N/A")</f>
        <v>N/A</v>
      </c>
    </row>
    <row r="220" ht="12.0" customHeight="1">
      <c r="A220" s="39" t="s">
        <v>90</v>
      </c>
      <c r="B220" s="82" t="str">
        <f>Consultas!B220</f>
        <v/>
      </c>
      <c r="C220" s="82" t="str">
        <f>Consultas!D220</f>
        <v/>
      </c>
      <c r="D220" s="96" t="str">
        <f>Consultas!E220</f>
        <v/>
      </c>
      <c r="E220" s="104" t="str">
        <f>IF(Consultas!AB220&gt;0,YEAR('Parâmetros'!$B$1)-YEAR(Consultas!AB220),"NA")</f>
        <v>NA</v>
      </c>
      <c r="F220" s="82">
        <f>IF(Consultas!F220&gt;'Parâmetros'!$B$2,-8,0)</f>
        <v>0</v>
      </c>
      <c r="G220" s="82">
        <f>IF(Consultas!H220='Parâmetros'!$E$1,100,0)</f>
        <v>0</v>
      </c>
      <c r="H220" s="82">
        <f>IF(Consultas!I220='Parâmetros'!$E$1,-4,12)</f>
        <v>12</v>
      </c>
      <c r="I220" s="82">
        <f>IF(Consultas!J220='Parâmetros'!$E$1,1,-13)</f>
        <v>-13</v>
      </c>
      <c r="J220" s="82">
        <f>IF(Consultas!K220='Parâmetros'!$E$1,2,-5)</f>
        <v>-5</v>
      </c>
      <c r="K220" s="82" t="str">
        <f>IF(Consultas!L220='Parâmetros'!$D$1,"SOLIC CONTRATO DE ENTREGA","N/A")</f>
        <v>N/A</v>
      </c>
      <c r="L220" s="82">
        <f>IF(Consultas!R220='Parâmetros'!$E$1,1,-3)</f>
        <v>-3</v>
      </c>
      <c r="M220" s="82" t="b">
        <f>IF(Consultas!S220&gt;1,(IF(Consultas!S220='Parâmetros'!$E$1,-3,9)))</f>
        <v>0</v>
      </c>
      <c r="N220" s="82">
        <f>IF(Consultas!T220="S",23,0)</f>
        <v>0</v>
      </c>
      <c r="O220" s="82">
        <f>IF(Consultas!U220='Parâmetros'!$E$1,-3,3)</f>
        <v>3</v>
      </c>
      <c r="P220" s="82">
        <f>IF(Consultas!V220='Parâmetros'!$E$1,-100,2)</f>
        <v>2</v>
      </c>
      <c r="Q220" s="82">
        <f>IF(Consultas!M220='Parâmetros'!$D$1,2,-9)</f>
        <v>-9</v>
      </c>
      <c r="R220" s="82">
        <f>IF(Consultas!N220="RJ",-12,0)</f>
        <v>0</v>
      </c>
      <c r="S220" s="82">
        <f>IF(Consultas!O220="-",-3,IF(Consultas!O220=0,-6,IF(Consultas!O220=5,0,IF(Consultas!O220=10,6))))</f>
        <v>-6</v>
      </c>
      <c r="T220" s="82">
        <f>IF(Consultas!M220="S",0,(IF(Consultas!P220="S",6,0)))</f>
        <v>0</v>
      </c>
      <c r="U220" s="82">
        <f>IF(Consultas!Q220&gt;97,9,IF(Consultas!Q220&gt;75,0,-7))</f>
        <v>-7</v>
      </c>
      <c r="V220" s="82">
        <f>IF(Consultas!W220='Parâmetros'!$E$1,1,-5)</f>
        <v>-5</v>
      </c>
      <c r="W220" s="82">
        <f>IF(Consultas!X220="S",3,-3)</f>
        <v>-3</v>
      </c>
      <c r="X220" s="82">
        <f>IF(Consultas!Y220="S",0,-7)</f>
        <v>-7</v>
      </c>
      <c r="Y220" s="82">
        <f>IF(Consultas!Z220='Parâmetros'!$E$1,2,-8)</f>
        <v>-8</v>
      </c>
      <c r="Z220" s="82">
        <f>IF(Consultas!AA220='Parâmetros'!$E$1,-15,1)</f>
        <v>1</v>
      </c>
      <c r="AA220" s="147" t="s">
        <v>140</v>
      </c>
      <c r="AB220" s="82" t="str">
        <f>IF(E220="NA","NA",IF(E220&gt;'Parâmetros'!$A$9,8,IF(E220&gt;'Parâmetros'!$A$8,4,IF(E220&gt;'Parâmetros'!$A$7,0,-6))))</f>
        <v>NA</v>
      </c>
      <c r="AC220" s="82">
        <f>IF(Consultas!AC220='Parâmetros'!$E$1,0,5)</f>
        <v>5</v>
      </c>
      <c r="AD220" s="82">
        <f>IF(Consultas!AH220='Parâmetros'!$D$1,-10,5)</f>
        <v>5</v>
      </c>
      <c r="AE220" s="82">
        <f>IF(Consultas!AI220&gt;(Consultas!F220*2),-10,0)</f>
        <v>0</v>
      </c>
      <c r="AF220" s="82" t="b">
        <f>IF(Consultas!AD220&gt;1,(IF(Consultas!AI220&gt;(Consultas!AD220),-20,4)))</f>
        <v>0</v>
      </c>
      <c r="AG220" s="82">
        <f>IF(Consultas!AG220='Parâmetros'!$E$1,0,-6)</f>
        <v>-6</v>
      </c>
      <c r="AH220" s="82">
        <f>IF(Consultas!AF220='Parâmetros'!$E$1,1,-5)</f>
        <v>-5</v>
      </c>
      <c r="AI220" s="82">
        <f>IF(Consultas!AJ220&gt;700,8,IF(Consultas!AJ220&gt;500,4,IF(Consultas!AJ220&gt;200,-4,IF(Consultas!AJ220&gt;1,-15,-20))))</f>
        <v>-20</v>
      </c>
      <c r="AJ220" s="82">
        <f>IF(Consultas!AD220='Parâmetros'!$E$10,0,IF(Consultas!AD220&gt;'Parâmetros'!$A$30,12,IF(Consultas!AD220&gt;'Parâmetros'!$A$31,6,IF(Consultas!AD220&gt;'Parâmetros'!$A$32,0,IF(Consultas!AD220&gt;'Parâmetros'!$A$33,0,IF(Consultas!AD220&gt;'Parâmetros'!$A$34,-3,IF(Consultas!AD220&gt;'Parâmetros'!$A$35,-7,-1)))))))</f>
        <v>-1</v>
      </c>
      <c r="AK220" s="82">
        <f>IF(Consultas!AO220='Parâmetros'!$D$1,3,-3)</f>
        <v>-3</v>
      </c>
      <c r="AL220" s="82">
        <f>IF(Consultas!AP220='Parâmetros'!$D$1,5,-3)</f>
        <v>-3</v>
      </c>
      <c r="AM220" s="82">
        <f>IF(Consultas!AL220="N",-6,0)</f>
        <v>0</v>
      </c>
      <c r="AN220" s="82">
        <f>IF(Consultas!AM220="N",-10,0)</f>
        <v>0</v>
      </c>
      <c r="AO220" s="82">
        <f>IF(Consultas!AN220="S",4,-2)</f>
        <v>-2</v>
      </c>
      <c r="AP220" s="39"/>
      <c r="AQ220" s="165" t="str">
        <f>IF(Consultas!F220&gt;1,(SUM(F220:AO220)),"N/A")</f>
        <v>N/A</v>
      </c>
      <c r="AR220" s="78">
        <f>IF((Consultas!AD220&gt;'Parâmetros'!$A$31),"X",AJ220+Y220+V220+AC220)</f>
        <v>-9</v>
      </c>
      <c r="AS220" s="78">
        <f>IF((Consultas!AD220&gt;'Parâmetros'!$A$31),"X",(H220+I220+J220+Q220+T220+Y220+Z220+AJ220+AN220))</f>
        <v>-23</v>
      </c>
      <c r="AT220" s="78" t="str">
        <f>IF((Consultas!AD220&lt;'Parâmetros'!$A$31),"X",(AD220+AC220+AB220))</f>
        <v>X</v>
      </c>
      <c r="AU220" s="78">
        <f t="shared" si="1"/>
        <v>-23</v>
      </c>
      <c r="AV220" s="82" t="str">
        <f>IF(AQ220="N/A","N/A",IF(AQ220&gt;5,'Parâmetros'!$A$15,(IF(AU220=AR220,'Parâmetros'!$A$17,IF(AU220=AS220,'Parâmetros'!$A$16,'Parâmetros'!$A$14)))))</f>
        <v>N/A</v>
      </c>
      <c r="AW220" s="86" t="str">
        <f>IF(AQ220="N/A","N/A",IF(AV220='Parâmetros'!$A$15,'Parâmetros'!$C$15,(IF(AV220='Parâmetros'!$A$17,'Parâmetros'!$C$17,IF(AV220='Parâmetros'!$A$16,'Parâmetros'!$C$16,IF(AV220='Parâmetros'!$A$14,'Parâmetros'!$C$12))))))</f>
        <v>N/A</v>
      </c>
      <c r="AX220" s="82" t="b">
        <f>IF(Consultas!F220&gt;1,(IF(Consultas!F220&gt;5000,"SOLICITAR PED COMPRA","N/A")))</f>
        <v>0</v>
      </c>
      <c r="AY220" s="167" t="str">
        <f>IF(AND(Consultas!M220&lt;&gt;"S", Consultas!H220="S"), "CHECAGEM REVERSA", "N/A")</f>
        <v>N/A</v>
      </c>
      <c r="AZ220" s="167" t="str">
        <f>IF(Consultas!U220="N","PRECISA CORRIGIR END DIVERGENTE","N/A")</f>
        <v>N/A</v>
      </c>
    </row>
    <row r="221" ht="12.0" customHeight="1">
      <c r="A221" s="39" t="s">
        <v>90</v>
      </c>
      <c r="B221" s="82" t="str">
        <f>Consultas!B221</f>
        <v/>
      </c>
      <c r="C221" s="82" t="str">
        <f>Consultas!D221</f>
        <v/>
      </c>
      <c r="D221" s="96" t="str">
        <f>Consultas!E221</f>
        <v/>
      </c>
      <c r="E221" s="104" t="str">
        <f>IF(Consultas!AB221&gt;0,YEAR('Parâmetros'!$B$1)-YEAR(Consultas!AB221),"NA")</f>
        <v>NA</v>
      </c>
      <c r="F221" s="82">
        <f>IF(Consultas!F221&gt;'Parâmetros'!$B$2,-8,0)</f>
        <v>0</v>
      </c>
      <c r="G221" s="82">
        <f>IF(Consultas!H221='Parâmetros'!$E$1,100,0)</f>
        <v>0</v>
      </c>
      <c r="H221" s="82">
        <f>IF(Consultas!I221='Parâmetros'!$E$1,-4,12)</f>
        <v>12</v>
      </c>
      <c r="I221" s="82">
        <f>IF(Consultas!J221='Parâmetros'!$E$1,1,-13)</f>
        <v>-13</v>
      </c>
      <c r="J221" s="82">
        <f>IF(Consultas!K221='Parâmetros'!$E$1,2,-5)</f>
        <v>-5</v>
      </c>
      <c r="K221" s="82" t="str">
        <f>IF(Consultas!L221='Parâmetros'!$D$1,"SOLIC CONTRATO DE ENTREGA","N/A")</f>
        <v>N/A</v>
      </c>
      <c r="L221" s="82">
        <f>IF(Consultas!R221='Parâmetros'!$E$1,1,-3)</f>
        <v>-3</v>
      </c>
      <c r="M221" s="82" t="b">
        <f>IF(Consultas!S221&gt;1,(IF(Consultas!S221='Parâmetros'!$E$1,-3,9)))</f>
        <v>0</v>
      </c>
      <c r="N221" s="82">
        <f>IF(Consultas!T221="S",23,0)</f>
        <v>0</v>
      </c>
      <c r="O221" s="82">
        <f>IF(Consultas!U221='Parâmetros'!$E$1,-3,3)</f>
        <v>3</v>
      </c>
      <c r="P221" s="82">
        <f>IF(Consultas!V221='Parâmetros'!$E$1,-100,2)</f>
        <v>2</v>
      </c>
      <c r="Q221" s="82">
        <f>IF(Consultas!M221='Parâmetros'!$D$1,2,-9)</f>
        <v>-9</v>
      </c>
      <c r="R221" s="82">
        <f>IF(Consultas!N221="RJ",-12,0)</f>
        <v>0</v>
      </c>
      <c r="S221" s="82">
        <f>IF(Consultas!O221="-",-3,IF(Consultas!O221=0,-6,IF(Consultas!O221=5,0,IF(Consultas!O221=10,6))))</f>
        <v>-6</v>
      </c>
      <c r="T221" s="82">
        <f>IF(Consultas!M221="S",0,(IF(Consultas!P221="S",6,0)))</f>
        <v>0</v>
      </c>
      <c r="U221" s="82">
        <f>IF(Consultas!Q221&gt;97,9,IF(Consultas!Q221&gt;75,0,-7))</f>
        <v>-7</v>
      </c>
      <c r="V221" s="82">
        <f>IF(Consultas!W221='Parâmetros'!$E$1,1,-5)</f>
        <v>-5</v>
      </c>
      <c r="W221" s="82">
        <f>IF(Consultas!X221="S",3,-3)</f>
        <v>-3</v>
      </c>
      <c r="X221" s="82">
        <f>IF(Consultas!Y221="S",0,-7)</f>
        <v>-7</v>
      </c>
      <c r="Y221" s="82">
        <f>IF(Consultas!Z221='Parâmetros'!$E$1,2,-8)</f>
        <v>-8</v>
      </c>
      <c r="Z221" s="82">
        <f>IF(Consultas!AA221='Parâmetros'!$E$1,-15,1)</f>
        <v>1</v>
      </c>
      <c r="AA221" s="147" t="s">
        <v>140</v>
      </c>
      <c r="AB221" s="82" t="str">
        <f>IF(E221="NA","NA",IF(E221&gt;'Parâmetros'!$A$9,8,IF(E221&gt;'Parâmetros'!$A$8,4,IF(E221&gt;'Parâmetros'!$A$7,0,-6))))</f>
        <v>NA</v>
      </c>
      <c r="AC221" s="82">
        <f>IF(Consultas!AC221='Parâmetros'!$E$1,0,5)</f>
        <v>5</v>
      </c>
      <c r="AD221" s="82">
        <f>IF(Consultas!AH221='Parâmetros'!$D$1,-10,5)</f>
        <v>5</v>
      </c>
      <c r="AE221" s="82">
        <f>IF(Consultas!AI221&gt;(Consultas!F221*2),-10,0)</f>
        <v>0</v>
      </c>
      <c r="AF221" s="82" t="b">
        <f>IF(Consultas!AD221&gt;1,(IF(Consultas!AI221&gt;(Consultas!AD221),-20,4)))</f>
        <v>0</v>
      </c>
      <c r="AG221" s="82">
        <f>IF(Consultas!AG221='Parâmetros'!$E$1,0,-6)</f>
        <v>-6</v>
      </c>
      <c r="AH221" s="82">
        <f>IF(Consultas!AF221='Parâmetros'!$E$1,1,-5)</f>
        <v>-5</v>
      </c>
      <c r="AI221" s="82">
        <f>IF(Consultas!AJ221&gt;700,8,IF(Consultas!AJ221&gt;500,4,IF(Consultas!AJ221&gt;200,-4,IF(Consultas!AJ221&gt;1,-15,-20))))</f>
        <v>-20</v>
      </c>
      <c r="AJ221" s="82">
        <f>IF(Consultas!AD221='Parâmetros'!$E$10,0,IF(Consultas!AD221&gt;'Parâmetros'!$A$30,12,IF(Consultas!AD221&gt;'Parâmetros'!$A$31,6,IF(Consultas!AD221&gt;'Parâmetros'!$A$32,0,IF(Consultas!AD221&gt;'Parâmetros'!$A$33,0,IF(Consultas!AD221&gt;'Parâmetros'!$A$34,-3,IF(Consultas!AD221&gt;'Parâmetros'!$A$35,-7,-1)))))))</f>
        <v>-1</v>
      </c>
      <c r="AK221" s="82">
        <f>IF(Consultas!AO221='Parâmetros'!$D$1,3,-3)</f>
        <v>-3</v>
      </c>
      <c r="AL221" s="82">
        <f>IF(Consultas!AP221='Parâmetros'!$D$1,5,-3)</f>
        <v>-3</v>
      </c>
      <c r="AM221" s="82">
        <f>IF(Consultas!AL221="N",-6,0)</f>
        <v>0</v>
      </c>
      <c r="AN221" s="82">
        <f>IF(Consultas!AM221="N",-10,0)</f>
        <v>0</v>
      </c>
      <c r="AO221" s="82">
        <f>IF(Consultas!AN221="S",4,-2)</f>
        <v>-2</v>
      </c>
      <c r="AP221" s="39"/>
      <c r="AQ221" s="165" t="str">
        <f>IF(Consultas!F221&gt;1,(SUM(F221:AO221)),"N/A")</f>
        <v>N/A</v>
      </c>
      <c r="AR221" s="78">
        <f>IF((Consultas!AD221&gt;'Parâmetros'!$A$31),"X",AJ221+Y221+V221+AC221)</f>
        <v>-9</v>
      </c>
      <c r="AS221" s="78">
        <f>IF((Consultas!AD221&gt;'Parâmetros'!$A$31),"X",(H221+I221+J221+Q221+T221+Y221+Z221+AJ221+AN221))</f>
        <v>-23</v>
      </c>
      <c r="AT221" s="78" t="str">
        <f>IF((Consultas!AD221&lt;'Parâmetros'!$A$31),"X",(AD221+AC221+AB221))</f>
        <v>X</v>
      </c>
      <c r="AU221" s="78">
        <f t="shared" si="1"/>
        <v>-23</v>
      </c>
      <c r="AV221" s="82" t="str">
        <f>IF(AQ221="N/A","N/A",IF(AQ221&gt;5,'Parâmetros'!$A$15,(IF(AU221=AR221,'Parâmetros'!$A$17,IF(AU221=AS221,'Parâmetros'!$A$16,'Parâmetros'!$A$14)))))</f>
        <v>N/A</v>
      </c>
      <c r="AW221" s="86" t="str">
        <f>IF(AQ221="N/A","N/A",IF(AV221='Parâmetros'!$A$15,'Parâmetros'!$C$15,(IF(AV221='Parâmetros'!$A$17,'Parâmetros'!$C$17,IF(AV221='Parâmetros'!$A$16,'Parâmetros'!$C$16,IF(AV221='Parâmetros'!$A$14,'Parâmetros'!$C$12))))))</f>
        <v>N/A</v>
      </c>
      <c r="AX221" s="82" t="b">
        <f>IF(Consultas!F221&gt;1,(IF(Consultas!F221&gt;5000,"SOLICITAR PED COMPRA","N/A")))</f>
        <v>0</v>
      </c>
      <c r="AY221" s="167" t="str">
        <f>IF(AND(Consultas!M221&lt;&gt;"S", Consultas!H221="S"), "CHECAGEM REVERSA", "N/A")</f>
        <v>N/A</v>
      </c>
      <c r="AZ221" s="167" t="str">
        <f>IF(Consultas!U221="N","PRECISA CORRIGIR END DIVERGENTE","N/A")</f>
        <v>N/A</v>
      </c>
    </row>
    <row r="222" ht="12.0" customHeight="1">
      <c r="A222" s="39" t="s">
        <v>90</v>
      </c>
      <c r="B222" s="82" t="str">
        <f>Consultas!B222</f>
        <v/>
      </c>
      <c r="C222" s="82" t="str">
        <f>Consultas!D222</f>
        <v/>
      </c>
      <c r="D222" s="96" t="str">
        <f>Consultas!E222</f>
        <v/>
      </c>
      <c r="E222" s="104" t="str">
        <f>IF(Consultas!AB222&gt;0,YEAR('Parâmetros'!$B$1)-YEAR(Consultas!AB222),"NA")</f>
        <v>NA</v>
      </c>
      <c r="F222" s="82">
        <f>IF(Consultas!F222&gt;'Parâmetros'!$B$2,-8,0)</f>
        <v>0</v>
      </c>
      <c r="G222" s="82">
        <f>IF(Consultas!H222='Parâmetros'!$E$1,100,0)</f>
        <v>0</v>
      </c>
      <c r="H222" s="82">
        <f>IF(Consultas!I222='Parâmetros'!$E$1,-4,12)</f>
        <v>12</v>
      </c>
      <c r="I222" s="82">
        <f>IF(Consultas!J222='Parâmetros'!$E$1,1,-13)</f>
        <v>-13</v>
      </c>
      <c r="J222" s="82">
        <f>IF(Consultas!K222='Parâmetros'!$E$1,2,-5)</f>
        <v>-5</v>
      </c>
      <c r="K222" s="82" t="str">
        <f>IF(Consultas!L222='Parâmetros'!$D$1,"SOLIC CONTRATO DE ENTREGA","N/A")</f>
        <v>N/A</v>
      </c>
      <c r="L222" s="82">
        <f>IF(Consultas!R222='Parâmetros'!$E$1,1,-3)</f>
        <v>-3</v>
      </c>
      <c r="M222" s="82" t="b">
        <f>IF(Consultas!S222&gt;1,(IF(Consultas!S222='Parâmetros'!$E$1,-3,9)))</f>
        <v>0</v>
      </c>
      <c r="N222" s="82">
        <f>IF(Consultas!T222="S",23,0)</f>
        <v>0</v>
      </c>
      <c r="O222" s="82">
        <f>IF(Consultas!U222='Parâmetros'!$E$1,-3,3)</f>
        <v>3</v>
      </c>
      <c r="P222" s="82">
        <f>IF(Consultas!V222='Parâmetros'!$E$1,-100,2)</f>
        <v>2</v>
      </c>
      <c r="Q222" s="82">
        <f>IF(Consultas!M222='Parâmetros'!$D$1,2,-9)</f>
        <v>-9</v>
      </c>
      <c r="R222" s="82">
        <f>IF(Consultas!N222="RJ",-12,0)</f>
        <v>0</v>
      </c>
      <c r="S222" s="82">
        <f>IF(Consultas!O222="-",-3,IF(Consultas!O222=0,-6,IF(Consultas!O222=5,0,IF(Consultas!O222=10,6))))</f>
        <v>-6</v>
      </c>
      <c r="T222" s="82">
        <f>IF(Consultas!M222="S",0,(IF(Consultas!P222="S",6,0)))</f>
        <v>0</v>
      </c>
      <c r="U222" s="82">
        <f>IF(Consultas!Q222&gt;97,9,IF(Consultas!Q222&gt;75,0,-7))</f>
        <v>-7</v>
      </c>
      <c r="V222" s="82">
        <f>IF(Consultas!W222='Parâmetros'!$E$1,1,-5)</f>
        <v>-5</v>
      </c>
      <c r="W222" s="82">
        <f>IF(Consultas!X222="S",3,-3)</f>
        <v>-3</v>
      </c>
      <c r="X222" s="82">
        <f>IF(Consultas!Y222="S",0,-7)</f>
        <v>-7</v>
      </c>
      <c r="Y222" s="82">
        <f>IF(Consultas!Z222='Parâmetros'!$E$1,2,-8)</f>
        <v>-8</v>
      </c>
      <c r="Z222" s="82">
        <f>IF(Consultas!AA222='Parâmetros'!$E$1,-15,1)</f>
        <v>1</v>
      </c>
      <c r="AA222" s="147" t="s">
        <v>140</v>
      </c>
      <c r="AB222" s="82" t="str">
        <f>IF(E222="NA","NA",IF(E222&gt;'Parâmetros'!$A$9,8,IF(E222&gt;'Parâmetros'!$A$8,4,IF(E222&gt;'Parâmetros'!$A$7,0,-6))))</f>
        <v>NA</v>
      </c>
      <c r="AC222" s="82">
        <f>IF(Consultas!AC222='Parâmetros'!$E$1,0,5)</f>
        <v>5</v>
      </c>
      <c r="AD222" s="82">
        <f>IF(Consultas!AH222='Parâmetros'!$D$1,-10,5)</f>
        <v>5</v>
      </c>
      <c r="AE222" s="82">
        <f>IF(Consultas!AI222&gt;(Consultas!F222*2),-10,0)</f>
        <v>0</v>
      </c>
      <c r="AF222" s="82" t="b">
        <f>IF(Consultas!AD222&gt;1,(IF(Consultas!AI222&gt;(Consultas!AD222),-20,4)))</f>
        <v>0</v>
      </c>
      <c r="AG222" s="82">
        <f>IF(Consultas!AG222='Parâmetros'!$E$1,0,-6)</f>
        <v>-6</v>
      </c>
      <c r="AH222" s="82">
        <f>IF(Consultas!AF222='Parâmetros'!$E$1,1,-5)</f>
        <v>-5</v>
      </c>
      <c r="AI222" s="82">
        <f>IF(Consultas!AJ222&gt;700,8,IF(Consultas!AJ222&gt;500,4,IF(Consultas!AJ222&gt;200,-4,IF(Consultas!AJ222&gt;1,-15,-20))))</f>
        <v>-20</v>
      </c>
      <c r="AJ222" s="82">
        <f>IF(Consultas!AD222='Parâmetros'!$E$10,0,IF(Consultas!AD222&gt;'Parâmetros'!$A$30,12,IF(Consultas!AD222&gt;'Parâmetros'!$A$31,6,IF(Consultas!AD222&gt;'Parâmetros'!$A$32,0,IF(Consultas!AD222&gt;'Parâmetros'!$A$33,0,IF(Consultas!AD222&gt;'Parâmetros'!$A$34,-3,IF(Consultas!AD222&gt;'Parâmetros'!$A$35,-7,-1)))))))</f>
        <v>-1</v>
      </c>
      <c r="AK222" s="82">
        <f>IF(Consultas!AO222='Parâmetros'!$D$1,3,-3)</f>
        <v>-3</v>
      </c>
      <c r="AL222" s="82">
        <f>IF(Consultas!AP222='Parâmetros'!$D$1,5,-3)</f>
        <v>-3</v>
      </c>
      <c r="AM222" s="82">
        <f>IF(Consultas!AL222="N",-6,0)</f>
        <v>0</v>
      </c>
      <c r="AN222" s="82">
        <f>IF(Consultas!AM222="N",-10,0)</f>
        <v>0</v>
      </c>
      <c r="AO222" s="82">
        <f>IF(Consultas!AN222="S",4,-2)</f>
        <v>-2</v>
      </c>
      <c r="AP222" s="39"/>
      <c r="AQ222" s="165" t="str">
        <f>IF(Consultas!F222&gt;1,(SUM(F222:AO222)),"N/A")</f>
        <v>N/A</v>
      </c>
      <c r="AR222" s="78">
        <f>IF((Consultas!AD222&gt;'Parâmetros'!$A$31),"X",AJ222+Y222+V222+AC222)</f>
        <v>-9</v>
      </c>
      <c r="AS222" s="78">
        <f>IF((Consultas!AD222&gt;'Parâmetros'!$A$31),"X",(H222+I222+J222+Q222+T222+Y222+Z222+AJ222+AN222))</f>
        <v>-23</v>
      </c>
      <c r="AT222" s="78" t="str">
        <f>IF((Consultas!AD222&lt;'Parâmetros'!$A$31),"X",(AD222+AC222+AB222))</f>
        <v>X</v>
      </c>
      <c r="AU222" s="78">
        <f t="shared" si="1"/>
        <v>-23</v>
      </c>
      <c r="AV222" s="82" t="str">
        <f>IF(AQ222="N/A","N/A",IF(AQ222&gt;5,'Parâmetros'!$A$15,(IF(AU222=AR222,'Parâmetros'!$A$17,IF(AU222=AS222,'Parâmetros'!$A$16,'Parâmetros'!$A$14)))))</f>
        <v>N/A</v>
      </c>
      <c r="AW222" s="86" t="str">
        <f>IF(AQ222="N/A","N/A",IF(AV222='Parâmetros'!$A$15,'Parâmetros'!$C$15,(IF(AV222='Parâmetros'!$A$17,'Parâmetros'!$C$17,IF(AV222='Parâmetros'!$A$16,'Parâmetros'!$C$16,IF(AV222='Parâmetros'!$A$14,'Parâmetros'!$C$12))))))</f>
        <v>N/A</v>
      </c>
      <c r="AX222" s="82" t="b">
        <f>IF(Consultas!F222&gt;1,(IF(Consultas!F222&gt;5000,"SOLICITAR PED COMPRA","N/A")))</f>
        <v>0</v>
      </c>
      <c r="AY222" s="167" t="str">
        <f>IF(AND(Consultas!M222&lt;&gt;"S", Consultas!H222="S"), "CHECAGEM REVERSA", "N/A")</f>
        <v>N/A</v>
      </c>
      <c r="AZ222" s="167" t="str">
        <f>IF(Consultas!U222="N","PRECISA CORRIGIR END DIVERGENTE","N/A")</f>
        <v>N/A</v>
      </c>
    </row>
    <row r="223" ht="12.0" customHeight="1">
      <c r="A223" s="39" t="s">
        <v>90</v>
      </c>
      <c r="B223" s="82" t="str">
        <f>Consultas!B223</f>
        <v/>
      </c>
      <c r="C223" s="82" t="str">
        <f>Consultas!D223</f>
        <v/>
      </c>
      <c r="D223" s="96" t="str">
        <f>Consultas!E223</f>
        <v/>
      </c>
      <c r="E223" s="104" t="str">
        <f>IF(Consultas!AB223&gt;0,YEAR('Parâmetros'!$B$1)-YEAR(Consultas!AB223),"NA")</f>
        <v>NA</v>
      </c>
      <c r="F223" s="82">
        <f>IF(Consultas!F223&gt;'Parâmetros'!$B$2,-8,0)</f>
        <v>0</v>
      </c>
      <c r="G223" s="82">
        <f>IF(Consultas!H223='Parâmetros'!$E$1,100,0)</f>
        <v>0</v>
      </c>
      <c r="H223" s="82">
        <f>IF(Consultas!I223='Parâmetros'!$E$1,-4,12)</f>
        <v>12</v>
      </c>
      <c r="I223" s="82">
        <f>IF(Consultas!J223='Parâmetros'!$E$1,1,-13)</f>
        <v>-13</v>
      </c>
      <c r="J223" s="82">
        <f>IF(Consultas!K223='Parâmetros'!$E$1,2,-5)</f>
        <v>-5</v>
      </c>
      <c r="K223" s="82" t="str">
        <f>IF(Consultas!L223='Parâmetros'!$D$1,"SOLIC CONTRATO DE ENTREGA","N/A")</f>
        <v>N/A</v>
      </c>
      <c r="L223" s="82">
        <f>IF(Consultas!R223='Parâmetros'!$E$1,1,-3)</f>
        <v>-3</v>
      </c>
      <c r="M223" s="82" t="b">
        <f>IF(Consultas!S223&gt;1,(IF(Consultas!S223='Parâmetros'!$E$1,-3,9)))</f>
        <v>0</v>
      </c>
      <c r="N223" s="82">
        <f>IF(Consultas!T223="S",23,0)</f>
        <v>0</v>
      </c>
      <c r="O223" s="82">
        <f>IF(Consultas!U223='Parâmetros'!$E$1,-3,3)</f>
        <v>3</v>
      </c>
      <c r="P223" s="82">
        <f>IF(Consultas!V223='Parâmetros'!$E$1,-100,2)</f>
        <v>2</v>
      </c>
      <c r="Q223" s="82">
        <f>IF(Consultas!M223='Parâmetros'!$D$1,2,-9)</f>
        <v>-9</v>
      </c>
      <c r="R223" s="82">
        <f>IF(Consultas!N223="RJ",-12,0)</f>
        <v>0</v>
      </c>
      <c r="S223" s="82">
        <f>IF(Consultas!O223="-",-3,IF(Consultas!O223=0,-6,IF(Consultas!O223=5,0,IF(Consultas!O223=10,6))))</f>
        <v>-6</v>
      </c>
      <c r="T223" s="82">
        <f>IF(Consultas!M223="S",0,(IF(Consultas!P223="S",6,0)))</f>
        <v>0</v>
      </c>
      <c r="U223" s="82">
        <f>IF(Consultas!Q223&gt;97,9,IF(Consultas!Q223&gt;75,0,-7))</f>
        <v>-7</v>
      </c>
      <c r="V223" s="82">
        <f>IF(Consultas!W223='Parâmetros'!$E$1,1,-5)</f>
        <v>-5</v>
      </c>
      <c r="W223" s="82">
        <f>IF(Consultas!X223="S",3,-3)</f>
        <v>-3</v>
      </c>
      <c r="X223" s="82">
        <f>IF(Consultas!Y223="S",0,-7)</f>
        <v>-7</v>
      </c>
      <c r="Y223" s="82">
        <f>IF(Consultas!Z223='Parâmetros'!$E$1,2,-8)</f>
        <v>-8</v>
      </c>
      <c r="Z223" s="82">
        <f>IF(Consultas!AA223='Parâmetros'!$E$1,-15,1)</f>
        <v>1</v>
      </c>
      <c r="AA223" s="147" t="s">
        <v>140</v>
      </c>
      <c r="AB223" s="82" t="str">
        <f>IF(E223="NA","NA",IF(E223&gt;'Parâmetros'!$A$9,8,IF(E223&gt;'Parâmetros'!$A$8,4,IF(E223&gt;'Parâmetros'!$A$7,0,-6))))</f>
        <v>NA</v>
      </c>
      <c r="AC223" s="82">
        <f>IF(Consultas!AC223='Parâmetros'!$E$1,0,5)</f>
        <v>5</v>
      </c>
      <c r="AD223" s="82">
        <f>IF(Consultas!AH223='Parâmetros'!$D$1,-10,5)</f>
        <v>5</v>
      </c>
      <c r="AE223" s="82">
        <f>IF(Consultas!AI223&gt;(Consultas!F223*2),-10,0)</f>
        <v>0</v>
      </c>
      <c r="AF223" s="82" t="b">
        <f>IF(Consultas!AD223&gt;1,(IF(Consultas!AI223&gt;(Consultas!AD223),-20,4)))</f>
        <v>0</v>
      </c>
      <c r="AG223" s="82">
        <f>IF(Consultas!AG223='Parâmetros'!$E$1,0,-6)</f>
        <v>-6</v>
      </c>
      <c r="AH223" s="82">
        <f>IF(Consultas!AF223='Parâmetros'!$E$1,1,-5)</f>
        <v>-5</v>
      </c>
      <c r="AI223" s="82">
        <f>IF(Consultas!AJ223&gt;700,8,IF(Consultas!AJ223&gt;500,4,IF(Consultas!AJ223&gt;200,-4,IF(Consultas!AJ223&gt;1,-15,-20))))</f>
        <v>-20</v>
      </c>
      <c r="AJ223" s="82">
        <f>IF(Consultas!AD223='Parâmetros'!$E$10,0,IF(Consultas!AD223&gt;'Parâmetros'!$A$30,12,IF(Consultas!AD223&gt;'Parâmetros'!$A$31,6,IF(Consultas!AD223&gt;'Parâmetros'!$A$32,0,IF(Consultas!AD223&gt;'Parâmetros'!$A$33,0,IF(Consultas!AD223&gt;'Parâmetros'!$A$34,-3,IF(Consultas!AD223&gt;'Parâmetros'!$A$35,-7,-1)))))))</f>
        <v>-1</v>
      </c>
      <c r="AK223" s="82">
        <f>IF(Consultas!AO223='Parâmetros'!$D$1,3,-3)</f>
        <v>-3</v>
      </c>
      <c r="AL223" s="82">
        <f>IF(Consultas!AP223='Parâmetros'!$D$1,5,-3)</f>
        <v>-3</v>
      </c>
      <c r="AM223" s="82">
        <f>IF(Consultas!AL223="N",-6,0)</f>
        <v>0</v>
      </c>
      <c r="AN223" s="82">
        <f>IF(Consultas!AM223="N",-10,0)</f>
        <v>0</v>
      </c>
      <c r="AO223" s="82">
        <f>IF(Consultas!AN223="S",4,-2)</f>
        <v>-2</v>
      </c>
      <c r="AP223" s="39"/>
      <c r="AQ223" s="165" t="str">
        <f>IF(Consultas!F223&gt;1,(SUM(F223:AO223)),"N/A")</f>
        <v>N/A</v>
      </c>
      <c r="AR223" s="78">
        <f>IF((Consultas!AD223&gt;'Parâmetros'!$A$31),"X",AJ223+Y223+V223+AC223)</f>
        <v>-9</v>
      </c>
      <c r="AS223" s="78">
        <f>IF((Consultas!AD223&gt;'Parâmetros'!$A$31),"X",(H223+I223+J223+Q223+T223+Y223+Z223+AJ223+AN223))</f>
        <v>-23</v>
      </c>
      <c r="AT223" s="78" t="str">
        <f>IF((Consultas!AD223&lt;'Parâmetros'!$A$31),"X",(AD223+AC223+AB223))</f>
        <v>X</v>
      </c>
      <c r="AU223" s="78">
        <f t="shared" si="1"/>
        <v>-23</v>
      </c>
      <c r="AV223" s="82" t="str">
        <f>IF(AQ223="N/A","N/A",IF(AQ223&gt;5,'Parâmetros'!$A$15,(IF(AU223=AR223,'Parâmetros'!$A$17,IF(AU223=AS223,'Parâmetros'!$A$16,'Parâmetros'!$A$14)))))</f>
        <v>N/A</v>
      </c>
      <c r="AW223" s="86" t="str">
        <f>IF(AQ223="N/A","N/A",IF(AV223='Parâmetros'!$A$15,'Parâmetros'!$C$15,(IF(AV223='Parâmetros'!$A$17,'Parâmetros'!$C$17,IF(AV223='Parâmetros'!$A$16,'Parâmetros'!$C$16,IF(AV223='Parâmetros'!$A$14,'Parâmetros'!$C$12))))))</f>
        <v>N/A</v>
      </c>
      <c r="AX223" s="82" t="b">
        <f>IF(Consultas!F223&gt;1,(IF(Consultas!F223&gt;5000,"SOLICITAR PED COMPRA","N/A")))</f>
        <v>0</v>
      </c>
      <c r="AY223" s="167" t="str">
        <f>IF(AND(Consultas!M223&lt;&gt;"S", Consultas!H223="S"), "CHECAGEM REVERSA", "N/A")</f>
        <v>N/A</v>
      </c>
      <c r="AZ223" s="167" t="str">
        <f>IF(Consultas!U223="N","PRECISA CORRIGIR END DIVERGENTE","N/A")</f>
        <v>N/A</v>
      </c>
    </row>
    <row r="224" ht="12.0" customHeight="1">
      <c r="A224" s="39" t="s">
        <v>90</v>
      </c>
      <c r="B224" s="82" t="str">
        <f>Consultas!B224</f>
        <v/>
      </c>
      <c r="C224" s="82" t="str">
        <f>Consultas!D224</f>
        <v/>
      </c>
      <c r="D224" s="96" t="str">
        <f>Consultas!E224</f>
        <v/>
      </c>
      <c r="E224" s="104" t="str">
        <f>IF(Consultas!AB224&gt;0,YEAR('Parâmetros'!$B$1)-YEAR(Consultas!AB224),"NA")</f>
        <v>NA</v>
      </c>
      <c r="F224" s="82">
        <f>IF(Consultas!F224&gt;'Parâmetros'!$B$2,-8,0)</f>
        <v>0</v>
      </c>
      <c r="G224" s="82">
        <f>IF(Consultas!H224='Parâmetros'!$E$1,100,0)</f>
        <v>0</v>
      </c>
      <c r="H224" s="82">
        <f>IF(Consultas!I224='Parâmetros'!$E$1,-4,12)</f>
        <v>12</v>
      </c>
      <c r="I224" s="82">
        <f>IF(Consultas!J224='Parâmetros'!$E$1,1,-13)</f>
        <v>-13</v>
      </c>
      <c r="J224" s="82">
        <f>IF(Consultas!K224='Parâmetros'!$E$1,2,-5)</f>
        <v>-5</v>
      </c>
      <c r="K224" s="82" t="str">
        <f>IF(Consultas!L224='Parâmetros'!$D$1,"SOLIC CONTRATO DE ENTREGA","N/A")</f>
        <v>N/A</v>
      </c>
      <c r="L224" s="82">
        <f>IF(Consultas!R224='Parâmetros'!$E$1,1,-3)</f>
        <v>-3</v>
      </c>
      <c r="M224" s="82" t="b">
        <f>IF(Consultas!S224&gt;1,(IF(Consultas!S224='Parâmetros'!$E$1,-3,9)))</f>
        <v>0</v>
      </c>
      <c r="N224" s="82">
        <f>IF(Consultas!T224="S",23,0)</f>
        <v>0</v>
      </c>
      <c r="O224" s="82">
        <f>IF(Consultas!U224='Parâmetros'!$E$1,-3,3)</f>
        <v>3</v>
      </c>
      <c r="P224" s="82">
        <f>IF(Consultas!V224='Parâmetros'!$E$1,-100,2)</f>
        <v>2</v>
      </c>
      <c r="Q224" s="82">
        <f>IF(Consultas!M224='Parâmetros'!$D$1,2,-9)</f>
        <v>-9</v>
      </c>
      <c r="R224" s="82">
        <f>IF(Consultas!N224="RJ",-12,0)</f>
        <v>0</v>
      </c>
      <c r="S224" s="82">
        <f>IF(Consultas!O224="-",-3,IF(Consultas!O224=0,-6,IF(Consultas!O224=5,0,IF(Consultas!O224=10,6))))</f>
        <v>-6</v>
      </c>
      <c r="T224" s="82">
        <f>IF(Consultas!M224="S",0,(IF(Consultas!P224="S",6,0)))</f>
        <v>0</v>
      </c>
      <c r="U224" s="82">
        <f>IF(Consultas!Q224&gt;97,9,IF(Consultas!Q224&gt;75,0,-7))</f>
        <v>-7</v>
      </c>
      <c r="V224" s="82">
        <f>IF(Consultas!W224='Parâmetros'!$E$1,1,-5)</f>
        <v>-5</v>
      </c>
      <c r="W224" s="82">
        <f>IF(Consultas!X224="S",3,-3)</f>
        <v>-3</v>
      </c>
      <c r="X224" s="82">
        <f>IF(Consultas!Y224="S",0,-7)</f>
        <v>-7</v>
      </c>
      <c r="Y224" s="82">
        <f>IF(Consultas!Z224='Parâmetros'!$E$1,2,-8)</f>
        <v>-8</v>
      </c>
      <c r="Z224" s="82">
        <f>IF(Consultas!AA224='Parâmetros'!$E$1,-15,1)</f>
        <v>1</v>
      </c>
      <c r="AA224" s="147" t="s">
        <v>140</v>
      </c>
      <c r="AB224" s="82" t="str">
        <f>IF(E224="NA","NA",IF(E224&gt;'Parâmetros'!$A$9,8,IF(E224&gt;'Parâmetros'!$A$8,4,IF(E224&gt;'Parâmetros'!$A$7,0,-6))))</f>
        <v>NA</v>
      </c>
      <c r="AC224" s="82">
        <f>IF(Consultas!AC224='Parâmetros'!$E$1,0,5)</f>
        <v>5</v>
      </c>
      <c r="AD224" s="82">
        <f>IF(Consultas!AH224='Parâmetros'!$D$1,-10,5)</f>
        <v>5</v>
      </c>
      <c r="AE224" s="82">
        <f>IF(Consultas!AI224&gt;(Consultas!F224*2),-10,0)</f>
        <v>0</v>
      </c>
      <c r="AF224" s="82" t="b">
        <f>IF(Consultas!AD224&gt;1,(IF(Consultas!AI224&gt;(Consultas!AD224),-20,4)))</f>
        <v>0</v>
      </c>
      <c r="AG224" s="82">
        <f>IF(Consultas!AG224='Parâmetros'!$E$1,0,-6)</f>
        <v>-6</v>
      </c>
      <c r="AH224" s="82">
        <f>IF(Consultas!AF224='Parâmetros'!$E$1,1,-5)</f>
        <v>-5</v>
      </c>
      <c r="AI224" s="82">
        <f>IF(Consultas!AJ224&gt;700,8,IF(Consultas!AJ224&gt;500,4,IF(Consultas!AJ224&gt;200,-4,IF(Consultas!AJ224&gt;1,-15,-20))))</f>
        <v>-20</v>
      </c>
      <c r="AJ224" s="82">
        <f>IF(Consultas!AD224='Parâmetros'!$E$10,0,IF(Consultas!AD224&gt;'Parâmetros'!$A$30,12,IF(Consultas!AD224&gt;'Parâmetros'!$A$31,6,IF(Consultas!AD224&gt;'Parâmetros'!$A$32,0,IF(Consultas!AD224&gt;'Parâmetros'!$A$33,0,IF(Consultas!AD224&gt;'Parâmetros'!$A$34,-3,IF(Consultas!AD224&gt;'Parâmetros'!$A$35,-7,-1)))))))</f>
        <v>-1</v>
      </c>
      <c r="AK224" s="82">
        <f>IF(Consultas!AO224='Parâmetros'!$D$1,3,-3)</f>
        <v>-3</v>
      </c>
      <c r="AL224" s="82">
        <f>IF(Consultas!AP224='Parâmetros'!$D$1,5,-3)</f>
        <v>-3</v>
      </c>
      <c r="AM224" s="82">
        <f>IF(Consultas!AL224="N",-6,0)</f>
        <v>0</v>
      </c>
      <c r="AN224" s="82">
        <f>IF(Consultas!AM224="N",-10,0)</f>
        <v>0</v>
      </c>
      <c r="AO224" s="82">
        <f>IF(Consultas!AN224="S",4,-2)</f>
        <v>-2</v>
      </c>
      <c r="AP224" s="39"/>
      <c r="AQ224" s="165" t="str">
        <f>IF(Consultas!F224&gt;1,(SUM(F224:AO224)),"N/A")</f>
        <v>N/A</v>
      </c>
      <c r="AR224" s="78">
        <f>IF((Consultas!AD224&gt;'Parâmetros'!$A$31),"X",AJ224+Y224+V224+AC224)</f>
        <v>-9</v>
      </c>
      <c r="AS224" s="78">
        <f>IF((Consultas!AD224&gt;'Parâmetros'!$A$31),"X",(H224+I224+J224+Q224+T224+Y224+Z224+AJ224+AN224))</f>
        <v>-23</v>
      </c>
      <c r="AT224" s="78" t="str">
        <f>IF((Consultas!AD224&lt;'Parâmetros'!$A$31),"X",(AD224+AC224+AB224))</f>
        <v>X</v>
      </c>
      <c r="AU224" s="78">
        <f t="shared" si="1"/>
        <v>-23</v>
      </c>
      <c r="AV224" s="82" t="str">
        <f>IF(AQ224="N/A","N/A",IF(AQ224&gt;5,'Parâmetros'!$A$15,(IF(AU224=AR224,'Parâmetros'!$A$17,IF(AU224=AS224,'Parâmetros'!$A$16,'Parâmetros'!$A$14)))))</f>
        <v>N/A</v>
      </c>
      <c r="AW224" s="86" t="str">
        <f>IF(AQ224="N/A","N/A",IF(AV224='Parâmetros'!$A$15,'Parâmetros'!$C$15,(IF(AV224='Parâmetros'!$A$17,'Parâmetros'!$C$17,IF(AV224='Parâmetros'!$A$16,'Parâmetros'!$C$16,IF(AV224='Parâmetros'!$A$14,'Parâmetros'!$C$12))))))</f>
        <v>N/A</v>
      </c>
      <c r="AX224" s="82" t="b">
        <f>IF(Consultas!F224&gt;1,(IF(Consultas!F224&gt;5000,"SOLICITAR PED COMPRA","N/A")))</f>
        <v>0</v>
      </c>
      <c r="AY224" s="167" t="str">
        <f>IF(AND(Consultas!M224&lt;&gt;"S", Consultas!H224="S"), "CHECAGEM REVERSA", "N/A")</f>
        <v>N/A</v>
      </c>
      <c r="AZ224" s="167" t="str">
        <f>IF(Consultas!U224="N","PRECISA CORRIGIR END DIVERGENTE","N/A")</f>
        <v>N/A</v>
      </c>
    </row>
    <row r="225" ht="12.0" customHeight="1">
      <c r="A225" s="39" t="s">
        <v>90</v>
      </c>
      <c r="B225" s="82" t="str">
        <f>Consultas!B225</f>
        <v/>
      </c>
      <c r="C225" s="82" t="str">
        <f>Consultas!D225</f>
        <v/>
      </c>
      <c r="D225" s="96" t="str">
        <f>Consultas!E225</f>
        <v/>
      </c>
      <c r="E225" s="104" t="str">
        <f>IF(Consultas!AB225&gt;0,YEAR('Parâmetros'!$B$1)-YEAR(Consultas!AB225),"NA")</f>
        <v>NA</v>
      </c>
      <c r="F225" s="82">
        <f>IF(Consultas!F225&gt;'Parâmetros'!$B$2,-8,0)</f>
        <v>0</v>
      </c>
      <c r="G225" s="82">
        <f>IF(Consultas!H225='Parâmetros'!$E$1,100,0)</f>
        <v>0</v>
      </c>
      <c r="H225" s="82">
        <f>IF(Consultas!I225='Parâmetros'!$E$1,-4,12)</f>
        <v>12</v>
      </c>
      <c r="I225" s="82">
        <f>IF(Consultas!J225='Parâmetros'!$E$1,1,-13)</f>
        <v>-13</v>
      </c>
      <c r="J225" s="82">
        <f>IF(Consultas!K225='Parâmetros'!$E$1,2,-5)</f>
        <v>-5</v>
      </c>
      <c r="K225" s="82" t="str">
        <f>IF(Consultas!L225='Parâmetros'!$D$1,"SOLIC CONTRATO DE ENTREGA","N/A")</f>
        <v>N/A</v>
      </c>
      <c r="L225" s="82">
        <f>IF(Consultas!R225='Parâmetros'!$E$1,1,-3)</f>
        <v>-3</v>
      </c>
      <c r="M225" s="82" t="b">
        <f>IF(Consultas!S225&gt;1,(IF(Consultas!S225='Parâmetros'!$E$1,-3,9)))</f>
        <v>0</v>
      </c>
      <c r="N225" s="82">
        <f>IF(Consultas!T225="S",23,0)</f>
        <v>0</v>
      </c>
      <c r="O225" s="82">
        <f>IF(Consultas!U225='Parâmetros'!$E$1,-3,3)</f>
        <v>3</v>
      </c>
      <c r="P225" s="82">
        <f>IF(Consultas!V225='Parâmetros'!$E$1,-100,2)</f>
        <v>2</v>
      </c>
      <c r="Q225" s="82">
        <f>IF(Consultas!M225='Parâmetros'!$D$1,2,-9)</f>
        <v>-9</v>
      </c>
      <c r="R225" s="82">
        <f>IF(Consultas!N225="RJ",-12,0)</f>
        <v>0</v>
      </c>
      <c r="S225" s="82">
        <f>IF(Consultas!O225="-",-3,IF(Consultas!O225=0,-6,IF(Consultas!O225=5,0,IF(Consultas!O225=10,6))))</f>
        <v>-6</v>
      </c>
      <c r="T225" s="82">
        <f>IF(Consultas!M225="S",0,(IF(Consultas!P225="S",6,0)))</f>
        <v>0</v>
      </c>
      <c r="U225" s="82">
        <f>IF(Consultas!Q225&gt;97,9,IF(Consultas!Q225&gt;75,0,-7))</f>
        <v>-7</v>
      </c>
      <c r="V225" s="82">
        <f>IF(Consultas!W225='Parâmetros'!$E$1,1,-5)</f>
        <v>-5</v>
      </c>
      <c r="W225" s="82">
        <f>IF(Consultas!X225="S",3,-3)</f>
        <v>-3</v>
      </c>
      <c r="X225" s="82">
        <f>IF(Consultas!Y225="S",0,-7)</f>
        <v>-7</v>
      </c>
      <c r="Y225" s="82">
        <f>IF(Consultas!Z225='Parâmetros'!$E$1,2,-8)</f>
        <v>-8</v>
      </c>
      <c r="Z225" s="82">
        <f>IF(Consultas!AA225='Parâmetros'!$E$1,-15,1)</f>
        <v>1</v>
      </c>
      <c r="AA225" s="147" t="s">
        <v>140</v>
      </c>
      <c r="AB225" s="82" t="str">
        <f>IF(E225="NA","NA",IF(E225&gt;'Parâmetros'!$A$9,8,IF(E225&gt;'Parâmetros'!$A$8,4,IF(E225&gt;'Parâmetros'!$A$7,0,-6))))</f>
        <v>NA</v>
      </c>
      <c r="AC225" s="82">
        <f>IF(Consultas!AC225='Parâmetros'!$E$1,0,5)</f>
        <v>5</v>
      </c>
      <c r="AD225" s="82">
        <f>IF(Consultas!AH225='Parâmetros'!$D$1,-10,5)</f>
        <v>5</v>
      </c>
      <c r="AE225" s="82">
        <f>IF(Consultas!AI225&gt;(Consultas!F225*2),-10,0)</f>
        <v>0</v>
      </c>
      <c r="AF225" s="82" t="b">
        <f>IF(Consultas!AD225&gt;1,(IF(Consultas!AI225&gt;(Consultas!AD225),-20,4)))</f>
        <v>0</v>
      </c>
      <c r="AG225" s="82">
        <f>IF(Consultas!AG225='Parâmetros'!$E$1,0,-6)</f>
        <v>-6</v>
      </c>
      <c r="AH225" s="82">
        <f>IF(Consultas!AF225='Parâmetros'!$E$1,1,-5)</f>
        <v>-5</v>
      </c>
      <c r="AI225" s="82">
        <f>IF(Consultas!AJ225&gt;700,8,IF(Consultas!AJ225&gt;500,4,IF(Consultas!AJ225&gt;200,-4,IF(Consultas!AJ225&gt;1,-15,-20))))</f>
        <v>-20</v>
      </c>
      <c r="AJ225" s="82">
        <f>IF(Consultas!AD225='Parâmetros'!$E$10,0,IF(Consultas!AD225&gt;'Parâmetros'!$A$30,12,IF(Consultas!AD225&gt;'Parâmetros'!$A$31,6,IF(Consultas!AD225&gt;'Parâmetros'!$A$32,0,IF(Consultas!AD225&gt;'Parâmetros'!$A$33,0,IF(Consultas!AD225&gt;'Parâmetros'!$A$34,-3,IF(Consultas!AD225&gt;'Parâmetros'!$A$35,-7,-1)))))))</f>
        <v>-1</v>
      </c>
      <c r="AK225" s="82">
        <f>IF(Consultas!AO225='Parâmetros'!$D$1,3,-3)</f>
        <v>-3</v>
      </c>
      <c r="AL225" s="82">
        <f>IF(Consultas!AP225='Parâmetros'!$D$1,5,-3)</f>
        <v>-3</v>
      </c>
      <c r="AM225" s="82">
        <f>IF(Consultas!AL225="N",-6,0)</f>
        <v>0</v>
      </c>
      <c r="AN225" s="82">
        <f>IF(Consultas!AM225="N",-10,0)</f>
        <v>0</v>
      </c>
      <c r="AO225" s="82">
        <f>IF(Consultas!AN225="S",4,-2)</f>
        <v>-2</v>
      </c>
      <c r="AP225" s="39"/>
      <c r="AQ225" s="165" t="str">
        <f>IF(Consultas!F225&gt;1,(SUM(F225:AO225)),"N/A")</f>
        <v>N/A</v>
      </c>
      <c r="AR225" s="78">
        <f>IF((Consultas!AD225&gt;'Parâmetros'!$A$31),"X",AJ225+Y225+V225+AC225)</f>
        <v>-9</v>
      </c>
      <c r="AS225" s="78">
        <f>IF((Consultas!AD225&gt;'Parâmetros'!$A$31),"X",(H225+I225+J225+Q225+T225+Y225+Z225+AJ225+AN225))</f>
        <v>-23</v>
      </c>
      <c r="AT225" s="78" t="str">
        <f>IF((Consultas!AD225&lt;'Parâmetros'!$A$31),"X",(AD225+AC225+AB225))</f>
        <v>X</v>
      </c>
      <c r="AU225" s="78">
        <f t="shared" si="1"/>
        <v>-23</v>
      </c>
      <c r="AV225" s="82" t="str">
        <f>IF(AQ225="N/A","N/A",IF(AQ225&gt;5,'Parâmetros'!$A$15,(IF(AU225=AR225,'Parâmetros'!$A$17,IF(AU225=AS225,'Parâmetros'!$A$16,'Parâmetros'!$A$14)))))</f>
        <v>N/A</v>
      </c>
      <c r="AW225" s="86" t="str">
        <f>IF(AQ225="N/A","N/A",IF(AV225='Parâmetros'!$A$15,'Parâmetros'!$C$15,(IF(AV225='Parâmetros'!$A$17,'Parâmetros'!$C$17,IF(AV225='Parâmetros'!$A$16,'Parâmetros'!$C$16,IF(AV225='Parâmetros'!$A$14,'Parâmetros'!$C$12))))))</f>
        <v>N/A</v>
      </c>
      <c r="AX225" s="82" t="b">
        <f>IF(Consultas!F225&gt;1,(IF(Consultas!F225&gt;5000,"SOLICITAR PED COMPRA","N/A")))</f>
        <v>0</v>
      </c>
      <c r="AY225" s="167" t="str">
        <f>IF(AND(Consultas!M225&lt;&gt;"S", Consultas!H225="S"), "CHECAGEM REVERSA", "N/A")</f>
        <v>N/A</v>
      </c>
      <c r="AZ225" s="167" t="str">
        <f>IF(Consultas!U225="N","PRECISA CORRIGIR END DIVERGENTE","N/A")</f>
        <v>N/A</v>
      </c>
    </row>
    <row r="226" ht="12.0" customHeight="1">
      <c r="A226" s="39" t="s">
        <v>90</v>
      </c>
      <c r="B226" s="82" t="str">
        <f>Consultas!B226</f>
        <v/>
      </c>
      <c r="C226" s="82" t="str">
        <f>Consultas!D226</f>
        <v/>
      </c>
      <c r="D226" s="96" t="str">
        <f>Consultas!E226</f>
        <v/>
      </c>
      <c r="E226" s="104" t="str">
        <f>IF(Consultas!AB226&gt;0,YEAR('Parâmetros'!$B$1)-YEAR(Consultas!AB226),"NA")</f>
        <v>NA</v>
      </c>
      <c r="F226" s="82">
        <f>IF(Consultas!F226&gt;'Parâmetros'!$B$2,-8,0)</f>
        <v>0</v>
      </c>
      <c r="G226" s="82">
        <f>IF(Consultas!H226='Parâmetros'!$E$1,100,0)</f>
        <v>0</v>
      </c>
      <c r="H226" s="82">
        <f>IF(Consultas!I226='Parâmetros'!$E$1,-4,12)</f>
        <v>12</v>
      </c>
      <c r="I226" s="82">
        <f>IF(Consultas!J226='Parâmetros'!$E$1,1,-13)</f>
        <v>-13</v>
      </c>
      <c r="J226" s="82">
        <f>IF(Consultas!K226='Parâmetros'!$E$1,2,-5)</f>
        <v>-5</v>
      </c>
      <c r="K226" s="82" t="str">
        <f>IF(Consultas!L226='Parâmetros'!$D$1,"SOLIC CONTRATO DE ENTREGA","N/A")</f>
        <v>N/A</v>
      </c>
      <c r="L226" s="82">
        <f>IF(Consultas!R226='Parâmetros'!$E$1,1,-3)</f>
        <v>-3</v>
      </c>
      <c r="M226" s="82" t="b">
        <f>IF(Consultas!S226&gt;1,(IF(Consultas!S226='Parâmetros'!$E$1,-3,9)))</f>
        <v>0</v>
      </c>
      <c r="N226" s="82">
        <f>IF(Consultas!T226="S",23,0)</f>
        <v>0</v>
      </c>
      <c r="O226" s="82">
        <f>IF(Consultas!U226='Parâmetros'!$E$1,-3,3)</f>
        <v>3</v>
      </c>
      <c r="P226" s="82">
        <f>IF(Consultas!V226='Parâmetros'!$E$1,-100,2)</f>
        <v>2</v>
      </c>
      <c r="Q226" s="82">
        <f>IF(Consultas!M226='Parâmetros'!$D$1,2,-9)</f>
        <v>-9</v>
      </c>
      <c r="R226" s="82">
        <f>IF(Consultas!N226="RJ",-12,0)</f>
        <v>0</v>
      </c>
      <c r="S226" s="82">
        <f>IF(Consultas!O226="-",-3,IF(Consultas!O226=0,-6,IF(Consultas!O226=5,0,IF(Consultas!O226=10,6))))</f>
        <v>-6</v>
      </c>
      <c r="T226" s="82">
        <f>IF(Consultas!M226="S",0,(IF(Consultas!P226="S",6,0)))</f>
        <v>0</v>
      </c>
      <c r="U226" s="82">
        <f>IF(Consultas!Q226&gt;97,9,IF(Consultas!Q226&gt;75,0,-7))</f>
        <v>-7</v>
      </c>
      <c r="V226" s="82">
        <f>IF(Consultas!W226='Parâmetros'!$E$1,1,-5)</f>
        <v>-5</v>
      </c>
      <c r="W226" s="82">
        <f>IF(Consultas!X226="S",3,-3)</f>
        <v>-3</v>
      </c>
      <c r="X226" s="82">
        <f>IF(Consultas!Y226="S",0,-7)</f>
        <v>-7</v>
      </c>
      <c r="Y226" s="82">
        <f>IF(Consultas!Z226='Parâmetros'!$E$1,2,-8)</f>
        <v>-8</v>
      </c>
      <c r="Z226" s="82">
        <f>IF(Consultas!AA226='Parâmetros'!$E$1,-15,1)</f>
        <v>1</v>
      </c>
      <c r="AA226" s="147" t="s">
        <v>140</v>
      </c>
      <c r="AB226" s="82" t="str">
        <f>IF(E226="NA","NA",IF(E226&gt;'Parâmetros'!$A$9,8,IF(E226&gt;'Parâmetros'!$A$8,4,IF(E226&gt;'Parâmetros'!$A$7,0,-6))))</f>
        <v>NA</v>
      </c>
      <c r="AC226" s="82">
        <f>IF(Consultas!AC226='Parâmetros'!$E$1,0,5)</f>
        <v>5</v>
      </c>
      <c r="AD226" s="82">
        <f>IF(Consultas!AH226='Parâmetros'!$D$1,-10,5)</f>
        <v>5</v>
      </c>
      <c r="AE226" s="82">
        <f>IF(Consultas!AI226&gt;(Consultas!F226*2),-10,0)</f>
        <v>0</v>
      </c>
      <c r="AF226" s="82" t="b">
        <f>IF(Consultas!AD226&gt;1,(IF(Consultas!AI226&gt;(Consultas!AD226),-20,4)))</f>
        <v>0</v>
      </c>
      <c r="AG226" s="82">
        <f>IF(Consultas!AG226='Parâmetros'!$E$1,0,-6)</f>
        <v>-6</v>
      </c>
      <c r="AH226" s="82">
        <f>IF(Consultas!AF226='Parâmetros'!$E$1,1,-5)</f>
        <v>-5</v>
      </c>
      <c r="AI226" s="82">
        <f>IF(Consultas!AJ226&gt;700,8,IF(Consultas!AJ226&gt;500,4,IF(Consultas!AJ226&gt;200,-4,IF(Consultas!AJ226&gt;1,-15,-20))))</f>
        <v>-20</v>
      </c>
      <c r="AJ226" s="82">
        <f>IF(Consultas!AD226='Parâmetros'!$E$10,0,IF(Consultas!AD226&gt;'Parâmetros'!$A$30,12,IF(Consultas!AD226&gt;'Parâmetros'!$A$31,6,IF(Consultas!AD226&gt;'Parâmetros'!$A$32,0,IF(Consultas!AD226&gt;'Parâmetros'!$A$33,0,IF(Consultas!AD226&gt;'Parâmetros'!$A$34,-3,IF(Consultas!AD226&gt;'Parâmetros'!$A$35,-7,-1)))))))</f>
        <v>-1</v>
      </c>
      <c r="AK226" s="82">
        <f>IF(Consultas!AO226='Parâmetros'!$D$1,3,-3)</f>
        <v>-3</v>
      </c>
      <c r="AL226" s="82">
        <f>IF(Consultas!AP226='Parâmetros'!$D$1,5,-3)</f>
        <v>-3</v>
      </c>
      <c r="AM226" s="82">
        <f>IF(Consultas!AL226="N",-6,0)</f>
        <v>0</v>
      </c>
      <c r="AN226" s="82">
        <f>IF(Consultas!AM226="N",-10,0)</f>
        <v>0</v>
      </c>
      <c r="AO226" s="82">
        <f>IF(Consultas!AN226="S",4,-2)</f>
        <v>-2</v>
      </c>
      <c r="AP226" s="39"/>
      <c r="AQ226" s="165" t="str">
        <f>IF(Consultas!F226&gt;1,(SUM(F226:AO226)),"N/A")</f>
        <v>N/A</v>
      </c>
      <c r="AR226" s="78">
        <f>IF((Consultas!AD226&gt;'Parâmetros'!$A$31),"X",AJ226+Y226+V226+AC226)</f>
        <v>-9</v>
      </c>
      <c r="AS226" s="78">
        <f>IF((Consultas!AD226&gt;'Parâmetros'!$A$31),"X",(H226+I226+J226+Q226+T226+Y226+Z226+AJ226+AN226))</f>
        <v>-23</v>
      </c>
      <c r="AT226" s="78" t="str">
        <f>IF((Consultas!AD226&lt;'Parâmetros'!$A$31),"X",(AD226+AC226+AB226))</f>
        <v>X</v>
      </c>
      <c r="AU226" s="78">
        <f t="shared" si="1"/>
        <v>-23</v>
      </c>
      <c r="AV226" s="82" t="str">
        <f>IF(AQ226="N/A","N/A",IF(AQ226&gt;5,'Parâmetros'!$A$15,(IF(AU226=AR226,'Parâmetros'!$A$17,IF(AU226=AS226,'Parâmetros'!$A$16,'Parâmetros'!$A$14)))))</f>
        <v>N/A</v>
      </c>
      <c r="AW226" s="86" t="str">
        <f>IF(AQ226="N/A","N/A",IF(AV226='Parâmetros'!$A$15,'Parâmetros'!$C$15,(IF(AV226='Parâmetros'!$A$17,'Parâmetros'!$C$17,IF(AV226='Parâmetros'!$A$16,'Parâmetros'!$C$16,IF(AV226='Parâmetros'!$A$14,'Parâmetros'!$C$12))))))</f>
        <v>N/A</v>
      </c>
      <c r="AX226" s="82" t="b">
        <f>IF(Consultas!F226&gt;1,(IF(Consultas!F226&gt;5000,"SOLICITAR PED COMPRA","N/A")))</f>
        <v>0</v>
      </c>
      <c r="AY226" s="167" t="str">
        <f>IF(AND(Consultas!M226&lt;&gt;"S", Consultas!H226="S"), "CHECAGEM REVERSA", "N/A")</f>
        <v>N/A</v>
      </c>
      <c r="AZ226" s="167" t="str">
        <f>IF(Consultas!U226="N","PRECISA CORRIGIR END DIVERGENTE","N/A")</f>
        <v>N/A</v>
      </c>
    </row>
    <row r="227" ht="12.0" customHeight="1">
      <c r="A227" s="39" t="s">
        <v>90</v>
      </c>
      <c r="B227" s="82" t="str">
        <f>Consultas!B227</f>
        <v/>
      </c>
      <c r="C227" s="82" t="str">
        <f>Consultas!D227</f>
        <v/>
      </c>
      <c r="D227" s="96" t="str">
        <f>Consultas!E227</f>
        <v/>
      </c>
      <c r="E227" s="104" t="str">
        <f>IF(Consultas!AB227&gt;0,YEAR('Parâmetros'!$B$1)-YEAR(Consultas!AB227),"NA")</f>
        <v>NA</v>
      </c>
      <c r="F227" s="82">
        <f>IF(Consultas!F227&gt;'Parâmetros'!$B$2,-8,0)</f>
        <v>0</v>
      </c>
      <c r="G227" s="82">
        <f>IF(Consultas!H227='Parâmetros'!$E$1,100,0)</f>
        <v>0</v>
      </c>
      <c r="H227" s="82">
        <f>IF(Consultas!I227='Parâmetros'!$E$1,-4,12)</f>
        <v>12</v>
      </c>
      <c r="I227" s="82">
        <f>IF(Consultas!J227='Parâmetros'!$E$1,1,-13)</f>
        <v>-13</v>
      </c>
      <c r="J227" s="82">
        <f>IF(Consultas!K227='Parâmetros'!$E$1,2,-5)</f>
        <v>-5</v>
      </c>
      <c r="K227" s="82" t="str">
        <f>IF(Consultas!L227='Parâmetros'!$D$1,"SOLIC CONTRATO DE ENTREGA","N/A")</f>
        <v>N/A</v>
      </c>
      <c r="L227" s="82">
        <f>IF(Consultas!R227='Parâmetros'!$E$1,1,-3)</f>
        <v>-3</v>
      </c>
      <c r="M227" s="82" t="b">
        <f>IF(Consultas!S227&gt;1,(IF(Consultas!S227='Parâmetros'!$E$1,-3,9)))</f>
        <v>0</v>
      </c>
      <c r="N227" s="82">
        <f>IF(Consultas!T227="S",23,0)</f>
        <v>0</v>
      </c>
      <c r="O227" s="82">
        <f>IF(Consultas!U227='Parâmetros'!$E$1,-3,3)</f>
        <v>3</v>
      </c>
      <c r="P227" s="82">
        <f>IF(Consultas!V227='Parâmetros'!$E$1,-100,2)</f>
        <v>2</v>
      </c>
      <c r="Q227" s="82">
        <f>IF(Consultas!M227='Parâmetros'!$D$1,2,-9)</f>
        <v>-9</v>
      </c>
      <c r="R227" s="82">
        <f>IF(Consultas!N227="RJ",-12,0)</f>
        <v>0</v>
      </c>
      <c r="S227" s="82">
        <f>IF(Consultas!O227="-",-3,IF(Consultas!O227=0,-6,IF(Consultas!O227=5,0,IF(Consultas!O227=10,6))))</f>
        <v>-6</v>
      </c>
      <c r="T227" s="82">
        <f>IF(Consultas!M227="S",0,(IF(Consultas!P227="S",6,0)))</f>
        <v>0</v>
      </c>
      <c r="U227" s="82">
        <f>IF(Consultas!Q227&gt;97,9,IF(Consultas!Q227&gt;75,0,-7))</f>
        <v>-7</v>
      </c>
      <c r="V227" s="82">
        <f>IF(Consultas!W227='Parâmetros'!$E$1,1,-5)</f>
        <v>-5</v>
      </c>
      <c r="W227" s="82">
        <f>IF(Consultas!X227="S",3,-3)</f>
        <v>-3</v>
      </c>
      <c r="X227" s="82">
        <f>IF(Consultas!Y227="S",0,-7)</f>
        <v>-7</v>
      </c>
      <c r="Y227" s="82">
        <f>IF(Consultas!Z227='Parâmetros'!$E$1,2,-8)</f>
        <v>-8</v>
      </c>
      <c r="Z227" s="82">
        <f>IF(Consultas!AA227='Parâmetros'!$E$1,-15,1)</f>
        <v>1</v>
      </c>
      <c r="AA227" s="147" t="s">
        <v>140</v>
      </c>
      <c r="AB227" s="82" t="str">
        <f>IF(E227="NA","NA",IF(E227&gt;'Parâmetros'!$A$9,8,IF(E227&gt;'Parâmetros'!$A$8,4,IF(E227&gt;'Parâmetros'!$A$7,0,-6))))</f>
        <v>NA</v>
      </c>
      <c r="AC227" s="82">
        <f>IF(Consultas!AC227='Parâmetros'!$E$1,0,5)</f>
        <v>5</v>
      </c>
      <c r="AD227" s="82">
        <f>IF(Consultas!AH227='Parâmetros'!$D$1,-10,5)</f>
        <v>5</v>
      </c>
      <c r="AE227" s="82">
        <f>IF(Consultas!AI227&gt;(Consultas!F227*2),-10,0)</f>
        <v>0</v>
      </c>
      <c r="AF227" s="82" t="b">
        <f>IF(Consultas!AD227&gt;1,(IF(Consultas!AI227&gt;(Consultas!AD227),-20,4)))</f>
        <v>0</v>
      </c>
      <c r="AG227" s="82">
        <f>IF(Consultas!AG227='Parâmetros'!$E$1,0,-6)</f>
        <v>-6</v>
      </c>
      <c r="AH227" s="82">
        <f>IF(Consultas!AF227='Parâmetros'!$E$1,1,-5)</f>
        <v>-5</v>
      </c>
      <c r="AI227" s="82">
        <f>IF(Consultas!AJ227&gt;700,8,IF(Consultas!AJ227&gt;500,4,IF(Consultas!AJ227&gt;200,-4,IF(Consultas!AJ227&gt;1,-15,-20))))</f>
        <v>-20</v>
      </c>
      <c r="AJ227" s="82">
        <f>IF(Consultas!AD227='Parâmetros'!$E$10,0,IF(Consultas!AD227&gt;'Parâmetros'!$A$30,12,IF(Consultas!AD227&gt;'Parâmetros'!$A$31,6,IF(Consultas!AD227&gt;'Parâmetros'!$A$32,0,IF(Consultas!AD227&gt;'Parâmetros'!$A$33,0,IF(Consultas!AD227&gt;'Parâmetros'!$A$34,-3,IF(Consultas!AD227&gt;'Parâmetros'!$A$35,-7,-1)))))))</f>
        <v>-1</v>
      </c>
      <c r="AK227" s="82">
        <f>IF(Consultas!AO227='Parâmetros'!$D$1,3,-3)</f>
        <v>-3</v>
      </c>
      <c r="AL227" s="82">
        <f>IF(Consultas!AP227='Parâmetros'!$D$1,5,-3)</f>
        <v>-3</v>
      </c>
      <c r="AM227" s="82">
        <f>IF(Consultas!AL227="N",-6,0)</f>
        <v>0</v>
      </c>
      <c r="AN227" s="82">
        <f>IF(Consultas!AM227="N",-10,0)</f>
        <v>0</v>
      </c>
      <c r="AO227" s="82">
        <f>IF(Consultas!AN227="S",4,-2)</f>
        <v>-2</v>
      </c>
      <c r="AP227" s="39"/>
      <c r="AQ227" s="165" t="str">
        <f>IF(Consultas!F227&gt;1,(SUM(F227:AO227)),"N/A")</f>
        <v>N/A</v>
      </c>
      <c r="AR227" s="78">
        <f>IF((Consultas!AD227&gt;'Parâmetros'!$A$31),"X",AJ227+Y227+V227+AC227)</f>
        <v>-9</v>
      </c>
      <c r="AS227" s="78">
        <f>IF((Consultas!AD227&gt;'Parâmetros'!$A$31),"X",(H227+I227+J227+Q227+T227+Y227+Z227+AJ227+AN227))</f>
        <v>-23</v>
      </c>
      <c r="AT227" s="78" t="str">
        <f>IF((Consultas!AD227&lt;'Parâmetros'!$A$31),"X",(AD227+AC227+AB227))</f>
        <v>X</v>
      </c>
      <c r="AU227" s="78">
        <f t="shared" si="1"/>
        <v>-23</v>
      </c>
      <c r="AV227" s="82" t="str">
        <f>IF(AQ227="N/A","N/A",IF(AQ227&gt;5,'Parâmetros'!$A$15,(IF(AU227=AR227,'Parâmetros'!$A$17,IF(AU227=AS227,'Parâmetros'!$A$16,'Parâmetros'!$A$14)))))</f>
        <v>N/A</v>
      </c>
      <c r="AW227" s="86" t="str">
        <f>IF(AQ227="N/A","N/A",IF(AV227='Parâmetros'!$A$15,'Parâmetros'!$C$15,(IF(AV227='Parâmetros'!$A$17,'Parâmetros'!$C$17,IF(AV227='Parâmetros'!$A$16,'Parâmetros'!$C$16,IF(AV227='Parâmetros'!$A$14,'Parâmetros'!$C$12))))))</f>
        <v>N/A</v>
      </c>
      <c r="AX227" s="82" t="b">
        <f>IF(Consultas!F227&gt;1,(IF(Consultas!F227&gt;5000,"SOLICITAR PED COMPRA","N/A")))</f>
        <v>0</v>
      </c>
      <c r="AY227" s="167" t="str">
        <f>IF(AND(Consultas!M227&lt;&gt;"S", Consultas!H227="S"), "CHECAGEM REVERSA", "N/A")</f>
        <v>N/A</v>
      </c>
      <c r="AZ227" s="167" t="str">
        <f>IF(Consultas!U227="N","PRECISA CORRIGIR END DIVERGENTE","N/A")</f>
        <v>N/A</v>
      </c>
    </row>
    <row r="228" ht="12.0" customHeight="1">
      <c r="A228" s="39" t="s">
        <v>90</v>
      </c>
      <c r="B228" s="82" t="str">
        <f>Consultas!B228</f>
        <v/>
      </c>
      <c r="C228" s="82" t="str">
        <f>Consultas!D228</f>
        <v/>
      </c>
      <c r="D228" s="96" t="str">
        <f>Consultas!E228</f>
        <v/>
      </c>
      <c r="E228" s="104" t="str">
        <f>IF(Consultas!AB228&gt;0,YEAR('Parâmetros'!$B$1)-YEAR(Consultas!AB228),"NA")</f>
        <v>NA</v>
      </c>
      <c r="F228" s="82">
        <f>IF(Consultas!F228&gt;'Parâmetros'!$B$2,-8,0)</f>
        <v>0</v>
      </c>
      <c r="G228" s="82">
        <f>IF(Consultas!H228='Parâmetros'!$E$1,100,0)</f>
        <v>0</v>
      </c>
      <c r="H228" s="82">
        <f>IF(Consultas!I228='Parâmetros'!$E$1,-4,12)</f>
        <v>12</v>
      </c>
      <c r="I228" s="82">
        <f>IF(Consultas!J228='Parâmetros'!$E$1,1,-13)</f>
        <v>-13</v>
      </c>
      <c r="J228" s="82">
        <f>IF(Consultas!K228='Parâmetros'!$E$1,2,-5)</f>
        <v>-5</v>
      </c>
      <c r="K228" s="82" t="str">
        <f>IF(Consultas!L228='Parâmetros'!$D$1,"SOLIC CONTRATO DE ENTREGA","N/A")</f>
        <v>N/A</v>
      </c>
      <c r="L228" s="82">
        <f>IF(Consultas!R228='Parâmetros'!$E$1,1,-3)</f>
        <v>-3</v>
      </c>
      <c r="M228" s="82" t="b">
        <f>IF(Consultas!S228&gt;1,(IF(Consultas!S228='Parâmetros'!$E$1,-3,9)))</f>
        <v>0</v>
      </c>
      <c r="N228" s="82">
        <f>IF(Consultas!T228="S",23,0)</f>
        <v>0</v>
      </c>
      <c r="O228" s="82">
        <f>IF(Consultas!U228='Parâmetros'!$E$1,-3,3)</f>
        <v>3</v>
      </c>
      <c r="P228" s="82">
        <f>IF(Consultas!V228='Parâmetros'!$E$1,-100,2)</f>
        <v>2</v>
      </c>
      <c r="Q228" s="82">
        <f>IF(Consultas!M228='Parâmetros'!$D$1,2,-9)</f>
        <v>-9</v>
      </c>
      <c r="R228" s="82">
        <f>IF(Consultas!N228="RJ",-12,0)</f>
        <v>0</v>
      </c>
      <c r="S228" s="82">
        <f>IF(Consultas!O228="-",-3,IF(Consultas!O228=0,-6,IF(Consultas!O228=5,0,IF(Consultas!O228=10,6))))</f>
        <v>-6</v>
      </c>
      <c r="T228" s="82">
        <f>IF(Consultas!M228="S",0,(IF(Consultas!P228="S",6,0)))</f>
        <v>0</v>
      </c>
      <c r="U228" s="82">
        <f>IF(Consultas!Q228&gt;97,9,IF(Consultas!Q228&gt;75,0,-7))</f>
        <v>-7</v>
      </c>
      <c r="V228" s="82">
        <f>IF(Consultas!W228='Parâmetros'!$E$1,1,-5)</f>
        <v>-5</v>
      </c>
      <c r="W228" s="82">
        <f>IF(Consultas!X228="S",3,-3)</f>
        <v>-3</v>
      </c>
      <c r="X228" s="82">
        <f>IF(Consultas!Y228="S",0,-7)</f>
        <v>-7</v>
      </c>
      <c r="Y228" s="82">
        <f>IF(Consultas!Z228='Parâmetros'!$E$1,2,-8)</f>
        <v>-8</v>
      </c>
      <c r="Z228" s="82">
        <f>IF(Consultas!AA228='Parâmetros'!$E$1,-15,1)</f>
        <v>1</v>
      </c>
      <c r="AA228" s="147" t="s">
        <v>140</v>
      </c>
      <c r="AB228" s="82" t="str">
        <f>IF(E228="NA","NA",IF(E228&gt;'Parâmetros'!$A$9,8,IF(E228&gt;'Parâmetros'!$A$8,4,IF(E228&gt;'Parâmetros'!$A$7,0,-6))))</f>
        <v>NA</v>
      </c>
      <c r="AC228" s="82">
        <f>IF(Consultas!AC228='Parâmetros'!$E$1,0,5)</f>
        <v>5</v>
      </c>
      <c r="AD228" s="82">
        <f>IF(Consultas!AH228='Parâmetros'!$D$1,-10,5)</f>
        <v>5</v>
      </c>
      <c r="AE228" s="82">
        <f>IF(Consultas!AI228&gt;(Consultas!F228*2),-10,0)</f>
        <v>0</v>
      </c>
      <c r="AF228" s="82" t="b">
        <f>IF(Consultas!AD228&gt;1,(IF(Consultas!AI228&gt;(Consultas!AD228),-20,4)))</f>
        <v>0</v>
      </c>
      <c r="AG228" s="82">
        <f>IF(Consultas!AG228='Parâmetros'!$E$1,0,-6)</f>
        <v>-6</v>
      </c>
      <c r="AH228" s="82">
        <f>IF(Consultas!AF228='Parâmetros'!$E$1,1,-5)</f>
        <v>-5</v>
      </c>
      <c r="AI228" s="82">
        <f>IF(Consultas!AJ228&gt;700,8,IF(Consultas!AJ228&gt;500,4,IF(Consultas!AJ228&gt;200,-4,IF(Consultas!AJ228&gt;1,-15,-20))))</f>
        <v>-20</v>
      </c>
      <c r="AJ228" s="82">
        <f>IF(Consultas!AD228='Parâmetros'!$E$10,0,IF(Consultas!AD228&gt;'Parâmetros'!$A$30,12,IF(Consultas!AD228&gt;'Parâmetros'!$A$31,6,IF(Consultas!AD228&gt;'Parâmetros'!$A$32,0,IF(Consultas!AD228&gt;'Parâmetros'!$A$33,0,IF(Consultas!AD228&gt;'Parâmetros'!$A$34,-3,IF(Consultas!AD228&gt;'Parâmetros'!$A$35,-7,-1)))))))</f>
        <v>-1</v>
      </c>
      <c r="AK228" s="82">
        <f>IF(Consultas!AO228='Parâmetros'!$D$1,3,-3)</f>
        <v>-3</v>
      </c>
      <c r="AL228" s="82">
        <f>IF(Consultas!AP228='Parâmetros'!$D$1,5,-3)</f>
        <v>-3</v>
      </c>
      <c r="AM228" s="82">
        <f>IF(Consultas!AL228="N",-6,0)</f>
        <v>0</v>
      </c>
      <c r="AN228" s="82">
        <f>IF(Consultas!AM228="N",-10,0)</f>
        <v>0</v>
      </c>
      <c r="AO228" s="82">
        <f>IF(Consultas!AN228="S",4,-2)</f>
        <v>-2</v>
      </c>
      <c r="AP228" s="39"/>
      <c r="AQ228" s="165" t="str">
        <f>IF(Consultas!F228&gt;1,(SUM(F228:AO228)),"N/A")</f>
        <v>N/A</v>
      </c>
      <c r="AR228" s="78">
        <f>IF((Consultas!AD228&gt;'Parâmetros'!$A$31),"X",AJ228+Y228+V228+AC228)</f>
        <v>-9</v>
      </c>
      <c r="AS228" s="78">
        <f>IF((Consultas!AD228&gt;'Parâmetros'!$A$31),"X",(H228+I228+J228+Q228+T228+Y228+Z228+AJ228+AN228))</f>
        <v>-23</v>
      </c>
      <c r="AT228" s="78" t="str">
        <f>IF((Consultas!AD228&lt;'Parâmetros'!$A$31),"X",(AD228+AC228+AB228))</f>
        <v>X</v>
      </c>
      <c r="AU228" s="78">
        <f t="shared" si="1"/>
        <v>-23</v>
      </c>
      <c r="AV228" s="82" t="str">
        <f>IF(AQ228="N/A","N/A",IF(AQ228&gt;5,'Parâmetros'!$A$15,(IF(AU228=AR228,'Parâmetros'!$A$17,IF(AU228=AS228,'Parâmetros'!$A$16,'Parâmetros'!$A$14)))))</f>
        <v>N/A</v>
      </c>
      <c r="AW228" s="86" t="str">
        <f>IF(AQ228="N/A","N/A",IF(AV228='Parâmetros'!$A$15,'Parâmetros'!$C$15,(IF(AV228='Parâmetros'!$A$17,'Parâmetros'!$C$17,IF(AV228='Parâmetros'!$A$16,'Parâmetros'!$C$16,IF(AV228='Parâmetros'!$A$14,'Parâmetros'!$C$12))))))</f>
        <v>N/A</v>
      </c>
      <c r="AX228" s="82" t="b">
        <f>IF(Consultas!F228&gt;1,(IF(Consultas!F228&gt;5000,"SOLICITAR PED COMPRA","N/A")))</f>
        <v>0</v>
      </c>
      <c r="AY228" s="167" t="str">
        <f>IF(AND(Consultas!M228&lt;&gt;"S", Consultas!H228="S"), "CHECAGEM REVERSA", "N/A")</f>
        <v>N/A</v>
      </c>
      <c r="AZ228" s="167" t="str">
        <f>IF(Consultas!U228="N","PRECISA CORRIGIR END DIVERGENTE","N/A")</f>
        <v>N/A</v>
      </c>
    </row>
    <row r="229" ht="12.0" customHeight="1">
      <c r="A229" s="39" t="s">
        <v>90</v>
      </c>
      <c r="B229" s="82" t="str">
        <f>Consultas!B229</f>
        <v/>
      </c>
      <c r="C229" s="82" t="str">
        <f>Consultas!D229</f>
        <v/>
      </c>
      <c r="D229" s="96" t="str">
        <f>Consultas!E229</f>
        <v/>
      </c>
      <c r="E229" s="104" t="str">
        <f>IF(Consultas!AB229&gt;0,YEAR('Parâmetros'!$B$1)-YEAR(Consultas!AB229),"NA")</f>
        <v>NA</v>
      </c>
      <c r="F229" s="82">
        <f>IF(Consultas!F229&gt;'Parâmetros'!$B$2,-8,0)</f>
        <v>0</v>
      </c>
      <c r="G229" s="82">
        <f>IF(Consultas!H229='Parâmetros'!$E$1,100,0)</f>
        <v>0</v>
      </c>
      <c r="H229" s="82">
        <f>IF(Consultas!I229='Parâmetros'!$E$1,-4,12)</f>
        <v>12</v>
      </c>
      <c r="I229" s="82">
        <f>IF(Consultas!J229='Parâmetros'!$E$1,1,-13)</f>
        <v>-13</v>
      </c>
      <c r="J229" s="82">
        <f>IF(Consultas!K229='Parâmetros'!$E$1,2,-5)</f>
        <v>-5</v>
      </c>
      <c r="K229" s="82" t="str">
        <f>IF(Consultas!L229='Parâmetros'!$D$1,"SOLIC CONTRATO DE ENTREGA","N/A")</f>
        <v>N/A</v>
      </c>
      <c r="L229" s="82">
        <f>IF(Consultas!R229='Parâmetros'!$E$1,1,-3)</f>
        <v>-3</v>
      </c>
      <c r="M229" s="82" t="b">
        <f>IF(Consultas!S229&gt;1,(IF(Consultas!S229='Parâmetros'!$E$1,-3,9)))</f>
        <v>0</v>
      </c>
      <c r="N229" s="82">
        <f>IF(Consultas!T229="S",23,0)</f>
        <v>0</v>
      </c>
      <c r="O229" s="82">
        <f>IF(Consultas!U229='Parâmetros'!$E$1,-3,3)</f>
        <v>3</v>
      </c>
      <c r="P229" s="82">
        <f>IF(Consultas!V229='Parâmetros'!$E$1,-100,2)</f>
        <v>2</v>
      </c>
      <c r="Q229" s="82">
        <f>IF(Consultas!M229='Parâmetros'!$D$1,2,-9)</f>
        <v>-9</v>
      </c>
      <c r="R229" s="82">
        <f>IF(Consultas!N229="RJ",-12,0)</f>
        <v>0</v>
      </c>
      <c r="S229" s="82">
        <f>IF(Consultas!O229="-",-3,IF(Consultas!O229=0,-6,IF(Consultas!O229=5,0,IF(Consultas!O229=10,6))))</f>
        <v>-6</v>
      </c>
      <c r="T229" s="82">
        <f>IF(Consultas!M229="S",0,(IF(Consultas!P229="S",6,0)))</f>
        <v>0</v>
      </c>
      <c r="U229" s="82">
        <f>IF(Consultas!Q229&gt;97,9,IF(Consultas!Q229&gt;75,0,-7))</f>
        <v>-7</v>
      </c>
      <c r="V229" s="82">
        <f>IF(Consultas!W229='Parâmetros'!$E$1,1,-5)</f>
        <v>-5</v>
      </c>
      <c r="W229" s="82">
        <f>IF(Consultas!X229="S",3,-3)</f>
        <v>-3</v>
      </c>
      <c r="X229" s="82">
        <f>IF(Consultas!Y229="S",0,-7)</f>
        <v>-7</v>
      </c>
      <c r="Y229" s="82">
        <f>IF(Consultas!Z229='Parâmetros'!$E$1,2,-8)</f>
        <v>-8</v>
      </c>
      <c r="Z229" s="82">
        <f>IF(Consultas!AA229='Parâmetros'!$E$1,-15,1)</f>
        <v>1</v>
      </c>
      <c r="AA229" s="147" t="s">
        <v>140</v>
      </c>
      <c r="AB229" s="82" t="str">
        <f>IF(E229="NA","NA",IF(E229&gt;'Parâmetros'!$A$9,8,IF(E229&gt;'Parâmetros'!$A$8,4,IF(E229&gt;'Parâmetros'!$A$7,0,-6))))</f>
        <v>NA</v>
      </c>
      <c r="AC229" s="82">
        <f>IF(Consultas!AC229='Parâmetros'!$E$1,0,5)</f>
        <v>5</v>
      </c>
      <c r="AD229" s="82">
        <f>IF(Consultas!AH229='Parâmetros'!$D$1,-10,5)</f>
        <v>5</v>
      </c>
      <c r="AE229" s="82">
        <f>IF(Consultas!AI229&gt;(Consultas!F229*2),-10,0)</f>
        <v>0</v>
      </c>
      <c r="AF229" s="82" t="b">
        <f>IF(Consultas!AD229&gt;1,(IF(Consultas!AI229&gt;(Consultas!AD229),-20,4)))</f>
        <v>0</v>
      </c>
      <c r="AG229" s="82">
        <f>IF(Consultas!AG229='Parâmetros'!$E$1,0,-6)</f>
        <v>-6</v>
      </c>
      <c r="AH229" s="82">
        <f>IF(Consultas!AF229='Parâmetros'!$E$1,1,-5)</f>
        <v>-5</v>
      </c>
      <c r="AI229" s="82">
        <f>IF(Consultas!AJ229&gt;700,8,IF(Consultas!AJ229&gt;500,4,IF(Consultas!AJ229&gt;200,-4,IF(Consultas!AJ229&gt;1,-15,-20))))</f>
        <v>-20</v>
      </c>
      <c r="AJ229" s="82">
        <f>IF(Consultas!AD229='Parâmetros'!$E$10,0,IF(Consultas!AD229&gt;'Parâmetros'!$A$30,12,IF(Consultas!AD229&gt;'Parâmetros'!$A$31,6,IF(Consultas!AD229&gt;'Parâmetros'!$A$32,0,IF(Consultas!AD229&gt;'Parâmetros'!$A$33,0,IF(Consultas!AD229&gt;'Parâmetros'!$A$34,-3,IF(Consultas!AD229&gt;'Parâmetros'!$A$35,-7,-1)))))))</f>
        <v>-1</v>
      </c>
      <c r="AK229" s="82">
        <f>IF(Consultas!AO229='Parâmetros'!$D$1,3,-3)</f>
        <v>-3</v>
      </c>
      <c r="AL229" s="82">
        <f>IF(Consultas!AP229='Parâmetros'!$D$1,5,-3)</f>
        <v>-3</v>
      </c>
      <c r="AM229" s="82">
        <f>IF(Consultas!AL229="N",-6,0)</f>
        <v>0</v>
      </c>
      <c r="AN229" s="82">
        <f>IF(Consultas!AM229="N",-10,0)</f>
        <v>0</v>
      </c>
      <c r="AO229" s="82">
        <f>IF(Consultas!AN229="S",4,-2)</f>
        <v>-2</v>
      </c>
      <c r="AP229" s="39"/>
      <c r="AQ229" s="165" t="str">
        <f>IF(Consultas!F229&gt;1,(SUM(F229:AO229)),"N/A")</f>
        <v>N/A</v>
      </c>
      <c r="AR229" s="78">
        <f>IF((Consultas!AD229&gt;'Parâmetros'!$A$31),"X",AJ229+Y229+V229+AC229)</f>
        <v>-9</v>
      </c>
      <c r="AS229" s="78">
        <f>IF((Consultas!AD229&gt;'Parâmetros'!$A$31),"X",(H229+I229+J229+Q229+T229+Y229+Z229+AJ229+AN229))</f>
        <v>-23</v>
      </c>
      <c r="AT229" s="78" t="str">
        <f>IF((Consultas!AD229&lt;'Parâmetros'!$A$31),"X",(AD229+AC229+AB229))</f>
        <v>X</v>
      </c>
      <c r="AU229" s="78">
        <f t="shared" si="1"/>
        <v>-23</v>
      </c>
      <c r="AV229" s="82" t="str">
        <f>IF(AQ229="N/A","N/A",IF(AQ229&gt;5,'Parâmetros'!$A$15,(IF(AU229=AR229,'Parâmetros'!$A$17,IF(AU229=AS229,'Parâmetros'!$A$16,'Parâmetros'!$A$14)))))</f>
        <v>N/A</v>
      </c>
      <c r="AW229" s="86" t="str">
        <f>IF(AQ229="N/A","N/A",IF(AV229='Parâmetros'!$A$15,'Parâmetros'!$C$15,(IF(AV229='Parâmetros'!$A$17,'Parâmetros'!$C$17,IF(AV229='Parâmetros'!$A$16,'Parâmetros'!$C$16,IF(AV229='Parâmetros'!$A$14,'Parâmetros'!$C$12))))))</f>
        <v>N/A</v>
      </c>
      <c r="AX229" s="82" t="b">
        <f>IF(Consultas!F229&gt;1,(IF(Consultas!F229&gt;5000,"SOLICITAR PED COMPRA","N/A")))</f>
        <v>0</v>
      </c>
      <c r="AY229" s="167" t="str">
        <f>IF(AND(Consultas!M229&lt;&gt;"S", Consultas!H229="S"), "CHECAGEM REVERSA", "N/A")</f>
        <v>N/A</v>
      </c>
      <c r="AZ229" s="167" t="str">
        <f>IF(Consultas!U229="N","PRECISA CORRIGIR END DIVERGENTE","N/A")</f>
        <v>N/A</v>
      </c>
    </row>
    <row r="230" ht="12.0" customHeight="1">
      <c r="A230" s="39" t="s">
        <v>90</v>
      </c>
      <c r="B230" s="82" t="str">
        <f>Consultas!B230</f>
        <v/>
      </c>
      <c r="C230" s="82" t="str">
        <f>Consultas!D230</f>
        <v/>
      </c>
      <c r="D230" s="96" t="str">
        <f>Consultas!E230</f>
        <v/>
      </c>
      <c r="E230" s="104" t="str">
        <f>IF(Consultas!AB230&gt;0,YEAR('Parâmetros'!$B$1)-YEAR(Consultas!AB230),"NA")</f>
        <v>NA</v>
      </c>
      <c r="F230" s="82">
        <f>IF(Consultas!F230&gt;'Parâmetros'!$B$2,-8,0)</f>
        <v>0</v>
      </c>
      <c r="G230" s="82">
        <f>IF(Consultas!H230='Parâmetros'!$E$1,100,0)</f>
        <v>0</v>
      </c>
      <c r="H230" s="82">
        <f>IF(Consultas!I230='Parâmetros'!$E$1,-4,12)</f>
        <v>12</v>
      </c>
      <c r="I230" s="82">
        <f>IF(Consultas!J230='Parâmetros'!$E$1,1,-13)</f>
        <v>-13</v>
      </c>
      <c r="J230" s="82">
        <f>IF(Consultas!K230='Parâmetros'!$E$1,2,-5)</f>
        <v>-5</v>
      </c>
      <c r="K230" s="82" t="str">
        <f>IF(Consultas!L230='Parâmetros'!$D$1,"SOLIC CONTRATO DE ENTREGA","N/A")</f>
        <v>N/A</v>
      </c>
      <c r="L230" s="82">
        <f>IF(Consultas!R230='Parâmetros'!$E$1,1,-3)</f>
        <v>-3</v>
      </c>
      <c r="M230" s="82" t="b">
        <f>IF(Consultas!S230&gt;1,(IF(Consultas!S230='Parâmetros'!$E$1,-3,9)))</f>
        <v>0</v>
      </c>
      <c r="N230" s="82">
        <f>IF(Consultas!T230="S",23,0)</f>
        <v>0</v>
      </c>
      <c r="O230" s="82">
        <f>IF(Consultas!U230='Parâmetros'!$E$1,-3,3)</f>
        <v>3</v>
      </c>
      <c r="P230" s="82">
        <f>IF(Consultas!V230='Parâmetros'!$E$1,-100,2)</f>
        <v>2</v>
      </c>
      <c r="Q230" s="82">
        <f>IF(Consultas!M230='Parâmetros'!$D$1,2,-9)</f>
        <v>-9</v>
      </c>
      <c r="R230" s="82">
        <f>IF(Consultas!N230="RJ",-12,0)</f>
        <v>0</v>
      </c>
      <c r="S230" s="82">
        <f>IF(Consultas!O230="-",-3,IF(Consultas!O230=0,-6,IF(Consultas!O230=5,0,IF(Consultas!O230=10,6))))</f>
        <v>-6</v>
      </c>
      <c r="T230" s="82">
        <f>IF(Consultas!M230="S",0,(IF(Consultas!P230="S",6,0)))</f>
        <v>0</v>
      </c>
      <c r="U230" s="82">
        <f>IF(Consultas!Q230&gt;97,9,IF(Consultas!Q230&gt;75,0,-7))</f>
        <v>-7</v>
      </c>
      <c r="V230" s="82">
        <f>IF(Consultas!W230='Parâmetros'!$E$1,1,-5)</f>
        <v>-5</v>
      </c>
      <c r="W230" s="82">
        <f>IF(Consultas!X230="S",3,-3)</f>
        <v>-3</v>
      </c>
      <c r="X230" s="82">
        <f>IF(Consultas!Y230="S",0,-7)</f>
        <v>-7</v>
      </c>
      <c r="Y230" s="82">
        <f>IF(Consultas!Z230='Parâmetros'!$E$1,2,-8)</f>
        <v>-8</v>
      </c>
      <c r="Z230" s="82">
        <f>IF(Consultas!AA230='Parâmetros'!$E$1,-15,1)</f>
        <v>1</v>
      </c>
      <c r="AA230" s="147" t="s">
        <v>140</v>
      </c>
      <c r="AB230" s="82" t="str">
        <f>IF(E230="NA","NA",IF(E230&gt;'Parâmetros'!$A$9,8,IF(E230&gt;'Parâmetros'!$A$8,4,IF(E230&gt;'Parâmetros'!$A$7,0,-6))))</f>
        <v>NA</v>
      </c>
      <c r="AC230" s="82">
        <f>IF(Consultas!AC230='Parâmetros'!$E$1,0,5)</f>
        <v>5</v>
      </c>
      <c r="AD230" s="82">
        <f>IF(Consultas!AH230='Parâmetros'!$D$1,-10,5)</f>
        <v>5</v>
      </c>
      <c r="AE230" s="82">
        <f>IF(Consultas!AI230&gt;(Consultas!F230*2),-10,0)</f>
        <v>0</v>
      </c>
      <c r="AF230" s="82" t="b">
        <f>IF(Consultas!AD230&gt;1,(IF(Consultas!AI230&gt;(Consultas!AD230),-20,4)))</f>
        <v>0</v>
      </c>
      <c r="AG230" s="82">
        <f>IF(Consultas!AG230='Parâmetros'!$E$1,0,-6)</f>
        <v>-6</v>
      </c>
      <c r="AH230" s="82">
        <f>IF(Consultas!AF230='Parâmetros'!$E$1,1,-5)</f>
        <v>-5</v>
      </c>
      <c r="AI230" s="82">
        <f>IF(Consultas!AJ230&gt;700,8,IF(Consultas!AJ230&gt;500,4,IF(Consultas!AJ230&gt;200,-4,IF(Consultas!AJ230&gt;1,-15,-20))))</f>
        <v>-20</v>
      </c>
      <c r="AJ230" s="82">
        <f>IF(Consultas!AD230='Parâmetros'!$E$10,0,IF(Consultas!AD230&gt;'Parâmetros'!$A$30,12,IF(Consultas!AD230&gt;'Parâmetros'!$A$31,6,IF(Consultas!AD230&gt;'Parâmetros'!$A$32,0,IF(Consultas!AD230&gt;'Parâmetros'!$A$33,0,IF(Consultas!AD230&gt;'Parâmetros'!$A$34,-3,IF(Consultas!AD230&gt;'Parâmetros'!$A$35,-7,-1)))))))</f>
        <v>-1</v>
      </c>
      <c r="AK230" s="82">
        <f>IF(Consultas!AO230='Parâmetros'!$D$1,3,-3)</f>
        <v>-3</v>
      </c>
      <c r="AL230" s="82">
        <f>IF(Consultas!AP230='Parâmetros'!$D$1,5,-3)</f>
        <v>-3</v>
      </c>
      <c r="AM230" s="82">
        <f>IF(Consultas!AL230="N",-6,0)</f>
        <v>0</v>
      </c>
      <c r="AN230" s="82">
        <f>IF(Consultas!AM230="N",-10,0)</f>
        <v>0</v>
      </c>
      <c r="AO230" s="82">
        <f>IF(Consultas!AN230="S",4,-2)</f>
        <v>-2</v>
      </c>
      <c r="AP230" s="39"/>
      <c r="AQ230" s="165" t="str">
        <f>IF(Consultas!F230&gt;1,(SUM(F230:AO230)),"N/A")</f>
        <v>N/A</v>
      </c>
      <c r="AR230" s="78">
        <f>IF((Consultas!AD230&gt;'Parâmetros'!$A$31),"X",AJ230+Y230+V230+AC230)</f>
        <v>-9</v>
      </c>
      <c r="AS230" s="78">
        <f>IF((Consultas!AD230&gt;'Parâmetros'!$A$31),"X",(H230+I230+J230+Q230+T230+Y230+Z230+AJ230+AN230))</f>
        <v>-23</v>
      </c>
      <c r="AT230" s="78" t="str">
        <f>IF((Consultas!AD230&lt;'Parâmetros'!$A$31),"X",(AD230+AC230+AB230))</f>
        <v>X</v>
      </c>
      <c r="AU230" s="78">
        <f t="shared" si="1"/>
        <v>-23</v>
      </c>
      <c r="AV230" s="82" t="str">
        <f>IF(AQ230="N/A","N/A",IF(AQ230&gt;5,'Parâmetros'!$A$15,(IF(AU230=AR230,'Parâmetros'!$A$17,IF(AU230=AS230,'Parâmetros'!$A$16,'Parâmetros'!$A$14)))))</f>
        <v>N/A</v>
      </c>
      <c r="AW230" s="86" t="str">
        <f>IF(AQ230="N/A","N/A",IF(AV230='Parâmetros'!$A$15,'Parâmetros'!$C$15,(IF(AV230='Parâmetros'!$A$17,'Parâmetros'!$C$17,IF(AV230='Parâmetros'!$A$16,'Parâmetros'!$C$16,IF(AV230='Parâmetros'!$A$14,'Parâmetros'!$C$12))))))</f>
        <v>N/A</v>
      </c>
      <c r="AX230" s="82" t="b">
        <f>IF(Consultas!F230&gt;1,(IF(Consultas!F230&gt;5000,"SOLICITAR PED COMPRA","N/A")))</f>
        <v>0</v>
      </c>
      <c r="AY230" s="167" t="str">
        <f>IF(AND(Consultas!M230&lt;&gt;"S", Consultas!H230="S"), "CHECAGEM REVERSA", "N/A")</f>
        <v>N/A</v>
      </c>
      <c r="AZ230" s="167" t="str">
        <f>IF(Consultas!U230="N","PRECISA CORRIGIR END DIVERGENTE","N/A")</f>
        <v>N/A</v>
      </c>
    </row>
    <row r="231" ht="12.0" customHeight="1">
      <c r="A231" s="39" t="s">
        <v>90</v>
      </c>
      <c r="B231" s="82" t="str">
        <f>Consultas!B231</f>
        <v/>
      </c>
      <c r="C231" s="82" t="str">
        <f>Consultas!D231</f>
        <v/>
      </c>
      <c r="D231" s="96" t="str">
        <f>Consultas!E231</f>
        <v/>
      </c>
      <c r="E231" s="104" t="str">
        <f>IF(Consultas!AB231&gt;0,YEAR('Parâmetros'!$B$1)-YEAR(Consultas!AB231),"NA")</f>
        <v>NA</v>
      </c>
      <c r="F231" s="82">
        <f>IF(Consultas!F231&gt;'Parâmetros'!$B$2,-8,0)</f>
        <v>0</v>
      </c>
      <c r="G231" s="82">
        <f>IF(Consultas!H231='Parâmetros'!$E$1,100,0)</f>
        <v>0</v>
      </c>
      <c r="H231" s="82">
        <f>IF(Consultas!I231='Parâmetros'!$E$1,-4,12)</f>
        <v>12</v>
      </c>
      <c r="I231" s="82">
        <f>IF(Consultas!J231='Parâmetros'!$E$1,1,-13)</f>
        <v>-13</v>
      </c>
      <c r="J231" s="82">
        <f>IF(Consultas!K231='Parâmetros'!$E$1,2,-5)</f>
        <v>-5</v>
      </c>
      <c r="K231" s="82" t="str">
        <f>IF(Consultas!L231='Parâmetros'!$D$1,"SOLIC CONTRATO DE ENTREGA","N/A")</f>
        <v>N/A</v>
      </c>
      <c r="L231" s="82">
        <f>IF(Consultas!R231='Parâmetros'!$E$1,1,-3)</f>
        <v>-3</v>
      </c>
      <c r="M231" s="82" t="b">
        <f>IF(Consultas!S231&gt;1,(IF(Consultas!S231='Parâmetros'!$E$1,-3,9)))</f>
        <v>0</v>
      </c>
      <c r="N231" s="82">
        <f>IF(Consultas!T231="S",23,0)</f>
        <v>0</v>
      </c>
      <c r="O231" s="82">
        <f>IF(Consultas!U231='Parâmetros'!$E$1,-3,3)</f>
        <v>3</v>
      </c>
      <c r="P231" s="82">
        <f>IF(Consultas!V231='Parâmetros'!$E$1,-100,2)</f>
        <v>2</v>
      </c>
      <c r="Q231" s="82">
        <f>IF(Consultas!M231='Parâmetros'!$D$1,2,-9)</f>
        <v>-9</v>
      </c>
      <c r="R231" s="82">
        <f>IF(Consultas!N231="RJ",-12,0)</f>
        <v>0</v>
      </c>
      <c r="S231" s="82">
        <f>IF(Consultas!O231="-",-3,IF(Consultas!O231=0,-6,IF(Consultas!O231=5,0,IF(Consultas!O231=10,6))))</f>
        <v>-6</v>
      </c>
      <c r="T231" s="82">
        <f>IF(Consultas!M231="S",0,(IF(Consultas!P231="S",6,0)))</f>
        <v>0</v>
      </c>
      <c r="U231" s="82">
        <f>IF(Consultas!Q231&gt;97,9,IF(Consultas!Q231&gt;75,0,-7))</f>
        <v>-7</v>
      </c>
      <c r="V231" s="82">
        <f>IF(Consultas!W231='Parâmetros'!$E$1,1,-5)</f>
        <v>-5</v>
      </c>
      <c r="W231" s="82">
        <f>IF(Consultas!X231="S",3,-3)</f>
        <v>-3</v>
      </c>
      <c r="X231" s="82">
        <f>IF(Consultas!Y231="S",0,-7)</f>
        <v>-7</v>
      </c>
      <c r="Y231" s="82">
        <f>IF(Consultas!Z231='Parâmetros'!$E$1,2,-8)</f>
        <v>-8</v>
      </c>
      <c r="Z231" s="82">
        <f>IF(Consultas!AA231='Parâmetros'!$E$1,-15,1)</f>
        <v>1</v>
      </c>
      <c r="AA231" s="147" t="s">
        <v>140</v>
      </c>
      <c r="AB231" s="82" t="str">
        <f>IF(E231="NA","NA",IF(E231&gt;'Parâmetros'!$A$9,8,IF(E231&gt;'Parâmetros'!$A$8,4,IF(E231&gt;'Parâmetros'!$A$7,0,-6))))</f>
        <v>NA</v>
      </c>
      <c r="AC231" s="82">
        <f>IF(Consultas!AC231='Parâmetros'!$E$1,0,5)</f>
        <v>5</v>
      </c>
      <c r="AD231" s="82">
        <f>IF(Consultas!AH231='Parâmetros'!$D$1,-10,5)</f>
        <v>5</v>
      </c>
      <c r="AE231" s="82">
        <f>IF(Consultas!AI231&gt;(Consultas!F231*2),-10,0)</f>
        <v>0</v>
      </c>
      <c r="AF231" s="82" t="b">
        <f>IF(Consultas!AD231&gt;1,(IF(Consultas!AI231&gt;(Consultas!AD231),-20,4)))</f>
        <v>0</v>
      </c>
      <c r="AG231" s="82">
        <f>IF(Consultas!AG231='Parâmetros'!$E$1,0,-6)</f>
        <v>-6</v>
      </c>
      <c r="AH231" s="82">
        <f>IF(Consultas!AF231='Parâmetros'!$E$1,1,-5)</f>
        <v>-5</v>
      </c>
      <c r="AI231" s="82">
        <f>IF(Consultas!AJ231&gt;700,8,IF(Consultas!AJ231&gt;500,4,IF(Consultas!AJ231&gt;200,-4,IF(Consultas!AJ231&gt;1,-15,-20))))</f>
        <v>-20</v>
      </c>
      <c r="AJ231" s="82">
        <f>IF(Consultas!AD231='Parâmetros'!$E$10,0,IF(Consultas!AD231&gt;'Parâmetros'!$A$30,12,IF(Consultas!AD231&gt;'Parâmetros'!$A$31,6,IF(Consultas!AD231&gt;'Parâmetros'!$A$32,0,IF(Consultas!AD231&gt;'Parâmetros'!$A$33,0,IF(Consultas!AD231&gt;'Parâmetros'!$A$34,-3,IF(Consultas!AD231&gt;'Parâmetros'!$A$35,-7,-1)))))))</f>
        <v>-1</v>
      </c>
      <c r="AK231" s="82">
        <f>IF(Consultas!AO231='Parâmetros'!$D$1,3,-3)</f>
        <v>-3</v>
      </c>
      <c r="AL231" s="82">
        <f>IF(Consultas!AP231='Parâmetros'!$D$1,5,-3)</f>
        <v>-3</v>
      </c>
      <c r="AM231" s="82">
        <f>IF(Consultas!AL231="N",-6,0)</f>
        <v>0</v>
      </c>
      <c r="AN231" s="82">
        <f>IF(Consultas!AM231="N",-10,0)</f>
        <v>0</v>
      </c>
      <c r="AO231" s="82">
        <f>IF(Consultas!AN231="S",4,-2)</f>
        <v>-2</v>
      </c>
      <c r="AP231" s="39"/>
      <c r="AQ231" s="165" t="str">
        <f>IF(Consultas!F231&gt;1,(SUM(F231:AO231)),"N/A")</f>
        <v>N/A</v>
      </c>
      <c r="AR231" s="78">
        <f>IF((Consultas!AD231&gt;'Parâmetros'!$A$31),"X",AJ231+Y231+V231+AC231)</f>
        <v>-9</v>
      </c>
      <c r="AS231" s="78">
        <f>IF((Consultas!AD231&gt;'Parâmetros'!$A$31),"X",(H231+I231+J231+Q231+T231+Y231+Z231+AJ231+AN231))</f>
        <v>-23</v>
      </c>
      <c r="AT231" s="78" t="str">
        <f>IF((Consultas!AD231&lt;'Parâmetros'!$A$31),"X",(AD231+AC231+AB231))</f>
        <v>X</v>
      </c>
      <c r="AU231" s="78">
        <f t="shared" si="1"/>
        <v>-23</v>
      </c>
      <c r="AV231" s="82" t="str">
        <f>IF(AQ231="N/A","N/A",IF(AQ231&gt;5,'Parâmetros'!$A$15,(IF(AU231=AR231,'Parâmetros'!$A$17,IF(AU231=AS231,'Parâmetros'!$A$16,'Parâmetros'!$A$14)))))</f>
        <v>N/A</v>
      </c>
      <c r="AW231" s="86" t="str">
        <f>IF(AQ231="N/A","N/A",IF(AV231='Parâmetros'!$A$15,'Parâmetros'!$C$15,(IF(AV231='Parâmetros'!$A$17,'Parâmetros'!$C$17,IF(AV231='Parâmetros'!$A$16,'Parâmetros'!$C$16,IF(AV231='Parâmetros'!$A$14,'Parâmetros'!$C$12))))))</f>
        <v>N/A</v>
      </c>
      <c r="AX231" s="82" t="b">
        <f>IF(Consultas!F231&gt;1,(IF(Consultas!F231&gt;5000,"SOLICITAR PED COMPRA","N/A")))</f>
        <v>0</v>
      </c>
      <c r="AY231" s="167" t="str">
        <f>IF(AND(Consultas!M231&lt;&gt;"S", Consultas!H231="S"), "CHECAGEM REVERSA", "N/A")</f>
        <v>N/A</v>
      </c>
      <c r="AZ231" s="167" t="str">
        <f>IF(Consultas!U231="N","PRECISA CORRIGIR END DIVERGENTE","N/A")</f>
        <v>N/A</v>
      </c>
    </row>
    <row r="232" ht="12.0" customHeight="1">
      <c r="A232" s="39" t="s">
        <v>90</v>
      </c>
      <c r="B232" s="82" t="str">
        <f>Consultas!B232</f>
        <v/>
      </c>
      <c r="C232" s="82" t="str">
        <f>Consultas!D232</f>
        <v/>
      </c>
      <c r="D232" s="96" t="str">
        <f>Consultas!E232</f>
        <v/>
      </c>
      <c r="E232" s="104" t="str">
        <f>IF(Consultas!AB232&gt;0,YEAR('Parâmetros'!$B$1)-YEAR(Consultas!AB232),"NA")</f>
        <v>NA</v>
      </c>
      <c r="F232" s="82">
        <f>IF(Consultas!F232&gt;'Parâmetros'!$B$2,-8,0)</f>
        <v>0</v>
      </c>
      <c r="G232" s="82">
        <f>IF(Consultas!H232='Parâmetros'!$E$1,100,0)</f>
        <v>0</v>
      </c>
      <c r="H232" s="82">
        <f>IF(Consultas!I232='Parâmetros'!$E$1,-4,12)</f>
        <v>12</v>
      </c>
      <c r="I232" s="82">
        <f>IF(Consultas!J232='Parâmetros'!$E$1,1,-13)</f>
        <v>-13</v>
      </c>
      <c r="J232" s="82">
        <f>IF(Consultas!K232='Parâmetros'!$E$1,2,-5)</f>
        <v>-5</v>
      </c>
      <c r="K232" s="82" t="str">
        <f>IF(Consultas!L232='Parâmetros'!$D$1,"SOLIC CONTRATO DE ENTREGA","N/A")</f>
        <v>N/A</v>
      </c>
      <c r="L232" s="82">
        <f>IF(Consultas!R232='Parâmetros'!$E$1,1,-3)</f>
        <v>-3</v>
      </c>
      <c r="M232" s="82" t="b">
        <f>IF(Consultas!S232&gt;1,(IF(Consultas!S232='Parâmetros'!$E$1,-3,9)))</f>
        <v>0</v>
      </c>
      <c r="N232" s="82">
        <f>IF(Consultas!T232="S",23,0)</f>
        <v>0</v>
      </c>
      <c r="O232" s="82">
        <f>IF(Consultas!U232='Parâmetros'!$E$1,-3,3)</f>
        <v>3</v>
      </c>
      <c r="P232" s="82">
        <f>IF(Consultas!V232='Parâmetros'!$E$1,-100,2)</f>
        <v>2</v>
      </c>
      <c r="Q232" s="82">
        <f>IF(Consultas!M232='Parâmetros'!$D$1,2,-9)</f>
        <v>-9</v>
      </c>
      <c r="R232" s="82">
        <f>IF(Consultas!N232="RJ",-12,0)</f>
        <v>0</v>
      </c>
      <c r="S232" s="82">
        <f>IF(Consultas!O232="-",-3,IF(Consultas!O232=0,-6,IF(Consultas!O232=5,0,IF(Consultas!O232=10,6))))</f>
        <v>-6</v>
      </c>
      <c r="T232" s="82">
        <f>IF(Consultas!M232="S",0,(IF(Consultas!P232="S",6,0)))</f>
        <v>0</v>
      </c>
      <c r="U232" s="82">
        <f>IF(Consultas!Q232&gt;97,9,IF(Consultas!Q232&gt;75,0,-7))</f>
        <v>-7</v>
      </c>
      <c r="V232" s="82">
        <f>IF(Consultas!W232='Parâmetros'!$E$1,1,-5)</f>
        <v>-5</v>
      </c>
      <c r="W232" s="82">
        <f>IF(Consultas!X232="S",3,-3)</f>
        <v>-3</v>
      </c>
      <c r="X232" s="82">
        <f>IF(Consultas!Y232="S",0,-7)</f>
        <v>-7</v>
      </c>
      <c r="Y232" s="82">
        <f>IF(Consultas!Z232='Parâmetros'!$E$1,2,-8)</f>
        <v>-8</v>
      </c>
      <c r="Z232" s="82">
        <f>IF(Consultas!AA232='Parâmetros'!$E$1,-15,1)</f>
        <v>1</v>
      </c>
      <c r="AA232" s="147" t="s">
        <v>140</v>
      </c>
      <c r="AB232" s="82" t="str">
        <f>IF(E232="NA","NA",IF(E232&gt;'Parâmetros'!$A$9,8,IF(E232&gt;'Parâmetros'!$A$8,4,IF(E232&gt;'Parâmetros'!$A$7,0,-6))))</f>
        <v>NA</v>
      </c>
      <c r="AC232" s="82">
        <f>IF(Consultas!AC232='Parâmetros'!$E$1,0,5)</f>
        <v>5</v>
      </c>
      <c r="AD232" s="82">
        <f>IF(Consultas!AH232='Parâmetros'!$D$1,-10,5)</f>
        <v>5</v>
      </c>
      <c r="AE232" s="82">
        <f>IF(Consultas!AI232&gt;(Consultas!F232*2),-10,0)</f>
        <v>0</v>
      </c>
      <c r="AF232" s="82" t="b">
        <f>IF(Consultas!AD232&gt;1,(IF(Consultas!AI232&gt;(Consultas!AD232),-20,4)))</f>
        <v>0</v>
      </c>
      <c r="AG232" s="82">
        <f>IF(Consultas!AG232='Parâmetros'!$E$1,0,-6)</f>
        <v>-6</v>
      </c>
      <c r="AH232" s="82">
        <f>IF(Consultas!AF232='Parâmetros'!$E$1,1,-5)</f>
        <v>-5</v>
      </c>
      <c r="AI232" s="82">
        <f>IF(Consultas!AJ232&gt;700,8,IF(Consultas!AJ232&gt;500,4,IF(Consultas!AJ232&gt;200,-4,IF(Consultas!AJ232&gt;1,-15,-20))))</f>
        <v>-20</v>
      </c>
      <c r="AJ232" s="82">
        <f>IF(Consultas!AD232='Parâmetros'!$E$10,0,IF(Consultas!AD232&gt;'Parâmetros'!$A$30,12,IF(Consultas!AD232&gt;'Parâmetros'!$A$31,6,IF(Consultas!AD232&gt;'Parâmetros'!$A$32,0,IF(Consultas!AD232&gt;'Parâmetros'!$A$33,0,IF(Consultas!AD232&gt;'Parâmetros'!$A$34,-3,IF(Consultas!AD232&gt;'Parâmetros'!$A$35,-7,-1)))))))</f>
        <v>-1</v>
      </c>
      <c r="AK232" s="82">
        <f>IF(Consultas!AO232='Parâmetros'!$D$1,3,-3)</f>
        <v>-3</v>
      </c>
      <c r="AL232" s="82">
        <f>IF(Consultas!AP232='Parâmetros'!$D$1,5,-3)</f>
        <v>-3</v>
      </c>
      <c r="AM232" s="82">
        <f>IF(Consultas!AL232="N",-6,0)</f>
        <v>0</v>
      </c>
      <c r="AN232" s="82">
        <f>IF(Consultas!AM232="N",-10,0)</f>
        <v>0</v>
      </c>
      <c r="AO232" s="82">
        <f>IF(Consultas!AN232="S",4,-2)</f>
        <v>-2</v>
      </c>
      <c r="AP232" s="39"/>
      <c r="AQ232" s="165" t="str">
        <f>IF(Consultas!F232&gt;1,(SUM(F232:AO232)),"N/A")</f>
        <v>N/A</v>
      </c>
      <c r="AR232" s="78">
        <f>IF((Consultas!AD232&gt;'Parâmetros'!$A$31),"X",AJ232+Y232+V232+AC232)</f>
        <v>-9</v>
      </c>
      <c r="AS232" s="78">
        <f>IF((Consultas!AD232&gt;'Parâmetros'!$A$31),"X",(H232+I232+J232+Q232+T232+Y232+Z232+AJ232+AN232))</f>
        <v>-23</v>
      </c>
      <c r="AT232" s="78" t="str">
        <f>IF((Consultas!AD232&lt;'Parâmetros'!$A$31),"X",(AD232+AC232+AB232))</f>
        <v>X</v>
      </c>
      <c r="AU232" s="78">
        <f t="shared" si="1"/>
        <v>-23</v>
      </c>
      <c r="AV232" s="82" t="str">
        <f>IF(AQ232="N/A","N/A",IF(AQ232&gt;5,'Parâmetros'!$A$15,(IF(AU232=AR232,'Parâmetros'!$A$17,IF(AU232=AS232,'Parâmetros'!$A$16,'Parâmetros'!$A$14)))))</f>
        <v>N/A</v>
      </c>
      <c r="AW232" s="86" t="str">
        <f>IF(AQ232="N/A","N/A",IF(AV232='Parâmetros'!$A$15,'Parâmetros'!$C$15,(IF(AV232='Parâmetros'!$A$17,'Parâmetros'!$C$17,IF(AV232='Parâmetros'!$A$16,'Parâmetros'!$C$16,IF(AV232='Parâmetros'!$A$14,'Parâmetros'!$C$12))))))</f>
        <v>N/A</v>
      </c>
      <c r="AX232" s="82" t="b">
        <f>IF(Consultas!F232&gt;1,(IF(Consultas!F232&gt;5000,"SOLICITAR PED COMPRA","N/A")))</f>
        <v>0</v>
      </c>
      <c r="AY232" s="167" t="str">
        <f>IF(AND(Consultas!M232&lt;&gt;"S", Consultas!H232="S"), "CHECAGEM REVERSA", "N/A")</f>
        <v>N/A</v>
      </c>
      <c r="AZ232" s="167" t="str">
        <f>IF(Consultas!U232="N","PRECISA CORRIGIR END DIVERGENTE","N/A")</f>
        <v>N/A</v>
      </c>
    </row>
    <row r="233" ht="12.0" customHeight="1">
      <c r="A233" s="39" t="s">
        <v>90</v>
      </c>
      <c r="B233" s="82" t="str">
        <f>Consultas!B233</f>
        <v/>
      </c>
      <c r="C233" s="82" t="str">
        <f>Consultas!D233</f>
        <v/>
      </c>
      <c r="D233" s="96" t="str">
        <f>Consultas!E233</f>
        <v/>
      </c>
      <c r="E233" s="104" t="str">
        <f>IF(Consultas!AB233&gt;0,YEAR('Parâmetros'!$B$1)-YEAR(Consultas!AB233),"NA")</f>
        <v>NA</v>
      </c>
      <c r="F233" s="82">
        <f>IF(Consultas!F233&gt;'Parâmetros'!$B$2,-8,0)</f>
        <v>0</v>
      </c>
      <c r="G233" s="82">
        <f>IF(Consultas!H233='Parâmetros'!$E$1,100,0)</f>
        <v>0</v>
      </c>
      <c r="H233" s="82">
        <f>IF(Consultas!I233='Parâmetros'!$E$1,-4,12)</f>
        <v>12</v>
      </c>
      <c r="I233" s="82">
        <f>IF(Consultas!J233='Parâmetros'!$E$1,1,-13)</f>
        <v>-13</v>
      </c>
      <c r="J233" s="82">
        <f>IF(Consultas!K233='Parâmetros'!$E$1,2,-5)</f>
        <v>-5</v>
      </c>
      <c r="K233" s="82" t="str">
        <f>IF(Consultas!L233='Parâmetros'!$D$1,"SOLIC CONTRATO DE ENTREGA","N/A")</f>
        <v>N/A</v>
      </c>
      <c r="L233" s="82">
        <f>IF(Consultas!R233='Parâmetros'!$E$1,1,-3)</f>
        <v>-3</v>
      </c>
      <c r="M233" s="82" t="b">
        <f>IF(Consultas!S233&gt;1,(IF(Consultas!S233='Parâmetros'!$E$1,-3,9)))</f>
        <v>0</v>
      </c>
      <c r="N233" s="82">
        <f>IF(Consultas!T233="S",23,0)</f>
        <v>0</v>
      </c>
      <c r="O233" s="82">
        <f>IF(Consultas!U233='Parâmetros'!$E$1,-3,3)</f>
        <v>3</v>
      </c>
      <c r="P233" s="82">
        <f>IF(Consultas!V233='Parâmetros'!$E$1,-100,2)</f>
        <v>2</v>
      </c>
      <c r="Q233" s="82">
        <f>IF(Consultas!M233='Parâmetros'!$D$1,2,-9)</f>
        <v>-9</v>
      </c>
      <c r="R233" s="82">
        <f>IF(Consultas!N233="RJ",-12,0)</f>
        <v>0</v>
      </c>
      <c r="S233" s="82">
        <f>IF(Consultas!O233="-",-3,IF(Consultas!O233=0,-6,IF(Consultas!O233=5,0,IF(Consultas!O233=10,6))))</f>
        <v>-6</v>
      </c>
      <c r="T233" s="82">
        <f>IF(Consultas!M233="S",0,(IF(Consultas!P233="S",6,0)))</f>
        <v>0</v>
      </c>
      <c r="U233" s="82">
        <f>IF(Consultas!Q233&gt;97,9,IF(Consultas!Q233&gt;75,0,-7))</f>
        <v>-7</v>
      </c>
      <c r="V233" s="82">
        <f>IF(Consultas!W233='Parâmetros'!$E$1,1,-5)</f>
        <v>-5</v>
      </c>
      <c r="W233" s="82">
        <f>IF(Consultas!X233="S",3,-3)</f>
        <v>-3</v>
      </c>
      <c r="X233" s="82">
        <f>IF(Consultas!Y233="S",0,-7)</f>
        <v>-7</v>
      </c>
      <c r="Y233" s="82">
        <f>IF(Consultas!Z233='Parâmetros'!$E$1,2,-8)</f>
        <v>-8</v>
      </c>
      <c r="Z233" s="82">
        <f>IF(Consultas!AA233='Parâmetros'!$E$1,-15,1)</f>
        <v>1</v>
      </c>
      <c r="AA233" s="147" t="s">
        <v>140</v>
      </c>
      <c r="AB233" s="82" t="str">
        <f>IF(E233="NA","NA",IF(E233&gt;'Parâmetros'!$A$9,8,IF(E233&gt;'Parâmetros'!$A$8,4,IF(E233&gt;'Parâmetros'!$A$7,0,-6))))</f>
        <v>NA</v>
      </c>
      <c r="AC233" s="82">
        <f>IF(Consultas!AC233='Parâmetros'!$E$1,0,5)</f>
        <v>5</v>
      </c>
      <c r="AD233" s="82">
        <f>IF(Consultas!AH233='Parâmetros'!$D$1,-10,5)</f>
        <v>5</v>
      </c>
      <c r="AE233" s="82">
        <f>IF(Consultas!AI233&gt;(Consultas!F233*2),-10,0)</f>
        <v>0</v>
      </c>
      <c r="AF233" s="82" t="b">
        <f>IF(Consultas!AD233&gt;1,(IF(Consultas!AI233&gt;(Consultas!AD233),-20,4)))</f>
        <v>0</v>
      </c>
      <c r="AG233" s="82">
        <f>IF(Consultas!AG233='Parâmetros'!$E$1,0,-6)</f>
        <v>-6</v>
      </c>
      <c r="AH233" s="82">
        <f>IF(Consultas!AF233='Parâmetros'!$E$1,1,-5)</f>
        <v>-5</v>
      </c>
      <c r="AI233" s="82">
        <f>IF(Consultas!AJ233&gt;700,8,IF(Consultas!AJ233&gt;500,4,IF(Consultas!AJ233&gt;200,-4,IF(Consultas!AJ233&gt;1,-15,-20))))</f>
        <v>-20</v>
      </c>
      <c r="AJ233" s="82">
        <f>IF(Consultas!AD233='Parâmetros'!$E$10,0,IF(Consultas!AD233&gt;'Parâmetros'!$A$30,12,IF(Consultas!AD233&gt;'Parâmetros'!$A$31,6,IF(Consultas!AD233&gt;'Parâmetros'!$A$32,0,IF(Consultas!AD233&gt;'Parâmetros'!$A$33,0,IF(Consultas!AD233&gt;'Parâmetros'!$A$34,-3,IF(Consultas!AD233&gt;'Parâmetros'!$A$35,-7,-1)))))))</f>
        <v>-1</v>
      </c>
      <c r="AK233" s="82">
        <f>IF(Consultas!AO233='Parâmetros'!$D$1,3,-3)</f>
        <v>-3</v>
      </c>
      <c r="AL233" s="82">
        <f>IF(Consultas!AP233='Parâmetros'!$D$1,5,-3)</f>
        <v>-3</v>
      </c>
      <c r="AM233" s="82">
        <f>IF(Consultas!AL233="N",-6,0)</f>
        <v>0</v>
      </c>
      <c r="AN233" s="82">
        <f>IF(Consultas!AM233="N",-10,0)</f>
        <v>0</v>
      </c>
      <c r="AO233" s="82">
        <f>IF(Consultas!AN233="S",4,-2)</f>
        <v>-2</v>
      </c>
      <c r="AP233" s="39"/>
      <c r="AQ233" s="165" t="str">
        <f>IF(Consultas!F233&gt;1,(SUM(F233:AO233)),"N/A")</f>
        <v>N/A</v>
      </c>
      <c r="AR233" s="78">
        <f>IF((Consultas!AD233&gt;'Parâmetros'!$A$31),"X",AJ233+Y233+V233+AC233)</f>
        <v>-9</v>
      </c>
      <c r="AS233" s="78">
        <f>IF((Consultas!AD233&gt;'Parâmetros'!$A$31),"X",(H233+I233+J233+Q233+T233+Y233+Z233+AJ233+AN233))</f>
        <v>-23</v>
      </c>
      <c r="AT233" s="78" t="str">
        <f>IF((Consultas!AD233&lt;'Parâmetros'!$A$31),"X",(AD233+AC233+AB233))</f>
        <v>X</v>
      </c>
      <c r="AU233" s="78">
        <f t="shared" si="1"/>
        <v>-23</v>
      </c>
      <c r="AV233" s="82" t="str">
        <f>IF(AQ233="N/A","N/A",IF(AQ233&gt;5,'Parâmetros'!$A$15,(IF(AU233=AR233,'Parâmetros'!$A$17,IF(AU233=AS233,'Parâmetros'!$A$16,'Parâmetros'!$A$14)))))</f>
        <v>N/A</v>
      </c>
      <c r="AW233" s="86" t="str">
        <f>IF(AQ233="N/A","N/A",IF(AV233='Parâmetros'!$A$15,'Parâmetros'!$C$15,(IF(AV233='Parâmetros'!$A$17,'Parâmetros'!$C$17,IF(AV233='Parâmetros'!$A$16,'Parâmetros'!$C$16,IF(AV233='Parâmetros'!$A$14,'Parâmetros'!$C$12))))))</f>
        <v>N/A</v>
      </c>
      <c r="AX233" s="82" t="b">
        <f>IF(Consultas!F233&gt;1,(IF(Consultas!F233&gt;5000,"SOLICITAR PED COMPRA","N/A")))</f>
        <v>0</v>
      </c>
      <c r="AY233" s="167" t="str">
        <f>IF(AND(Consultas!M233&lt;&gt;"S", Consultas!H233="S"), "CHECAGEM REVERSA", "N/A")</f>
        <v>N/A</v>
      </c>
      <c r="AZ233" s="167" t="str">
        <f>IF(Consultas!U233="N","PRECISA CORRIGIR END DIVERGENTE","N/A")</f>
        <v>N/A</v>
      </c>
    </row>
    <row r="234" ht="12.0" customHeight="1">
      <c r="A234" s="39" t="s">
        <v>90</v>
      </c>
      <c r="B234" s="82" t="str">
        <f>Consultas!B234</f>
        <v/>
      </c>
      <c r="C234" s="82" t="str">
        <f>Consultas!D234</f>
        <v/>
      </c>
      <c r="D234" s="96" t="str">
        <f>Consultas!E234</f>
        <v/>
      </c>
      <c r="E234" s="104" t="str">
        <f>IF(Consultas!AB234&gt;0,YEAR('Parâmetros'!$B$1)-YEAR(Consultas!AB234),"NA")</f>
        <v>NA</v>
      </c>
      <c r="F234" s="82">
        <f>IF(Consultas!F234&gt;'Parâmetros'!$B$2,-8,0)</f>
        <v>0</v>
      </c>
      <c r="G234" s="82">
        <f>IF(Consultas!H234='Parâmetros'!$E$1,100,0)</f>
        <v>0</v>
      </c>
      <c r="H234" s="82">
        <f>IF(Consultas!I234='Parâmetros'!$E$1,-4,12)</f>
        <v>12</v>
      </c>
      <c r="I234" s="82">
        <f>IF(Consultas!J234='Parâmetros'!$E$1,1,-13)</f>
        <v>-13</v>
      </c>
      <c r="J234" s="82">
        <f>IF(Consultas!K234='Parâmetros'!$E$1,2,-5)</f>
        <v>-5</v>
      </c>
      <c r="K234" s="82" t="str">
        <f>IF(Consultas!L234='Parâmetros'!$D$1,"SOLIC CONTRATO DE ENTREGA","N/A")</f>
        <v>N/A</v>
      </c>
      <c r="L234" s="82">
        <f>IF(Consultas!R234='Parâmetros'!$E$1,1,-3)</f>
        <v>-3</v>
      </c>
      <c r="M234" s="82" t="b">
        <f>IF(Consultas!S234&gt;1,(IF(Consultas!S234='Parâmetros'!$E$1,-3,9)))</f>
        <v>0</v>
      </c>
      <c r="N234" s="82">
        <f>IF(Consultas!T234="S",23,0)</f>
        <v>0</v>
      </c>
      <c r="O234" s="82">
        <f>IF(Consultas!U234='Parâmetros'!$E$1,-3,3)</f>
        <v>3</v>
      </c>
      <c r="P234" s="82">
        <f>IF(Consultas!V234='Parâmetros'!$E$1,-100,2)</f>
        <v>2</v>
      </c>
      <c r="Q234" s="82">
        <f>IF(Consultas!M234='Parâmetros'!$D$1,2,-9)</f>
        <v>-9</v>
      </c>
      <c r="R234" s="82">
        <f>IF(Consultas!N234="RJ",-12,0)</f>
        <v>0</v>
      </c>
      <c r="S234" s="82">
        <f>IF(Consultas!O234="-",-3,IF(Consultas!O234=0,-6,IF(Consultas!O234=5,0,IF(Consultas!O234=10,6))))</f>
        <v>-6</v>
      </c>
      <c r="T234" s="82">
        <f>IF(Consultas!M234="S",0,(IF(Consultas!P234="S",6,0)))</f>
        <v>0</v>
      </c>
      <c r="U234" s="82">
        <f>IF(Consultas!Q234&gt;97,9,IF(Consultas!Q234&gt;75,0,-7))</f>
        <v>-7</v>
      </c>
      <c r="V234" s="82">
        <f>IF(Consultas!W234='Parâmetros'!$E$1,1,-5)</f>
        <v>-5</v>
      </c>
      <c r="W234" s="82">
        <f>IF(Consultas!X234="S",3,-3)</f>
        <v>-3</v>
      </c>
      <c r="X234" s="82">
        <f>IF(Consultas!Y234="S",0,-7)</f>
        <v>-7</v>
      </c>
      <c r="Y234" s="82">
        <f>IF(Consultas!Z234='Parâmetros'!$E$1,2,-8)</f>
        <v>-8</v>
      </c>
      <c r="Z234" s="82">
        <f>IF(Consultas!AA234='Parâmetros'!$E$1,-15,1)</f>
        <v>1</v>
      </c>
      <c r="AA234" s="147" t="s">
        <v>140</v>
      </c>
      <c r="AB234" s="82" t="str">
        <f>IF(E234="NA","NA",IF(E234&gt;'Parâmetros'!$A$9,8,IF(E234&gt;'Parâmetros'!$A$8,4,IF(E234&gt;'Parâmetros'!$A$7,0,-6))))</f>
        <v>NA</v>
      </c>
      <c r="AC234" s="82">
        <f>IF(Consultas!AC234='Parâmetros'!$E$1,0,5)</f>
        <v>5</v>
      </c>
      <c r="AD234" s="82">
        <f>IF(Consultas!AH234='Parâmetros'!$D$1,-10,5)</f>
        <v>5</v>
      </c>
      <c r="AE234" s="82">
        <f>IF(Consultas!AI234&gt;(Consultas!F234*2),-10,0)</f>
        <v>0</v>
      </c>
      <c r="AF234" s="82" t="b">
        <f>IF(Consultas!AD234&gt;1,(IF(Consultas!AI234&gt;(Consultas!AD234),-20,4)))</f>
        <v>0</v>
      </c>
      <c r="AG234" s="82">
        <f>IF(Consultas!AG234='Parâmetros'!$E$1,0,-6)</f>
        <v>-6</v>
      </c>
      <c r="AH234" s="82">
        <f>IF(Consultas!AF234='Parâmetros'!$E$1,1,-5)</f>
        <v>-5</v>
      </c>
      <c r="AI234" s="82">
        <f>IF(Consultas!AJ234&gt;700,8,IF(Consultas!AJ234&gt;500,4,IF(Consultas!AJ234&gt;200,-4,IF(Consultas!AJ234&gt;1,-15,-20))))</f>
        <v>-20</v>
      </c>
      <c r="AJ234" s="82">
        <f>IF(Consultas!AD234='Parâmetros'!$E$10,0,IF(Consultas!AD234&gt;'Parâmetros'!$A$30,12,IF(Consultas!AD234&gt;'Parâmetros'!$A$31,6,IF(Consultas!AD234&gt;'Parâmetros'!$A$32,0,IF(Consultas!AD234&gt;'Parâmetros'!$A$33,0,IF(Consultas!AD234&gt;'Parâmetros'!$A$34,-3,IF(Consultas!AD234&gt;'Parâmetros'!$A$35,-7,-1)))))))</f>
        <v>-1</v>
      </c>
      <c r="AK234" s="82">
        <f>IF(Consultas!AO234='Parâmetros'!$D$1,3,-3)</f>
        <v>-3</v>
      </c>
      <c r="AL234" s="82">
        <f>IF(Consultas!AP234='Parâmetros'!$D$1,5,-3)</f>
        <v>-3</v>
      </c>
      <c r="AM234" s="82">
        <f>IF(Consultas!AL234="N",-6,0)</f>
        <v>0</v>
      </c>
      <c r="AN234" s="82">
        <f>IF(Consultas!AM234="N",-10,0)</f>
        <v>0</v>
      </c>
      <c r="AO234" s="82">
        <f>IF(Consultas!AN234="S",4,-2)</f>
        <v>-2</v>
      </c>
      <c r="AP234" s="39"/>
      <c r="AQ234" s="165" t="str">
        <f>IF(Consultas!F234&gt;1,(SUM(F234:AO234)),"N/A")</f>
        <v>N/A</v>
      </c>
      <c r="AR234" s="78">
        <f>IF((Consultas!AD234&gt;'Parâmetros'!$A$31),"X",AJ234+Y234+V234+AC234)</f>
        <v>-9</v>
      </c>
      <c r="AS234" s="78">
        <f>IF((Consultas!AD234&gt;'Parâmetros'!$A$31),"X",(H234+I234+J234+Q234+T234+Y234+Z234+AJ234+AN234))</f>
        <v>-23</v>
      </c>
      <c r="AT234" s="78" t="str">
        <f>IF((Consultas!AD234&lt;'Parâmetros'!$A$31),"X",(AD234+AC234+AB234))</f>
        <v>X</v>
      </c>
      <c r="AU234" s="78">
        <f t="shared" si="1"/>
        <v>-23</v>
      </c>
      <c r="AV234" s="82" t="str">
        <f>IF(AQ234="N/A","N/A",IF(AQ234&gt;5,'Parâmetros'!$A$15,(IF(AU234=AR234,'Parâmetros'!$A$17,IF(AU234=AS234,'Parâmetros'!$A$16,'Parâmetros'!$A$14)))))</f>
        <v>N/A</v>
      </c>
      <c r="AW234" s="86" t="str">
        <f>IF(AQ234="N/A","N/A",IF(AV234='Parâmetros'!$A$15,'Parâmetros'!$C$15,(IF(AV234='Parâmetros'!$A$17,'Parâmetros'!$C$17,IF(AV234='Parâmetros'!$A$16,'Parâmetros'!$C$16,IF(AV234='Parâmetros'!$A$14,'Parâmetros'!$C$12))))))</f>
        <v>N/A</v>
      </c>
      <c r="AX234" s="82" t="b">
        <f>IF(Consultas!F234&gt;1,(IF(Consultas!F234&gt;5000,"SOLICITAR PED COMPRA","N/A")))</f>
        <v>0</v>
      </c>
      <c r="AY234" s="167" t="str">
        <f>IF(AND(Consultas!M234&lt;&gt;"S", Consultas!H234="S"), "CHECAGEM REVERSA", "N/A")</f>
        <v>N/A</v>
      </c>
      <c r="AZ234" s="167" t="str">
        <f>IF(Consultas!U234="N","PRECISA CORRIGIR END DIVERGENTE","N/A")</f>
        <v>N/A</v>
      </c>
    </row>
    <row r="235" ht="12.0" customHeight="1">
      <c r="A235" s="39" t="s">
        <v>90</v>
      </c>
      <c r="B235" s="82" t="str">
        <f>Consultas!B235</f>
        <v/>
      </c>
      <c r="C235" s="82" t="str">
        <f>Consultas!D235</f>
        <v/>
      </c>
      <c r="D235" s="96" t="str">
        <f>Consultas!E235</f>
        <v/>
      </c>
      <c r="E235" s="104" t="str">
        <f>IF(Consultas!AB235&gt;0,YEAR('Parâmetros'!$B$1)-YEAR(Consultas!AB235),"NA")</f>
        <v>NA</v>
      </c>
      <c r="F235" s="82">
        <f>IF(Consultas!F235&gt;'Parâmetros'!$B$2,-8,0)</f>
        <v>0</v>
      </c>
      <c r="G235" s="82">
        <f>IF(Consultas!H235='Parâmetros'!$E$1,100,0)</f>
        <v>0</v>
      </c>
      <c r="H235" s="82">
        <f>IF(Consultas!I235='Parâmetros'!$E$1,-4,12)</f>
        <v>12</v>
      </c>
      <c r="I235" s="82">
        <f>IF(Consultas!J235='Parâmetros'!$E$1,1,-13)</f>
        <v>-13</v>
      </c>
      <c r="J235" s="82">
        <f>IF(Consultas!K235='Parâmetros'!$E$1,2,-5)</f>
        <v>-5</v>
      </c>
      <c r="K235" s="82" t="str">
        <f>IF(Consultas!L235='Parâmetros'!$D$1,"SOLIC CONTRATO DE ENTREGA","N/A")</f>
        <v>N/A</v>
      </c>
      <c r="L235" s="82">
        <f>IF(Consultas!R235='Parâmetros'!$E$1,1,-3)</f>
        <v>-3</v>
      </c>
      <c r="M235" s="82" t="b">
        <f>IF(Consultas!S235&gt;1,(IF(Consultas!S235='Parâmetros'!$E$1,-3,9)))</f>
        <v>0</v>
      </c>
      <c r="N235" s="82">
        <f>IF(Consultas!T235="S",23,0)</f>
        <v>0</v>
      </c>
      <c r="O235" s="82">
        <f>IF(Consultas!U235='Parâmetros'!$E$1,-3,3)</f>
        <v>3</v>
      </c>
      <c r="P235" s="82">
        <f>IF(Consultas!V235='Parâmetros'!$E$1,-100,2)</f>
        <v>2</v>
      </c>
      <c r="Q235" s="82">
        <f>IF(Consultas!M235='Parâmetros'!$D$1,2,-9)</f>
        <v>-9</v>
      </c>
      <c r="R235" s="82">
        <f>IF(Consultas!N235="RJ",-12,0)</f>
        <v>0</v>
      </c>
      <c r="S235" s="82">
        <f>IF(Consultas!O235="-",-3,IF(Consultas!O235=0,-6,IF(Consultas!O235=5,0,IF(Consultas!O235=10,6))))</f>
        <v>-6</v>
      </c>
      <c r="T235" s="82">
        <f>IF(Consultas!M235="S",0,(IF(Consultas!P235="S",6,0)))</f>
        <v>0</v>
      </c>
      <c r="U235" s="82">
        <f>IF(Consultas!Q235&gt;97,9,IF(Consultas!Q235&gt;75,0,-7))</f>
        <v>-7</v>
      </c>
      <c r="V235" s="82">
        <f>IF(Consultas!W235='Parâmetros'!$E$1,1,-5)</f>
        <v>-5</v>
      </c>
      <c r="W235" s="82">
        <f>IF(Consultas!X235="S",3,-3)</f>
        <v>-3</v>
      </c>
      <c r="X235" s="82">
        <f>IF(Consultas!Y235="S",0,-7)</f>
        <v>-7</v>
      </c>
      <c r="Y235" s="82">
        <f>IF(Consultas!Z235='Parâmetros'!$E$1,2,-8)</f>
        <v>-8</v>
      </c>
      <c r="Z235" s="82">
        <f>IF(Consultas!AA235='Parâmetros'!$E$1,-15,1)</f>
        <v>1</v>
      </c>
      <c r="AA235" s="147" t="s">
        <v>140</v>
      </c>
      <c r="AB235" s="82" t="str">
        <f>IF(E235="NA","NA",IF(E235&gt;'Parâmetros'!$A$9,8,IF(E235&gt;'Parâmetros'!$A$8,4,IF(E235&gt;'Parâmetros'!$A$7,0,-6))))</f>
        <v>NA</v>
      </c>
      <c r="AC235" s="82">
        <f>IF(Consultas!AC235='Parâmetros'!$E$1,0,5)</f>
        <v>5</v>
      </c>
      <c r="AD235" s="82">
        <f>IF(Consultas!AH235='Parâmetros'!$D$1,-10,5)</f>
        <v>5</v>
      </c>
      <c r="AE235" s="82">
        <f>IF(Consultas!AI235&gt;(Consultas!F235*2),-10,0)</f>
        <v>0</v>
      </c>
      <c r="AF235" s="82" t="b">
        <f>IF(Consultas!AD235&gt;1,(IF(Consultas!AI235&gt;(Consultas!AD235),-20,4)))</f>
        <v>0</v>
      </c>
      <c r="AG235" s="82">
        <f>IF(Consultas!AG235='Parâmetros'!$E$1,0,-6)</f>
        <v>-6</v>
      </c>
      <c r="AH235" s="82">
        <f>IF(Consultas!AF235='Parâmetros'!$E$1,1,-5)</f>
        <v>-5</v>
      </c>
      <c r="AI235" s="82">
        <f>IF(Consultas!AJ235&gt;700,8,IF(Consultas!AJ235&gt;500,4,IF(Consultas!AJ235&gt;200,-4,IF(Consultas!AJ235&gt;1,-15,-20))))</f>
        <v>-20</v>
      </c>
      <c r="AJ235" s="82">
        <f>IF(Consultas!AD235='Parâmetros'!$E$10,0,IF(Consultas!AD235&gt;'Parâmetros'!$A$30,12,IF(Consultas!AD235&gt;'Parâmetros'!$A$31,6,IF(Consultas!AD235&gt;'Parâmetros'!$A$32,0,IF(Consultas!AD235&gt;'Parâmetros'!$A$33,0,IF(Consultas!AD235&gt;'Parâmetros'!$A$34,-3,IF(Consultas!AD235&gt;'Parâmetros'!$A$35,-7,-1)))))))</f>
        <v>-1</v>
      </c>
      <c r="AK235" s="82">
        <f>IF(Consultas!AO235='Parâmetros'!$D$1,3,-3)</f>
        <v>-3</v>
      </c>
      <c r="AL235" s="82">
        <f>IF(Consultas!AP235='Parâmetros'!$D$1,5,-3)</f>
        <v>-3</v>
      </c>
      <c r="AM235" s="82">
        <f>IF(Consultas!AL235="N",-6,0)</f>
        <v>0</v>
      </c>
      <c r="AN235" s="82">
        <f>IF(Consultas!AM235="N",-10,0)</f>
        <v>0</v>
      </c>
      <c r="AO235" s="82">
        <f>IF(Consultas!AN235="S",4,-2)</f>
        <v>-2</v>
      </c>
      <c r="AP235" s="39"/>
      <c r="AQ235" s="165" t="str">
        <f>IF(Consultas!F235&gt;1,(SUM(F235:AO235)),"N/A")</f>
        <v>N/A</v>
      </c>
      <c r="AR235" s="78">
        <f>IF((Consultas!AD235&gt;'Parâmetros'!$A$31),"X",AJ235+Y235+V235+AC235)</f>
        <v>-9</v>
      </c>
      <c r="AS235" s="78">
        <f>IF((Consultas!AD235&gt;'Parâmetros'!$A$31),"X",(H235+I235+J235+Q235+T235+Y235+Z235+AJ235+AN235))</f>
        <v>-23</v>
      </c>
      <c r="AT235" s="78" t="str">
        <f>IF((Consultas!AD235&lt;'Parâmetros'!$A$31),"X",(AD235+AC235+AB235))</f>
        <v>X</v>
      </c>
      <c r="AU235" s="78">
        <f t="shared" si="1"/>
        <v>-23</v>
      </c>
      <c r="AV235" s="82" t="str">
        <f>IF(AQ235="N/A","N/A",IF(AQ235&gt;5,'Parâmetros'!$A$15,(IF(AU235=AR235,'Parâmetros'!$A$17,IF(AU235=AS235,'Parâmetros'!$A$16,'Parâmetros'!$A$14)))))</f>
        <v>N/A</v>
      </c>
      <c r="AW235" s="86" t="str">
        <f>IF(AQ235="N/A","N/A",IF(AV235='Parâmetros'!$A$15,'Parâmetros'!$C$15,(IF(AV235='Parâmetros'!$A$17,'Parâmetros'!$C$17,IF(AV235='Parâmetros'!$A$16,'Parâmetros'!$C$16,IF(AV235='Parâmetros'!$A$14,'Parâmetros'!$C$12))))))</f>
        <v>N/A</v>
      </c>
      <c r="AX235" s="82" t="b">
        <f>IF(Consultas!F235&gt;1,(IF(Consultas!F235&gt;5000,"SOLICITAR PED COMPRA","N/A")))</f>
        <v>0</v>
      </c>
      <c r="AY235" s="167" t="str">
        <f>IF(AND(Consultas!M235&lt;&gt;"S", Consultas!H235="S"), "CHECAGEM REVERSA", "N/A")</f>
        <v>N/A</v>
      </c>
      <c r="AZ235" s="167" t="str">
        <f>IF(Consultas!U235="N","PRECISA CORRIGIR END DIVERGENTE","N/A")</f>
        <v>N/A</v>
      </c>
    </row>
    <row r="236" ht="12.0" customHeight="1">
      <c r="A236" s="39" t="s">
        <v>90</v>
      </c>
      <c r="B236" s="82" t="str">
        <f>Consultas!B236</f>
        <v/>
      </c>
      <c r="C236" s="82" t="str">
        <f>Consultas!D236</f>
        <v/>
      </c>
      <c r="D236" s="96" t="str">
        <f>Consultas!E236</f>
        <v/>
      </c>
      <c r="E236" s="104" t="str">
        <f>IF(Consultas!AB236&gt;0,YEAR('Parâmetros'!$B$1)-YEAR(Consultas!AB236),"NA")</f>
        <v>NA</v>
      </c>
      <c r="F236" s="82">
        <f>IF(Consultas!F236&gt;'Parâmetros'!$B$2,-8,0)</f>
        <v>0</v>
      </c>
      <c r="G236" s="82">
        <f>IF(Consultas!H236='Parâmetros'!$E$1,100,0)</f>
        <v>0</v>
      </c>
      <c r="H236" s="82">
        <f>IF(Consultas!I236='Parâmetros'!$E$1,-4,12)</f>
        <v>12</v>
      </c>
      <c r="I236" s="82">
        <f>IF(Consultas!J236='Parâmetros'!$E$1,1,-13)</f>
        <v>-13</v>
      </c>
      <c r="J236" s="82">
        <f>IF(Consultas!K236='Parâmetros'!$E$1,2,-5)</f>
        <v>-5</v>
      </c>
      <c r="K236" s="82" t="str">
        <f>IF(Consultas!L236='Parâmetros'!$D$1,"SOLIC CONTRATO DE ENTREGA","N/A")</f>
        <v>N/A</v>
      </c>
      <c r="L236" s="82">
        <f>IF(Consultas!R236='Parâmetros'!$E$1,1,-3)</f>
        <v>-3</v>
      </c>
      <c r="M236" s="82" t="b">
        <f>IF(Consultas!S236&gt;1,(IF(Consultas!S236='Parâmetros'!$E$1,-3,9)))</f>
        <v>0</v>
      </c>
      <c r="N236" s="82">
        <f>IF(Consultas!T236="S",23,0)</f>
        <v>0</v>
      </c>
      <c r="O236" s="82">
        <f>IF(Consultas!U236='Parâmetros'!$E$1,-3,3)</f>
        <v>3</v>
      </c>
      <c r="P236" s="82">
        <f>IF(Consultas!V236='Parâmetros'!$E$1,-100,2)</f>
        <v>2</v>
      </c>
      <c r="Q236" s="82">
        <f>IF(Consultas!M236='Parâmetros'!$D$1,2,-9)</f>
        <v>-9</v>
      </c>
      <c r="R236" s="82">
        <f>IF(Consultas!N236="RJ",-12,0)</f>
        <v>0</v>
      </c>
      <c r="S236" s="82">
        <f>IF(Consultas!O236="-",-3,IF(Consultas!O236=0,-6,IF(Consultas!O236=5,0,IF(Consultas!O236=10,6))))</f>
        <v>-6</v>
      </c>
      <c r="T236" s="82">
        <f>IF(Consultas!M236="S",0,(IF(Consultas!P236="S",6,0)))</f>
        <v>0</v>
      </c>
      <c r="U236" s="82">
        <f>IF(Consultas!Q236&gt;97,9,IF(Consultas!Q236&gt;75,0,-7))</f>
        <v>-7</v>
      </c>
      <c r="V236" s="82">
        <f>IF(Consultas!W236='Parâmetros'!$E$1,1,-5)</f>
        <v>-5</v>
      </c>
      <c r="W236" s="82">
        <f>IF(Consultas!X236="S",3,-3)</f>
        <v>-3</v>
      </c>
      <c r="X236" s="82">
        <f>IF(Consultas!Y236="S",0,-7)</f>
        <v>-7</v>
      </c>
      <c r="Y236" s="82">
        <f>IF(Consultas!Z236='Parâmetros'!$E$1,2,-8)</f>
        <v>-8</v>
      </c>
      <c r="Z236" s="82">
        <f>IF(Consultas!AA236='Parâmetros'!$E$1,-15,1)</f>
        <v>1</v>
      </c>
      <c r="AA236" s="147" t="s">
        <v>140</v>
      </c>
      <c r="AB236" s="82" t="str">
        <f>IF(E236="NA","NA",IF(E236&gt;'Parâmetros'!$A$9,8,IF(E236&gt;'Parâmetros'!$A$8,4,IF(E236&gt;'Parâmetros'!$A$7,0,-6))))</f>
        <v>NA</v>
      </c>
      <c r="AC236" s="82">
        <f>IF(Consultas!AC236='Parâmetros'!$E$1,0,5)</f>
        <v>5</v>
      </c>
      <c r="AD236" s="82">
        <f>IF(Consultas!AH236='Parâmetros'!$D$1,-10,5)</f>
        <v>5</v>
      </c>
      <c r="AE236" s="82">
        <f>IF(Consultas!AI236&gt;(Consultas!F236*2),-10,0)</f>
        <v>0</v>
      </c>
      <c r="AF236" s="82" t="b">
        <f>IF(Consultas!AD236&gt;1,(IF(Consultas!AI236&gt;(Consultas!AD236),-20,4)))</f>
        <v>0</v>
      </c>
      <c r="AG236" s="82">
        <f>IF(Consultas!AG236='Parâmetros'!$E$1,0,-6)</f>
        <v>-6</v>
      </c>
      <c r="AH236" s="82">
        <f>IF(Consultas!AF236='Parâmetros'!$E$1,1,-5)</f>
        <v>-5</v>
      </c>
      <c r="AI236" s="82">
        <f>IF(Consultas!AJ236&gt;700,8,IF(Consultas!AJ236&gt;500,4,IF(Consultas!AJ236&gt;200,-4,IF(Consultas!AJ236&gt;1,-15,-20))))</f>
        <v>-20</v>
      </c>
      <c r="AJ236" s="82">
        <f>IF(Consultas!AD236='Parâmetros'!$E$10,0,IF(Consultas!AD236&gt;'Parâmetros'!$A$30,12,IF(Consultas!AD236&gt;'Parâmetros'!$A$31,6,IF(Consultas!AD236&gt;'Parâmetros'!$A$32,0,IF(Consultas!AD236&gt;'Parâmetros'!$A$33,0,IF(Consultas!AD236&gt;'Parâmetros'!$A$34,-3,IF(Consultas!AD236&gt;'Parâmetros'!$A$35,-7,-1)))))))</f>
        <v>-1</v>
      </c>
      <c r="AK236" s="82">
        <f>IF(Consultas!AO236='Parâmetros'!$D$1,3,-3)</f>
        <v>-3</v>
      </c>
      <c r="AL236" s="82">
        <f>IF(Consultas!AP236='Parâmetros'!$D$1,5,-3)</f>
        <v>-3</v>
      </c>
      <c r="AM236" s="82">
        <f>IF(Consultas!AL236="N",-6,0)</f>
        <v>0</v>
      </c>
      <c r="AN236" s="82">
        <f>IF(Consultas!AM236="N",-10,0)</f>
        <v>0</v>
      </c>
      <c r="AO236" s="82">
        <f>IF(Consultas!AN236="S",4,-2)</f>
        <v>-2</v>
      </c>
      <c r="AP236" s="39"/>
      <c r="AQ236" s="165" t="str">
        <f>IF(Consultas!F236&gt;1,(SUM(F236:AO236)),"N/A")</f>
        <v>N/A</v>
      </c>
      <c r="AR236" s="78">
        <f>IF((Consultas!AD236&gt;'Parâmetros'!$A$31),"X",AJ236+Y236+V236+AC236)</f>
        <v>-9</v>
      </c>
      <c r="AS236" s="78">
        <f>IF((Consultas!AD236&gt;'Parâmetros'!$A$31),"X",(H236+I236+J236+Q236+T236+Y236+Z236+AJ236+AN236))</f>
        <v>-23</v>
      </c>
      <c r="AT236" s="78" t="str">
        <f>IF((Consultas!AD236&lt;'Parâmetros'!$A$31),"X",(AD236+AC236+AB236))</f>
        <v>X</v>
      </c>
      <c r="AU236" s="78">
        <f t="shared" si="1"/>
        <v>-23</v>
      </c>
      <c r="AV236" s="82" t="str">
        <f>IF(AQ236="N/A","N/A",IF(AQ236&gt;5,'Parâmetros'!$A$15,(IF(AU236=AR236,'Parâmetros'!$A$17,IF(AU236=AS236,'Parâmetros'!$A$16,'Parâmetros'!$A$14)))))</f>
        <v>N/A</v>
      </c>
      <c r="AW236" s="86" t="str">
        <f>IF(AQ236="N/A","N/A",IF(AV236='Parâmetros'!$A$15,'Parâmetros'!$C$15,(IF(AV236='Parâmetros'!$A$17,'Parâmetros'!$C$17,IF(AV236='Parâmetros'!$A$16,'Parâmetros'!$C$16,IF(AV236='Parâmetros'!$A$14,'Parâmetros'!$C$12))))))</f>
        <v>N/A</v>
      </c>
      <c r="AX236" s="82" t="b">
        <f>IF(Consultas!F236&gt;1,(IF(Consultas!F236&gt;5000,"SOLICITAR PED COMPRA","N/A")))</f>
        <v>0</v>
      </c>
      <c r="AY236" s="167" t="str">
        <f>IF(AND(Consultas!M236&lt;&gt;"S", Consultas!H236="S"), "CHECAGEM REVERSA", "N/A")</f>
        <v>N/A</v>
      </c>
      <c r="AZ236" s="167" t="str">
        <f>IF(Consultas!U236="N","PRECISA CORRIGIR END DIVERGENTE","N/A")</f>
        <v>N/A</v>
      </c>
    </row>
    <row r="237" ht="12.0" customHeight="1">
      <c r="A237" s="39" t="s">
        <v>90</v>
      </c>
      <c r="B237" s="82" t="str">
        <f>Consultas!B237</f>
        <v/>
      </c>
      <c r="C237" s="82" t="str">
        <f>Consultas!D237</f>
        <v/>
      </c>
      <c r="D237" s="96" t="str">
        <f>Consultas!E237</f>
        <v/>
      </c>
      <c r="E237" s="104" t="str">
        <f>IF(Consultas!AB237&gt;0,YEAR('Parâmetros'!$B$1)-YEAR(Consultas!AB237),"NA")</f>
        <v>NA</v>
      </c>
      <c r="F237" s="82">
        <f>IF(Consultas!F237&gt;'Parâmetros'!$B$2,-8,0)</f>
        <v>0</v>
      </c>
      <c r="G237" s="82">
        <f>IF(Consultas!H237='Parâmetros'!$E$1,100,0)</f>
        <v>0</v>
      </c>
      <c r="H237" s="82">
        <f>IF(Consultas!I237='Parâmetros'!$E$1,-4,12)</f>
        <v>12</v>
      </c>
      <c r="I237" s="82">
        <f>IF(Consultas!J237='Parâmetros'!$E$1,1,-13)</f>
        <v>-13</v>
      </c>
      <c r="J237" s="82">
        <f>IF(Consultas!K237='Parâmetros'!$E$1,2,-5)</f>
        <v>-5</v>
      </c>
      <c r="K237" s="82" t="str">
        <f>IF(Consultas!L237='Parâmetros'!$D$1,"SOLIC CONTRATO DE ENTREGA","N/A")</f>
        <v>N/A</v>
      </c>
      <c r="L237" s="82">
        <f>IF(Consultas!R237='Parâmetros'!$E$1,1,-3)</f>
        <v>-3</v>
      </c>
      <c r="M237" s="82" t="b">
        <f>IF(Consultas!S237&gt;1,(IF(Consultas!S237='Parâmetros'!$E$1,-3,9)))</f>
        <v>0</v>
      </c>
      <c r="N237" s="82">
        <f>IF(Consultas!T237="S",23,0)</f>
        <v>0</v>
      </c>
      <c r="O237" s="82">
        <f>IF(Consultas!U237='Parâmetros'!$E$1,-3,3)</f>
        <v>3</v>
      </c>
      <c r="P237" s="82">
        <f>IF(Consultas!V237='Parâmetros'!$E$1,-100,2)</f>
        <v>2</v>
      </c>
      <c r="Q237" s="82">
        <f>IF(Consultas!M237='Parâmetros'!$D$1,2,-9)</f>
        <v>-9</v>
      </c>
      <c r="R237" s="82">
        <f>IF(Consultas!N237="RJ",-12,0)</f>
        <v>0</v>
      </c>
      <c r="S237" s="82">
        <f>IF(Consultas!O237="-",-3,IF(Consultas!O237=0,-6,IF(Consultas!O237=5,0,IF(Consultas!O237=10,6))))</f>
        <v>-6</v>
      </c>
      <c r="T237" s="82">
        <f>IF(Consultas!M237="S",0,(IF(Consultas!P237="S",6,0)))</f>
        <v>0</v>
      </c>
      <c r="U237" s="82">
        <f>IF(Consultas!Q237&gt;97,9,IF(Consultas!Q237&gt;75,0,-7))</f>
        <v>-7</v>
      </c>
      <c r="V237" s="82">
        <f>IF(Consultas!W237='Parâmetros'!$E$1,1,-5)</f>
        <v>-5</v>
      </c>
      <c r="W237" s="82">
        <f>IF(Consultas!X237="S",3,-3)</f>
        <v>-3</v>
      </c>
      <c r="X237" s="82">
        <f>IF(Consultas!Y237="S",0,-7)</f>
        <v>-7</v>
      </c>
      <c r="Y237" s="82">
        <f>IF(Consultas!Z237='Parâmetros'!$E$1,2,-8)</f>
        <v>-8</v>
      </c>
      <c r="Z237" s="82">
        <f>IF(Consultas!AA237='Parâmetros'!$E$1,-15,1)</f>
        <v>1</v>
      </c>
      <c r="AA237" s="147" t="s">
        <v>140</v>
      </c>
      <c r="AB237" s="82" t="str">
        <f>IF(E237="NA","NA",IF(E237&gt;'Parâmetros'!$A$9,8,IF(E237&gt;'Parâmetros'!$A$8,4,IF(E237&gt;'Parâmetros'!$A$7,0,-6))))</f>
        <v>NA</v>
      </c>
      <c r="AC237" s="82">
        <f>IF(Consultas!AC237='Parâmetros'!$E$1,0,5)</f>
        <v>5</v>
      </c>
      <c r="AD237" s="82">
        <f>IF(Consultas!AH237='Parâmetros'!$D$1,-10,5)</f>
        <v>5</v>
      </c>
      <c r="AE237" s="82">
        <f>IF(Consultas!AI237&gt;(Consultas!F237*2),-10,0)</f>
        <v>0</v>
      </c>
      <c r="AF237" s="82" t="b">
        <f>IF(Consultas!AD237&gt;1,(IF(Consultas!AI237&gt;(Consultas!AD237),-20,4)))</f>
        <v>0</v>
      </c>
      <c r="AG237" s="82">
        <f>IF(Consultas!AG237='Parâmetros'!$E$1,0,-6)</f>
        <v>-6</v>
      </c>
      <c r="AH237" s="82">
        <f>IF(Consultas!AF237='Parâmetros'!$E$1,1,-5)</f>
        <v>-5</v>
      </c>
      <c r="AI237" s="82">
        <f>IF(Consultas!AJ237&gt;700,8,IF(Consultas!AJ237&gt;500,4,IF(Consultas!AJ237&gt;200,-4,IF(Consultas!AJ237&gt;1,-15,-20))))</f>
        <v>-20</v>
      </c>
      <c r="AJ237" s="82">
        <f>IF(Consultas!AD237='Parâmetros'!$E$10,0,IF(Consultas!AD237&gt;'Parâmetros'!$A$30,12,IF(Consultas!AD237&gt;'Parâmetros'!$A$31,6,IF(Consultas!AD237&gt;'Parâmetros'!$A$32,0,IF(Consultas!AD237&gt;'Parâmetros'!$A$33,0,IF(Consultas!AD237&gt;'Parâmetros'!$A$34,-3,IF(Consultas!AD237&gt;'Parâmetros'!$A$35,-7,-1)))))))</f>
        <v>-1</v>
      </c>
      <c r="AK237" s="82">
        <f>IF(Consultas!AO237='Parâmetros'!$D$1,3,-3)</f>
        <v>-3</v>
      </c>
      <c r="AL237" s="82">
        <f>IF(Consultas!AP237='Parâmetros'!$D$1,5,-3)</f>
        <v>-3</v>
      </c>
      <c r="AM237" s="82">
        <f>IF(Consultas!AL237="N",-6,0)</f>
        <v>0</v>
      </c>
      <c r="AN237" s="82">
        <f>IF(Consultas!AM237="N",-10,0)</f>
        <v>0</v>
      </c>
      <c r="AO237" s="82">
        <f>IF(Consultas!AN237="S",4,-2)</f>
        <v>-2</v>
      </c>
      <c r="AP237" s="39"/>
      <c r="AQ237" s="165" t="str">
        <f>IF(Consultas!F237&gt;1,(SUM(F237:AO237)),"N/A")</f>
        <v>N/A</v>
      </c>
      <c r="AR237" s="78">
        <f>IF((Consultas!AD237&gt;'Parâmetros'!$A$31),"X",AJ237+Y237+V237+AC237)</f>
        <v>-9</v>
      </c>
      <c r="AS237" s="78">
        <f>IF((Consultas!AD237&gt;'Parâmetros'!$A$31),"X",(H237+I237+J237+Q237+T237+Y237+Z237+AJ237+AN237))</f>
        <v>-23</v>
      </c>
      <c r="AT237" s="78" t="str">
        <f>IF((Consultas!AD237&lt;'Parâmetros'!$A$31),"X",(AD237+AC237+AB237))</f>
        <v>X</v>
      </c>
      <c r="AU237" s="78">
        <f t="shared" si="1"/>
        <v>-23</v>
      </c>
      <c r="AV237" s="82" t="str">
        <f>IF(AQ237="N/A","N/A",IF(AQ237&gt;5,'Parâmetros'!$A$15,(IF(AU237=AR237,'Parâmetros'!$A$17,IF(AU237=AS237,'Parâmetros'!$A$16,'Parâmetros'!$A$14)))))</f>
        <v>N/A</v>
      </c>
      <c r="AW237" s="86" t="str">
        <f>IF(AQ237="N/A","N/A",IF(AV237='Parâmetros'!$A$15,'Parâmetros'!$C$15,(IF(AV237='Parâmetros'!$A$17,'Parâmetros'!$C$17,IF(AV237='Parâmetros'!$A$16,'Parâmetros'!$C$16,IF(AV237='Parâmetros'!$A$14,'Parâmetros'!$C$12))))))</f>
        <v>N/A</v>
      </c>
      <c r="AX237" s="82" t="b">
        <f>IF(Consultas!F237&gt;1,(IF(Consultas!F237&gt;5000,"SOLICITAR PED COMPRA","N/A")))</f>
        <v>0</v>
      </c>
      <c r="AY237" s="167" t="str">
        <f>IF(AND(Consultas!M237&lt;&gt;"S", Consultas!H237="S"), "CHECAGEM REVERSA", "N/A")</f>
        <v>N/A</v>
      </c>
      <c r="AZ237" s="167" t="str">
        <f>IF(Consultas!U237="N","PRECISA CORRIGIR END DIVERGENTE","N/A")</f>
        <v>N/A</v>
      </c>
    </row>
    <row r="238" ht="12.0" customHeight="1">
      <c r="A238" s="39" t="s">
        <v>90</v>
      </c>
      <c r="B238" s="82" t="str">
        <f>Consultas!B238</f>
        <v/>
      </c>
      <c r="C238" s="82" t="str">
        <f>Consultas!D238</f>
        <v/>
      </c>
      <c r="D238" s="96" t="str">
        <f>Consultas!E238</f>
        <v/>
      </c>
      <c r="E238" s="104" t="str">
        <f>IF(Consultas!AB238&gt;0,YEAR('Parâmetros'!$B$1)-YEAR(Consultas!AB238),"NA")</f>
        <v>NA</v>
      </c>
      <c r="F238" s="82">
        <f>IF(Consultas!F238&gt;'Parâmetros'!$B$2,-8,0)</f>
        <v>0</v>
      </c>
      <c r="G238" s="82">
        <f>IF(Consultas!H238='Parâmetros'!$E$1,100,0)</f>
        <v>0</v>
      </c>
      <c r="H238" s="82">
        <f>IF(Consultas!I238='Parâmetros'!$E$1,-4,12)</f>
        <v>12</v>
      </c>
      <c r="I238" s="82">
        <f>IF(Consultas!J238='Parâmetros'!$E$1,1,-13)</f>
        <v>-13</v>
      </c>
      <c r="J238" s="82">
        <f>IF(Consultas!K238='Parâmetros'!$E$1,2,-5)</f>
        <v>-5</v>
      </c>
      <c r="K238" s="82" t="str">
        <f>IF(Consultas!L238='Parâmetros'!$D$1,"SOLIC CONTRATO DE ENTREGA","N/A")</f>
        <v>N/A</v>
      </c>
      <c r="L238" s="82">
        <f>IF(Consultas!R238='Parâmetros'!$E$1,1,-3)</f>
        <v>-3</v>
      </c>
      <c r="M238" s="82" t="b">
        <f>IF(Consultas!S238&gt;1,(IF(Consultas!S238='Parâmetros'!$E$1,-3,9)))</f>
        <v>0</v>
      </c>
      <c r="N238" s="82">
        <f>IF(Consultas!T238="S",23,0)</f>
        <v>0</v>
      </c>
      <c r="O238" s="82">
        <f>IF(Consultas!U238='Parâmetros'!$E$1,-3,3)</f>
        <v>3</v>
      </c>
      <c r="P238" s="82">
        <f>IF(Consultas!V238='Parâmetros'!$E$1,-100,2)</f>
        <v>2</v>
      </c>
      <c r="Q238" s="82">
        <f>IF(Consultas!M238='Parâmetros'!$D$1,2,-9)</f>
        <v>-9</v>
      </c>
      <c r="R238" s="82">
        <f>IF(Consultas!N238="RJ",-12,0)</f>
        <v>0</v>
      </c>
      <c r="S238" s="82">
        <f>IF(Consultas!O238="-",-3,IF(Consultas!O238=0,-6,IF(Consultas!O238=5,0,IF(Consultas!O238=10,6))))</f>
        <v>-6</v>
      </c>
      <c r="T238" s="82">
        <f>IF(Consultas!M238="S",0,(IF(Consultas!P238="S",6,0)))</f>
        <v>0</v>
      </c>
      <c r="U238" s="82">
        <f>IF(Consultas!Q238&gt;97,9,IF(Consultas!Q238&gt;75,0,-7))</f>
        <v>-7</v>
      </c>
      <c r="V238" s="82">
        <f>IF(Consultas!W238='Parâmetros'!$E$1,1,-5)</f>
        <v>-5</v>
      </c>
      <c r="W238" s="82">
        <f>IF(Consultas!X238="S",3,-3)</f>
        <v>-3</v>
      </c>
      <c r="X238" s="82">
        <f>IF(Consultas!Y238="S",0,-7)</f>
        <v>-7</v>
      </c>
      <c r="Y238" s="82">
        <f>IF(Consultas!Z238='Parâmetros'!$E$1,2,-8)</f>
        <v>-8</v>
      </c>
      <c r="Z238" s="82">
        <f>IF(Consultas!AA238='Parâmetros'!$E$1,-15,1)</f>
        <v>1</v>
      </c>
      <c r="AA238" s="147" t="s">
        <v>140</v>
      </c>
      <c r="AB238" s="82" t="str">
        <f>IF(E238="NA","NA",IF(E238&gt;'Parâmetros'!$A$9,8,IF(E238&gt;'Parâmetros'!$A$8,4,IF(E238&gt;'Parâmetros'!$A$7,0,-6))))</f>
        <v>NA</v>
      </c>
      <c r="AC238" s="82">
        <f>IF(Consultas!AC238='Parâmetros'!$E$1,0,5)</f>
        <v>5</v>
      </c>
      <c r="AD238" s="82">
        <f>IF(Consultas!AH238='Parâmetros'!$D$1,-10,5)</f>
        <v>5</v>
      </c>
      <c r="AE238" s="82">
        <f>IF(Consultas!AI238&gt;(Consultas!F238*2),-10,0)</f>
        <v>0</v>
      </c>
      <c r="AF238" s="82" t="b">
        <f>IF(Consultas!AD238&gt;1,(IF(Consultas!AI238&gt;(Consultas!AD238),-20,4)))</f>
        <v>0</v>
      </c>
      <c r="AG238" s="82">
        <f>IF(Consultas!AG238='Parâmetros'!$E$1,0,-6)</f>
        <v>-6</v>
      </c>
      <c r="AH238" s="82">
        <f>IF(Consultas!AF238='Parâmetros'!$E$1,1,-5)</f>
        <v>-5</v>
      </c>
      <c r="AI238" s="82">
        <f>IF(Consultas!AJ238&gt;700,8,IF(Consultas!AJ238&gt;500,4,IF(Consultas!AJ238&gt;200,-4,IF(Consultas!AJ238&gt;1,-15,-20))))</f>
        <v>-20</v>
      </c>
      <c r="AJ238" s="82">
        <f>IF(Consultas!AD238='Parâmetros'!$E$10,0,IF(Consultas!AD238&gt;'Parâmetros'!$A$30,12,IF(Consultas!AD238&gt;'Parâmetros'!$A$31,6,IF(Consultas!AD238&gt;'Parâmetros'!$A$32,0,IF(Consultas!AD238&gt;'Parâmetros'!$A$33,0,IF(Consultas!AD238&gt;'Parâmetros'!$A$34,-3,IF(Consultas!AD238&gt;'Parâmetros'!$A$35,-7,-1)))))))</f>
        <v>-1</v>
      </c>
      <c r="AK238" s="82">
        <f>IF(Consultas!AO238='Parâmetros'!$D$1,3,-3)</f>
        <v>-3</v>
      </c>
      <c r="AL238" s="82">
        <f>IF(Consultas!AP238='Parâmetros'!$D$1,5,-3)</f>
        <v>-3</v>
      </c>
      <c r="AM238" s="82">
        <f>IF(Consultas!AL238="N",-6,0)</f>
        <v>0</v>
      </c>
      <c r="AN238" s="82">
        <f>IF(Consultas!AM238="N",-10,0)</f>
        <v>0</v>
      </c>
      <c r="AO238" s="82">
        <f>IF(Consultas!AN238="S",4,-2)</f>
        <v>-2</v>
      </c>
      <c r="AP238" s="39"/>
      <c r="AQ238" s="165" t="str">
        <f>IF(Consultas!F238&gt;1,(SUM(F238:AO238)),"N/A")</f>
        <v>N/A</v>
      </c>
      <c r="AR238" s="78">
        <f>IF((Consultas!AD238&gt;'Parâmetros'!$A$31),"X",AJ238+Y238+V238+AC238)</f>
        <v>-9</v>
      </c>
      <c r="AS238" s="78">
        <f>IF((Consultas!AD238&gt;'Parâmetros'!$A$31),"X",(H238+I238+J238+Q238+T238+Y238+Z238+AJ238+AN238))</f>
        <v>-23</v>
      </c>
      <c r="AT238" s="78" t="str">
        <f>IF((Consultas!AD238&lt;'Parâmetros'!$A$31),"X",(AD238+AC238+AB238))</f>
        <v>X</v>
      </c>
      <c r="AU238" s="78">
        <f t="shared" si="1"/>
        <v>-23</v>
      </c>
      <c r="AV238" s="82" t="str">
        <f>IF(AQ238="N/A","N/A",IF(AQ238&gt;5,'Parâmetros'!$A$15,(IF(AU238=AR238,'Parâmetros'!$A$17,IF(AU238=AS238,'Parâmetros'!$A$16,'Parâmetros'!$A$14)))))</f>
        <v>N/A</v>
      </c>
      <c r="AW238" s="86" t="str">
        <f>IF(AQ238="N/A","N/A",IF(AV238='Parâmetros'!$A$15,'Parâmetros'!$C$15,(IF(AV238='Parâmetros'!$A$17,'Parâmetros'!$C$17,IF(AV238='Parâmetros'!$A$16,'Parâmetros'!$C$16,IF(AV238='Parâmetros'!$A$14,'Parâmetros'!$C$12))))))</f>
        <v>N/A</v>
      </c>
      <c r="AX238" s="82" t="b">
        <f>IF(Consultas!F238&gt;1,(IF(Consultas!F238&gt;5000,"SOLICITAR PED COMPRA","N/A")))</f>
        <v>0</v>
      </c>
      <c r="AY238" s="167" t="str">
        <f>IF(AND(Consultas!M238&lt;&gt;"S", Consultas!H238="S"), "CHECAGEM REVERSA", "N/A")</f>
        <v>N/A</v>
      </c>
      <c r="AZ238" s="167" t="str">
        <f>IF(Consultas!U238="N","PRECISA CORRIGIR END DIVERGENTE","N/A")</f>
        <v>N/A</v>
      </c>
    </row>
    <row r="239" ht="12.0" customHeight="1">
      <c r="A239" s="39" t="s">
        <v>90</v>
      </c>
      <c r="B239" s="82" t="str">
        <f>Consultas!B239</f>
        <v/>
      </c>
      <c r="C239" s="82" t="str">
        <f>Consultas!D239</f>
        <v/>
      </c>
      <c r="D239" s="96" t="str">
        <f>Consultas!E239</f>
        <v/>
      </c>
      <c r="E239" s="104" t="str">
        <f>IF(Consultas!AB239&gt;0,YEAR('Parâmetros'!$B$1)-YEAR(Consultas!AB239),"NA")</f>
        <v>NA</v>
      </c>
      <c r="F239" s="82">
        <f>IF(Consultas!F239&gt;'Parâmetros'!$B$2,-8,0)</f>
        <v>0</v>
      </c>
      <c r="G239" s="82">
        <f>IF(Consultas!H239='Parâmetros'!$E$1,100,0)</f>
        <v>0</v>
      </c>
      <c r="H239" s="82">
        <f>IF(Consultas!I239='Parâmetros'!$E$1,-4,12)</f>
        <v>12</v>
      </c>
      <c r="I239" s="82">
        <f>IF(Consultas!J239='Parâmetros'!$E$1,1,-13)</f>
        <v>-13</v>
      </c>
      <c r="J239" s="82">
        <f>IF(Consultas!K239='Parâmetros'!$E$1,2,-5)</f>
        <v>-5</v>
      </c>
      <c r="K239" s="82" t="str">
        <f>IF(Consultas!L239='Parâmetros'!$D$1,"SOLIC CONTRATO DE ENTREGA","N/A")</f>
        <v>N/A</v>
      </c>
      <c r="L239" s="82">
        <f>IF(Consultas!R239='Parâmetros'!$E$1,1,-3)</f>
        <v>-3</v>
      </c>
      <c r="M239" s="82" t="b">
        <f>IF(Consultas!S239&gt;1,(IF(Consultas!S239='Parâmetros'!$E$1,-3,9)))</f>
        <v>0</v>
      </c>
      <c r="N239" s="82">
        <f>IF(Consultas!T239="S",23,0)</f>
        <v>0</v>
      </c>
      <c r="O239" s="82">
        <f>IF(Consultas!U239='Parâmetros'!$E$1,-3,3)</f>
        <v>3</v>
      </c>
      <c r="P239" s="82">
        <f>IF(Consultas!V239='Parâmetros'!$E$1,-100,2)</f>
        <v>2</v>
      </c>
      <c r="Q239" s="82">
        <f>IF(Consultas!M239='Parâmetros'!$D$1,2,-9)</f>
        <v>-9</v>
      </c>
      <c r="R239" s="82">
        <f>IF(Consultas!N239="RJ",-12,0)</f>
        <v>0</v>
      </c>
      <c r="S239" s="82">
        <f>IF(Consultas!O239="-",-3,IF(Consultas!O239=0,-6,IF(Consultas!O239=5,0,IF(Consultas!O239=10,6))))</f>
        <v>-6</v>
      </c>
      <c r="T239" s="82">
        <f>IF(Consultas!M239="S",0,(IF(Consultas!P239="S",6,0)))</f>
        <v>0</v>
      </c>
      <c r="U239" s="82">
        <f>IF(Consultas!Q239&gt;97,9,IF(Consultas!Q239&gt;75,0,-7))</f>
        <v>-7</v>
      </c>
      <c r="V239" s="82">
        <f>IF(Consultas!W239='Parâmetros'!$E$1,1,-5)</f>
        <v>-5</v>
      </c>
      <c r="W239" s="82">
        <f>IF(Consultas!X239="S",3,-3)</f>
        <v>-3</v>
      </c>
      <c r="X239" s="82">
        <f>IF(Consultas!Y239="S",0,-7)</f>
        <v>-7</v>
      </c>
      <c r="Y239" s="82">
        <f>IF(Consultas!Z239='Parâmetros'!$E$1,2,-8)</f>
        <v>-8</v>
      </c>
      <c r="Z239" s="82">
        <f>IF(Consultas!AA239='Parâmetros'!$E$1,-15,1)</f>
        <v>1</v>
      </c>
      <c r="AA239" s="147" t="s">
        <v>140</v>
      </c>
      <c r="AB239" s="82" t="str">
        <f>IF(E239="NA","NA",IF(E239&gt;'Parâmetros'!$A$9,8,IF(E239&gt;'Parâmetros'!$A$8,4,IF(E239&gt;'Parâmetros'!$A$7,0,-6))))</f>
        <v>NA</v>
      </c>
      <c r="AC239" s="82">
        <f>IF(Consultas!AC239='Parâmetros'!$E$1,0,5)</f>
        <v>5</v>
      </c>
      <c r="AD239" s="82">
        <f>IF(Consultas!AH239='Parâmetros'!$D$1,-10,5)</f>
        <v>5</v>
      </c>
      <c r="AE239" s="82">
        <f>IF(Consultas!AI239&gt;(Consultas!F239*2),-10,0)</f>
        <v>0</v>
      </c>
      <c r="AF239" s="82" t="b">
        <f>IF(Consultas!AD239&gt;1,(IF(Consultas!AI239&gt;(Consultas!AD239),-20,4)))</f>
        <v>0</v>
      </c>
      <c r="AG239" s="82">
        <f>IF(Consultas!AG239='Parâmetros'!$E$1,0,-6)</f>
        <v>-6</v>
      </c>
      <c r="AH239" s="82">
        <f>IF(Consultas!AF239='Parâmetros'!$E$1,1,-5)</f>
        <v>-5</v>
      </c>
      <c r="AI239" s="82">
        <f>IF(Consultas!AJ239&gt;700,8,IF(Consultas!AJ239&gt;500,4,IF(Consultas!AJ239&gt;200,-4,IF(Consultas!AJ239&gt;1,-15,-20))))</f>
        <v>-20</v>
      </c>
      <c r="AJ239" s="82">
        <f>IF(Consultas!AD239='Parâmetros'!$E$10,0,IF(Consultas!AD239&gt;'Parâmetros'!$A$30,12,IF(Consultas!AD239&gt;'Parâmetros'!$A$31,6,IF(Consultas!AD239&gt;'Parâmetros'!$A$32,0,IF(Consultas!AD239&gt;'Parâmetros'!$A$33,0,IF(Consultas!AD239&gt;'Parâmetros'!$A$34,-3,IF(Consultas!AD239&gt;'Parâmetros'!$A$35,-7,-1)))))))</f>
        <v>-1</v>
      </c>
      <c r="AK239" s="82">
        <f>IF(Consultas!AO239='Parâmetros'!$D$1,3,-3)</f>
        <v>-3</v>
      </c>
      <c r="AL239" s="82">
        <f>IF(Consultas!AP239='Parâmetros'!$D$1,5,-3)</f>
        <v>-3</v>
      </c>
      <c r="AM239" s="82">
        <f>IF(Consultas!AL239="N",-6,0)</f>
        <v>0</v>
      </c>
      <c r="AN239" s="82">
        <f>IF(Consultas!AM239="N",-10,0)</f>
        <v>0</v>
      </c>
      <c r="AO239" s="82">
        <f>IF(Consultas!AN239="S",4,-2)</f>
        <v>-2</v>
      </c>
      <c r="AP239" s="39"/>
      <c r="AQ239" s="165" t="str">
        <f>IF(Consultas!F239&gt;1,(SUM(F239:AO239)),"N/A")</f>
        <v>N/A</v>
      </c>
      <c r="AR239" s="78">
        <f>IF((Consultas!AD239&gt;'Parâmetros'!$A$31),"X",AJ239+Y239+V239+AC239)</f>
        <v>-9</v>
      </c>
      <c r="AS239" s="78">
        <f>IF((Consultas!AD239&gt;'Parâmetros'!$A$31),"X",(H239+I239+J239+Q239+T239+Y239+Z239+AJ239+AN239))</f>
        <v>-23</v>
      </c>
      <c r="AT239" s="78" t="str">
        <f>IF((Consultas!AD239&lt;'Parâmetros'!$A$31),"X",(AD239+AC239+AB239))</f>
        <v>X</v>
      </c>
      <c r="AU239" s="78">
        <f t="shared" si="1"/>
        <v>-23</v>
      </c>
      <c r="AV239" s="82" t="str">
        <f>IF(AQ239="N/A","N/A",IF(AQ239&gt;5,'Parâmetros'!$A$15,(IF(AU239=AR239,'Parâmetros'!$A$17,IF(AU239=AS239,'Parâmetros'!$A$16,'Parâmetros'!$A$14)))))</f>
        <v>N/A</v>
      </c>
      <c r="AW239" s="86" t="str">
        <f>IF(AQ239="N/A","N/A",IF(AV239='Parâmetros'!$A$15,'Parâmetros'!$C$15,(IF(AV239='Parâmetros'!$A$17,'Parâmetros'!$C$17,IF(AV239='Parâmetros'!$A$16,'Parâmetros'!$C$16,IF(AV239='Parâmetros'!$A$14,'Parâmetros'!$C$12))))))</f>
        <v>N/A</v>
      </c>
      <c r="AX239" s="82" t="b">
        <f>IF(Consultas!F239&gt;1,(IF(Consultas!F239&gt;5000,"SOLICITAR PED COMPRA","N/A")))</f>
        <v>0</v>
      </c>
      <c r="AY239" s="167" t="str">
        <f>IF(AND(Consultas!M239&lt;&gt;"S", Consultas!H239="S"), "CHECAGEM REVERSA", "N/A")</f>
        <v>N/A</v>
      </c>
      <c r="AZ239" s="167" t="str">
        <f>IF(Consultas!U239="N","PRECISA CORRIGIR END DIVERGENTE","N/A")</f>
        <v>N/A</v>
      </c>
    </row>
    <row r="240" ht="12.0" customHeight="1">
      <c r="A240" s="39" t="s">
        <v>90</v>
      </c>
      <c r="B240" s="82" t="str">
        <f>Consultas!B240</f>
        <v/>
      </c>
      <c r="C240" s="82" t="str">
        <f>Consultas!D240</f>
        <v/>
      </c>
      <c r="D240" s="96" t="str">
        <f>Consultas!E240</f>
        <v/>
      </c>
      <c r="E240" s="104" t="str">
        <f>IF(Consultas!AB240&gt;0,YEAR('Parâmetros'!$B$1)-YEAR(Consultas!AB240),"NA")</f>
        <v>NA</v>
      </c>
      <c r="F240" s="82">
        <f>IF(Consultas!F240&gt;'Parâmetros'!$B$2,-8,0)</f>
        <v>0</v>
      </c>
      <c r="G240" s="82">
        <f>IF(Consultas!H240='Parâmetros'!$E$1,100,0)</f>
        <v>0</v>
      </c>
      <c r="H240" s="82">
        <f>IF(Consultas!I240='Parâmetros'!$E$1,-4,12)</f>
        <v>12</v>
      </c>
      <c r="I240" s="82">
        <f>IF(Consultas!J240='Parâmetros'!$E$1,1,-13)</f>
        <v>-13</v>
      </c>
      <c r="J240" s="82">
        <f>IF(Consultas!K240='Parâmetros'!$E$1,2,-5)</f>
        <v>-5</v>
      </c>
      <c r="K240" s="82" t="str">
        <f>IF(Consultas!L240='Parâmetros'!$D$1,"SOLIC CONTRATO DE ENTREGA","N/A")</f>
        <v>N/A</v>
      </c>
      <c r="L240" s="82">
        <f>IF(Consultas!R240='Parâmetros'!$E$1,1,-3)</f>
        <v>-3</v>
      </c>
      <c r="M240" s="82" t="b">
        <f>IF(Consultas!S240&gt;1,(IF(Consultas!S240='Parâmetros'!$E$1,-3,9)))</f>
        <v>0</v>
      </c>
      <c r="N240" s="82">
        <f>IF(Consultas!T240="S",23,0)</f>
        <v>0</v>
      </c>
      <c r="O240" s="82">
        <f>IF(Consultas!U240='Parâmetros'!$E$1,-3,3)</f>
        <v>3</v>
      </c>
      <c r="P240" s="82">
        <f>IF(Consultas!V240='Parâmetros'!$E$1,-100,2)</f>
        <v>2</v>
      </c>
      <c r="Q240" s="82">
        <f>IF(Consultas!M240='Parâmetros'!$D$1,2,-9)</f>
        <v>-9</v>
      </c>
      <c r="R240" s="82">
        <f>IF(Consultas!N240="RJ",-12,0)</f>
        <v>0</v>
      </c>
      <c r="S240" s="82">
        <f>IF(Consultas!O240="-",-3,IF(Consultas!O240=0,-6,IF(Consultas!O240=5,0,IF(Consultas!O240=10,6))))</f>
        <v>-6</v>
      </c>
      <c r="T240" s="82">
        <f>IF(Consultas!M240="S",0,(IF(Consultas!P240="S",6,0)))</f>
        <v>0</v>
      </c>
      <c r="U240" s="82">
        <f>IF(Consultas!Q240&gt;97,9,IF(Consultas!Q240&gt;75,0,-7))</f>
        <v>-7</v>
      </c>
      <c r="V240" s="82">
        <f>IF(Consultas!W240='Parâmetros'!$E$1,1,-5)</f>
        <v>-5</v>
      </c>
      <c r="W240" s="82">
        <f>IF(Consultas!X240="S",3,-3)</f>
        <v>-3</v>
      </c>
      <c r="X240" s="82">
        <f>IF(Consultas!Y240="S",0,-7)</f>
        <v>-7</v>
      </c>
      <c r="Y240" s="82">
        <f>IF(Consultas!Z240='Parâmetros'!$E$1,2,-8)</f>
        <v>-8</v>
      </c>
      <c r="Z240" s="82">
        <f>IF(Consultas!AA240='Parâmetros'!$E$1,-15,1)</f>
        <v>1</v>
      </c>
      <c r="AA240" s="147" t="s">
        <v>140</v>
      </c>
      <c r="AB240" s="82" t="str">
        <f>IF(E240="NA","NA",IF(E240&gt;'Parâmetros'!$A$9,8,IF(E240&gt;'Parâmetros'!$A$8,4,IF(E240&gt;'Parâmetros'!$A$7,0,-6))))</f>
        <v>NA</v>
      </c>
      <c r="AC240" s="82">
        <f>IF(Consultas!AC240='Parâmetros'!$E$1,0,5)</f>
        <v>5</v>
      </c>
      <c r="AD240" s="82">
        <f>IF(Consultas!AH240='Parâmetros'!$D$1,-10,5)</f>
        <v>5</v>
      </c>
      <c r="AE240" s="82">
        <f>IF(Consultas!AI240&gt;(Consultas!F240*2),-10,0)</f>
        <v>0</v>
      </c>
      <c r="AF240" s="82" t="b">
        <f>IF(Consultas!AD240&gt;1,(IF(Consultas!AI240&gt;(Consultas!AD240),-20,4)))</f>
        <v>0</v>
      </c>
      <c r="AG240" s="82">
        <f>IF(Consultas!AG240='Parâmetros'!$E$1,0,-6)</f>
        <v>-6</v>
      </c>
      <c r="AH240" s="82">
        <f>IF(Consultas!AF240='Parâmetros'!$E$1,1,-5)</f>
        <v>-5</v>
      </c>
      <c r="AI240" s="82">
        <f>IF(Consultas!AJ240&gt;700,8,IF(Consultas!AJ240&gt;500,4,IF(Consultas!AJ240&gt;200,-4,IF(Consultas!AJ240&gt;1,-15,-20))))</f>
        <v>-20</v>
      </c>
      <c r="AJ240" s="82">
        <f>IF(Consultas!AD240='Parâmetros'!$E$10,0,IF(Consultas!AD240&gt;'Parâmetros'!$A$30,12,IF(Consultas!AD240&gt;'Parâmetros'!$A$31,6,IF(Consultas!AD240&gt;'Parâmetros'!$A$32,0,IF(Consultas!AD240&gt;'Parâmetros'!$A$33,0,IF(Consultas!AD240&gt;'Parâmetros'!$A$34,-3,IF(Consultas!AD240&gt;'Parâmetros'!$A$35,-7,-1)))))))</f>
        <v>-1</v>
      </c>
      <c r="AK240" s="82">
        <f>IF(Consultas!AO240='Parâmetros'!$D$1,3,-3)</f>
        <v>-3</v>
      </c>
      <c r="AL240" s="82">
        <f>IF(Consultas!AP240='Parâmetros'!$D$1,5,-3)</f>
        <v>-3</v>
      </c>
      <c r="AM240" s="82">
        <f>IF(Consultas!AL240="N",-6,0)</f>
        <v>0</v>
      </c>
      <c r="AN240" s="82">
        <f>IF(Consultas!AM240="N",-10,0)</f>
        <v>0</v>
      </c>
      <c r="AO240" s="82">
        <f>IF(Consultas!AN240="S",4,-2)</f>
        <v>-2</v>
      </c>
      <c r="AP240" s="39"/>
      <c r="AQ240" s="165" t="str">
        <f>IF(Consultas!F240&gt;1,(SUM(F240:AO240)),"N/A")</f>
        <v>N/A</v>
      </c>
      <c r="AR240" s="78">
        <f>IF((Consultas!AD240&gt;'Parâmetros'!$A$31),"X",AJ240+Y240+V240+AC240)</f>
        <v>-9</v>
      </c>
      <c r="AS240" s="78">
        <f>IF((Consultas!AD240&gt;'Parâmetros'!$A$31),"X",(H240+I240+J240+Q240+T240+Y240+Z240+AJ240+AN240))</f>
        <v>-23</v>
      </c>
      <c r="AT240" s="78" t="str">
        <f>IF((Consultas!AD240&lt;'Parâmetros'!$A$31),"X",(AD240+AC240+AB240))</f>
        <v>X</v>
      </c>
      <c r="AU240" s="78">
        <f t="shared" si="1"/>
        <v>-23</v>
      </c>
      <c r="AV240" s="82" t="str">
        <f>IF(AQ240="N/A","N/A",IF(AQ240&gt;5,'Parâmetros'!$A$15,(IF(AU240=AR240,'Parâmetros'!$A$17,IF(AU240=AS240,'Parâmetros'!$A$16,'Parâmetros'!$A$14)))))</f>
        <v>N/A</v>
      </c>
      <c r="AW240" s="86" t="str">
        <f>IF(AQ240="N/A","N/A",IF(AV240='Parâmetros'!$A$15,'Parâmetros'!$C$15,(IF(AV240='Parâmetros'!$A$17,'Parâmetros'!$C$17,IF(AV240='Parâmetros'!$A$16,'Parâmetros'!$C$16,IF(AV240='Parâmetros'!$A$14,'Parâmetros'!$C$12))))))</f>
        <v>N/A</v>
      </c>
      <c r="AX240" s="82" t="b">
        <f>IF(Consultas!F240&gt;1,(IF(Consultas!F240&gt;5000,"SOLICITAR PED COMPRA","N/A")))</f>
        <v>0</v>
      </c>
      <c r="AY240" s="167" t="str">
        <f>IF(AND(Consultas!M240&lt;&gt;"S", Consultas!H240="S"), "CHECAGEM REVERSA", "N/A")</f>
        <v>N/A</v>
      </c>
      <c r="AZ240" s="167" t="str">
        <f>IF(Consultas!U240="N","PRECISA CORRIGIR END DIVERGENTE","N/A")</f>
        <v>N/A</v>
      </c>
    </row>
    <row r="241" ht="12.0" customHeight="1">
      <c r="A241" s="39" t="s">
        <v>90</v>
      </c>
      <c r="B241" s="82" t="str">
        <f>Consultas!B241</f>
        <v/>
      </c>
      <c r="C241" s="82" t="str">
        <f>Consultas!D241</f>
        <v/>
      </c>
      <c r="D241" s="96" t="str">
        <f>Consultas!E241</f>
        <v/>
      </c>
      <c r="E241" s="104" t="str">
        <f>IF(Consultas!AB241&gt;0,YEAR('Parâmetros'!$B$1)-YEAR(Consultas!AB241),"NA")</f>
        <v>NA</v>
      </c>
      <c r="F241" s="82">
        <f>IF(Consultas!F241&gt;'Parâmetros'!$B$2,-8,0)</f>
        <v>0</v>
      </c>
      <c r="G241" s="82">
        <f>IF(Consultas!H241='Parâmetros'!$E$1,100,0)</f>
        <v>0</v>
      </c>
      <c r="H241" s="82">
        <f>IF(Consultas!I241='Parâmetros'!$E$1,-4,12)</f>
        <v>12</v>
      </c>
      <c r="I241" s="82">
        <f>IF(Consultas!J241='Parâmetros'!$E$1,1,-13)</f>
        <v>-13</v>
      </c>
      <c r="J241" s="82">
        <f>IF(Consultas!K241='Parâmetros'!$E$1,2,-5)</f>
        <v>-5</v>
      </c>
      <c r="K241" s="82" t="str">
        <f>IF(Consultas!L241='Parâmetros'!$D$1,"SOLIC CONTRATO DE ENTREGA","N/A")</f>
        <v>N/A</v>
      </c>
      <c r="L241" s="82">
        <f>IF(Consultas!R241='Parâmetros'!$E$1,1,-3)</f>
        <v>-3</v>
      </c>
      <c r="M241" s="82" t="b">
        <f>IF(Consultas!S241&gt;1,(IF(Consultas!S241='Parâmetros'!$E$1,-3,9)))</f>
        <v>0</v>
      </c>
      <c r="N241" s="82">
        <f>IF(Consultas!T241="S",23,0)</f>
        <v>0</v>
      </c>
      <c r="O241" s="82">
        <f>IF(Consultas!U241='Parâmetros'!$E$1,-3,3)</f>
        <v>3</v>
      </c>
      <c r="P241" s="82">
        <f>IF(Consultas!V241='Parâmetros'!$E$1,-100,2)</f>
        <v>2</v>
      </c>
      <c r="Q241" s="82">
        <f>IF(Consultas!M241='Parâmetros'!$D$1,2,-9)</f>
        <v>-9</v>
      </c>
      <c r="R241" s="82">
        <f>IF(Consultas!N241="RJ",-12,0)</f>
        <v>0</v>
      </c>
      <c r="S241" s="82">
        <f>IF(Consultas!O241="-",-3,IF(Consultas!O241=0,-6,IF(Consultas!O241=5,0,IF(Consultas!O241=10,6))))</f>
        <v>-6</v>
      </c>
      <c r="T241" s="82">
        <f>IF(Consultas!M241="S",0,(IF(Consultas!P241="S",6,0)))</f>
        <v>0</v>
      </c>
      <c r="U241" s="82">
        <f>IF(Consultas!Q241&gt;97,9,IF(Consultas!Q241&gt;75,0,-7))</f>
        <v>-7</v>
      </c>
      <c r="V241" s="82">
        <f>IF(Consultas!W241='Parâmetros'!$E$1,1,-5)</f>
        <v>-5</v>
      </c>
      <c r="W241" s="82">
        <f>IF(Consultas!X241="S",3,-3)</f>
        <v>-3</v>
      </c>
      <c r="X241" s="82">
        <f>IF(Consultas!Y241="S",0,-7)</f>
        <v>-7</v>
      </c>
      <c r="Y241" s="82">
        <f>IF(Consultas!Z241='Parâmetros'!$E$1,2,-8)</f>
        <v>-8</v>
      </c>
      <c r="Z241" s="82">
        <f>IF(Consultas!AA241='Parâmetros'!$E$1,-15,1)</f>
        <v>1</v>
      </c>
      <c r="AA241" s="147" t="s">
        <v>140</v>
      </c>
      <c r="AB241" s="82" t="str">
        <f>IF(E241="NA","NA",IF(E241&gt;'Parâmetros'!$A$9,8,IF(E241&gt;'Parâmetros'!$A$8,4,IF(E241&gt;'Parâmetros'!$A$7,0,-6))))</f>
        <v>NA</v>
      </c>
      <c r="AC241" s="82">
        <f>IF(Consultas!AC241='Parâmetros'!$E$1,0,5)</f>
        <v>5</v>
      </c>
      <c r="AD241" s="82">
        <f>IF(Consultas!AH241='Parâmetros'!$D$1,-10,5)</f>
        <v>5</v>
      </c>
      <c r="AE241" s="82">
        <f>IF(Consultas!AI241&gt;(Consultas!F241*2),-10,0)</f>
        <v>0</v>
      </c>
      <c r="AF241" s="82" t="b">
        <f>IF(Consultas!AD241&gt;1,(IF(Consultas!AI241&gt;(Consultas!AD241),-20,4)))</f>
        <v>0</v>
      </c>
      <c r="AG241" s="82">
        <f>IF(Consultas!AG241='Parâmetros'!$E$1,0,-6)</f>
        <v>-6</v>
      </c>
      <c r="AH241" s="82">
        <f>IF(Consultas!AF241='Parâmetros'!$E$1,1,-5)</f>
        <v>-5</v>
      </c>
      <c r="AI241" s="82">
        <f>IF(Consultas!AJ241&gt;700,8,IF(Consultas!AJ241&gt;500,4,IF(Consultas!AJ241&gt;200,-4,IF(Consultas!AJ241&gt;1,-15,-20))))</f>
        <v>-20</v>
      </c>
      <c r="AJ241" s="82">
        <f>IF(Consultas!AD241='Parâmetros'!$E$10,0,IF(Consultas!AD241&gt;'Parâmetros'!$A$30,12,IF(Consultas!AD241&gt;'Parâmetros'!$A$31,6,IF(Consultas!AD241&gt;'Parâmetros'!$A$32,0,IF(Consultas!AD241&gt;'Parâmetros'!$A$33,0,IF(Consultas!AD241&gt;'Parâmetros'!$A$34,-3,IF(Consultas!AD241&gt;'Parâmetros'!$A$35,-7,-1)))))))</f>
        <v>-1</v>
      </c>
      <c r="AK241" s="82">
        <f>IF(Consultas!AO241='Parâmetros'!$D$1,3,-3)</f>
        <v>-3</v>
      </c>
      <c r="AL241" s="82">
        <f>IF(Consultas!AP241='Parâmetros'!$D$1,5,-3)</f>
        <v>-3</v>
      </c>
      <c r="AM241" s="82">
        <f>IF(Consultas!AL241="N",-6,0)</f>
        <v>0</v>
      </c>
      <c r="AN241" s="82">
        <f>IF(Consultas!AM241="N",-10,0)</f>
        <v>0</v>
      </c>
      <c r="AO241" s="82">
        <f>IF(Consultas!AN241="S",4,-2)</f>
        <v>-2</v>
      </c>
      <c r="AP241" s="39"/>
      <c r="AQ241" s="165" t="str">
        <f>IF(Consultas!F241&gt;1,(SUM(F241:AO241)),"N/A")</f>
        <v>N/A</v>
      </c>
      <c r="AR241" s="78">
        <f>IF((Consultas!AD241&gt;'Parâmetros'!$A$31),"X",AJ241+Y241+V241+AC241)</f>
        <v>-9</v>
      </c>
      <c r="AS241" s="78">
        <f>IF((Consultas!AD241&gt;'Parâmetros'!$A$31),"X",(H241+I241+J241+Q241+T241+Y241+Z241+AJ241+AN241))</f>
        <v>-23</v>
      </c>
      <c r="AT241" s="78" t="str">
        <f>IF((Consultas!AD241&lt;'Parâmetros'!$A$31),"X",(AD241+AC241+AB241))</f>
        <v>X</v>
      </c>
      <c r="AU241" s="78">
        <f t="shared" si="1"/>
        <v>-23</v>
      </c>
      <c r="AV241" s="82" t="str">
        <f>IF(AQ241="N/A","N/A",IF(AQ241&gt;5,'Parâmetros'!$A$15,(IF(AU241=AR241,'Parâmetros'!$A$17,IF(AU241=AS241,'Parâmetros'!$A$16,'Parâmetros'!$A$14)))))</f>
        <v>N/A</v>
      </c>
      <c r="AW241" s="86" t="str">
        <f>IF(AQ241="N/A","N/A",IF(AV241='Parâmetros'!$A$15,'Parâmetros'!$C$15,(IF(AV241='Parâmetros'!$A$17,'Parâmetros'!$C$17,IF(AV241='Parâmetros'!$A$16,'Parâmetros'!$C$16,IF(AV241='Parâmetros'!$A$14,'Parâmetros'!$C$12))))))</f>
        <v>N/A</v>
      </c>
      <c r="AX241" s="82" t="b">
        <f>IF(Consultas!F241&gt;1,(IF(Consultas!F241&gt;5000,"SOLICITAR PED COMPRA","N/A")))</f>
        <v>0</v>
      </c>
      <c r="AY241" s="167" t="str">
        <f>IF(AND(Consultas!M241&lt;&gt;"S", Consultas!H241="S"), "CHECAGEM REVERSA", "N/A")</f>
        <v>N/A</v>
      </c>
      <c r="AZ241" s="167" t="str">
        <f>IF(Consultas!U241="N","PRECISA CORRIGIR END DIVERGENTE","N/A")</f>
        <v>N/A</v>
      </c>
    </row>
    <row r="242" ht="12.0" customHeight="1">
      <c r="A242" s="39" t="s">
        <v>90</v>
      </c>
      <c r="B242" s="82" t="str">
        <f>Consultas!B242</f>
        <v/>
      </c>
      <c r="C242" s="82" t="str">
        <f>Consultas!D242</f>
        <v/>
      </c>
      <c r="D242" s="96" t="str">
        <f>Consultas!E242</f>
        <v/>
      </c>
      <c r="E242" s="104" t="str">
        <f>IF(Consultas!AB242&gt;0,YEAR('Parâmetros'!$B$1)-YEAR(Consultas!AB242),"NA")</f>
        <v>NA</v>
      </c>
      <c r="F242" s="82">
        <f>IF(Consultas!F242&gt;'Parâmetros'!$B$2,-8,0)</f>
        <v>0</v>
      </c>
      <c r="G242" s="82">
        <f>IF(Consultas!H242='Parâmetros'!$E$1,100,0)</f>
        <v>0</v>
      </c>
      <c r="H242" s="82">
        <f>IF(Consultas!I242='Parâmetros'!$E$1,-4,12)</f>
        <v>12</v>
      </c>
      <c r="I242" s="82">
        <f>IF(Consultas!J242='Parâmetros'!$E$1,1,-13)</f>
        <v>-13</v>
      </c>
      <c r="J242" s="82">
        <f>IF(Consultas!K242='Parâmetros'!$E$1,2,-5)</f>
        <v>-5</v>
      </c>
      <c r="K242" s="82" t="str">
        <f>IF(Consultas!L242='Parâmetros'!$D$1,"SOLIC CONTRATO DE ENTREGA","N/A")</f>
        <v>N/A</v>
      </c>
      <c r="L242" s="82">
        <f>IF(Consultas!R242='Parâmetros'!$E$1,1,-3)</f>
        <v>-3</v>
      </c>
      <c r="M242" s="82" t="b">
        <f>IF(Consultas!S242&gt;1,(IF(Consultas!S242='Parâmetros'!$E$1,-3,9)))</f>
        <v>0</v>
      </c>
      <c r="N242" s="82">
        <f>IF(Consultas!T242="S",23,0)</f>
        <v>0</v>
      </c>
      <c r="O242" s="82">
        <f>IF(Consultas!U242='Parâmetros'!$E$1,-3,3)</f>
        <v>3</v>
      </c>
      <c r="P242" s="82">
        <f>IF(Consultas!V242='Parâmetros'!$E$1,-100,2)</f>
        <v>2</v>
      </c>
      <c r="Q242" s="82">
        <f>IF(Consultas!M242='Parâmetros'!$D$1,2,-9)</f>
        <v>-9</v>
      </c>
      <c r="R242" s="82">
        <f>IF(Consultas!N242="RJ",-12,0)</f>
        <v>0</v>
      </c>
      <c r="S242" s="82">
        <f>IF(Consultas!O242="-",-3,IF(Consultas!O242=0,-6,IF(Consultas!O242=5,0,IF(Consultas!O242=10,6))))</f>
        <v>-6</v>
      </c>
      <c r="T242" s="82">
        <f>IF(Consultas!M242="S",0,(IF(Consultas!P242="S",6,0)))</f>
        <v>0</v>
      </c>
      <c r="U242" s="82">
        <f>IF(Consultas!Q242&gt;97,9,IF(Consultas!Q242&gt;75,0,-7))</f>
        <v>-7</v>
      </c>
      <c r="V242" s="82">
        <f>IF(Consultas!W242='Parâmetros'!$E$1,1,-5)</f>
        <v>-5</v>
      </c>
      <c r="W242" s="82">
        <f>IF(Consultas!X242="S",3,-3)</f>
        <v>-3</v>
      </c>
      <c r="X242" s="82">
        <f>IF(Consultas!Y242="S",0,-7)</f>
        <v>-7</v>
      </c>
      <c r="Y242" s="82">
        <f>IF(Consultas!Z242='Parâmetros'!$E$1,2,-8)</f>
        <v>-8</v>
      </c>
      <c r="Z242" s="82">
        <f>IF(Consultas!AA242='Parâmetros'!$E$1,-15,1)</f>
        <v>1</v>
      </c>
      <c r="AA242" s="147" t="s">
        <v>140</v>
      </c>
      <c r="AB242" s="82" t="str">
        <f>IF(E242="NA","NA",IF(E242&gt;'Parâmetros'!$A$9,8,IF(E242&gt;'Parâmetros'!$A$8,4,IF(E242&gt;'Parâmetros'!$A$7,0,-6))))</f>
        <v>NA</v>
      </c>
      <c r="AC242" s="82">
        <f>IF(Consultas!AC242='Parâmetros'!$E$1,0,5)</f>
        <v>5</v>
      </c>
      <c r="AD242" s="82">
        <f>IF(Consultas!AH242='Parâmetros'!$D$1,-10,5)</f>
        <v>5</v>
      </c>
      <c r="AE242" s="82">
        <f>IF(Consultas!AI242&gt;(Consultas!F242*2),-10,0)</f>
        <v>0</v>
      </c>
      <c r="AF242" s="82" t="b">
        <f>IF(Consultas!AD242&gt;1,(IF(Consultas!AI242&gt;(Consultas!AD242),-20,4)))</f>
        <v>0</v>
      </c>
      <c r="AG242" s="82">
        <f>IF(Consultas!AG242='Parâmetros'!$E$1,0,-6)</f>
        <v>-6</v>
      </c>
      <c r="AH242" s="82">
        <f>IF(Consultas!AF242='Parâmetros'!$E$1,1,-5)</f>
        <v>-5</v>
      </c>
      <c r="AI242" s="82">
        <f>IF(Consultas!AJ242&gt;700,8,IF(Consultas!AJ242&gt;500,4,IF(Consultas!AJ242&gt;200,-4,IF(Consultas!AJ242&gt;1,-15,-20))))</f>
        <v>-20</v>
      </c>
      <c r="AJ242" s="82">
        <f>IF(Consultas!AD242='Parâmetros'!$E$10,0,IF(Consultas!AD242&gt;'Parâmetros'!$A$30,12,IF(Consultas!AD242&gt;'Parâmetros'!$A$31,6,IF(Consultas!AD242&gt;'Parâmetros'!$A$32,0,IF(Consultas!AD242&gt;'Parâmetros'!$A$33,0,IF(Consultas!AD242&gt;'Parâmetros'!$A$34,-3,IF(Consultas!AD242&gt;'Parâmetros'!$A$35,-7,-1)))))))</f>
        <v>-1</v>
      </c>
      <c r="AK242" s="82">
        <f>IF(Consultas!AO242='Parâmetros'!$D$1,3,-3)</f>
        <v>-3</v>
      </c>
      <c r="AL242" s="82">
        <f>IF(Consultas!AP242='Parâmetros'!$D$1,5,-3)</f>
        <v>-3</v>
      </c>
      <c r="AM242" s="82">
        <f>IF(Consultas!AL242="N",-6,0)</f>
        <v>0</v>
      </c>
      <c r="AN242" s="82">
        <f>IF(Consultas!AM242="N",-10,0)</f>
        <v>0</v>
      </c>
      <c r="AO242" s="82">
        <f>IF(Consultas!AN242="S",4,-2)</f>
        <v>-2</v>
      </c>
      <c r="AP242" s="39"/>
      <c r="AQ242" s="165" t="str">
        <f>IF(Consultas!F242&gt;1,(SUM(F242:AO242)),"N/A")</f>
        <v>N/A</v>
      </c>
      <c r="AR242" s="78">
        <f>IF((Consultas!AD242&gt;'Parâmetros'!$A$31),"X",AJ242+Y242+V242+AC242)</f>
        <v>-9</v>
      </c>
      <c r="AS242" s="78">
        <f>IF((Consultas!AD242&gt;'Parâmetros'!$A$31),"X",(H242+I242+J242+Q242+T242+Y242+Z242+AJ242+AN242))</f>
        <v>-23</v>
      </c>
      <c r="AT242" s="78" t="str">
        <f>IF((Consultas!AD242&lt;'Parâmetros'!$A$31),"X",(AD242+AC242+AB242))</f>
        <v>X</v>
      </c>
      <c r="AU242" s="78">
        <f t="shared" si="1"/>
        <v>-23</v>
      </c>
      <c r="AV242" s="82" t="str">
        <f>IF(AQ242="N/A","N/A",IF(AQ242&gt;5,'Parâmetros'!$A$15,(IF(AU242=AR242,'Parâmetros'!$A$17,IF(AU242=AS242,'Parâmetros'!$A$16,'Parâmetros'!$A$14)))))</f>
        <v>N/A</v>
      </c>
      <c r="AW242" s="86" t="str">
        <f>IF(AQ242="N/A","N/A",IF(AV242='Parâmetros'!$A$15,'Parâmetros'!$C$15,(IF(AV242='Parâmetros'!$A$17,'Parâmetros'!$C$17,IF(AV242='Parâmetros'!$A$16,'Parâmetros'!$C$16,IF(AV242='Parâmetros'!$A$14,'Parâmetros'!$C$12))))))</f>
        <v>N/A</v>
      </c>
      <c r="AX242" s="82" t="b">
        <f>IF(Consultas!F242&gt;1,(IF(Consultas!F242&gt;5000,"SOLICITAR PED COMPRA","N/A")))</f>
        <v>0</v>
      </c>
      <c r="AY242" s="167" t="str">
        <f>IF(AND(Consultas!M242&lt;&gt;"S", Consultas!H242="S"), "CHECAGEM REVERSA", "N/A")</f>
        <v>N/A</v>
      </c>
      <c r="AZ242" s="167" t="str">
        <f>IF(Consultas!U242="N","PRECISA CORRIGIR END DIVERGENTE","N/A")</f>
        <v>N/A</v>
      </c>
    </row>
    <row r="243" ht="12.0" customHeight="1">
      <c r="A243" s="39" t="s">
        <v>90</v>
      </c>
      <c r="B243" s="82" t="str">
        <f>Consultas!B243</f>
        <v/>
      </c>
      <c r="C243" s="82" t="str">
        <f>Consultas!D243</f>
        <v/>
      </c>
      <c r="D243" s="96" t="str">
        <f>Consultas!E243</f>
        <v/>
      </c>
      <c r="E243" s="104" t="str">
        <f>IF(Consultas!AB243&gt;0,YEAR('Parâmetros'!$B$1)-YEAR(Consultas!AB243),"NA")</f>
        <v>NA</v>
      </c>
      <c r="F243" s="82">
        <f>IF(Consultas!F243&gt;'Parâmetros'!$B$2,-8,0)</f>
        <v>0</v>
      </c>
      <c r="G243" s="82">
        <f>IF(Consultas!H243='Parâmetros'!$E$1,100,0)</f>
        <v>0</v>
      </c>
      <c r="H243" s="82">
        <f>IF(Consultas!I243='Parâmetros'!$E$1,-4,12)</f>
        <v>12</v>
      </c>
      <c r="I243" s="82">
        <f>IF(Consultas!J243='Parâmetros'!$E$1,1,-13)</f>
        <v>-13</v>
      </c>
      <c r="J243" s="82">
        <f>IF(Consultas!K243='Parâmetros'!$E$1,2,-5)</f>
        <v>-5</v>
      </c>
      <c r="K243" s="82" t="str">
        <f>IF(Consultas!L243='Parâmetros'!$D$1,"SOLIC CONTRATO DE ENTREGA","N/A")</f>
        <v>N/A</v>
      </c>
      <c r="L243" s="82">
        <f>IF(Consultas!R243='Parâmetros'!$E$1,1,-3)</f>
        <v>-3</v>
      </c>
      <c r="M243" s="82" t="b">
        <f>IF(Consultas!S243&gt;1,(IF(Consultas!S243='Parâmetros'!$E$1,-3,9)))</f>
        <v>0</v>
      </c>
      <c r="N243" s="82">
        <f>IF(Consultas!T243="S",23,0)</f>
        <v>0</v>
      </c>
      <c r="O243" s="82">
        <f>IF(Consultas!U243='Parâmetros'!$E$1,-3,3)</f>
        <v>3</v>
      </c>
      <c r="P243" s="82">
        <f>IF(Consultas!V243='Parâmetros'!$E$1,-100,2)</f>
        <v>2</v>
      </c>
      <c r="Q243" s="82">
        <f>IF(Consultas!M243='Parâmetros'!$D$1,2,-9)</f>
        <v>-9</v>
      </c>
      <c r="R243" s="82">
        <f>IF(Consultas!N243="RJ",-12,0)</f>
        <v>0</v>
      </c>
      <c r="S243" s="82">
        <f>IF(Consultas!O243="-",-3,IF(Consultas!O243=0,-6,IF(Consultas!O243=5,0,IF(Consultas!O243=10,6))))</f>
        <v>-6</v>
      </c>
      <c r="T243" s="82">
        <f>IF(Consultas!M243="S",0,(IF(Consultas!P243="S",6,0)))</f>
        <v>0</v>
      </c>
      <c r="U243" s="82">
        <f>IF(Consultas!Q243&gt;97,9,IF(Consultas!Q243&gt;75,0,-7))</f>
        <v>-7</v>
      </c>
      <c r="V243" s="82">
        <f>IF(Consultas!W243='Parâmetros'!$E$1,1,-5)</f>
        <v>-5</v>
      </c>
      <c r="W243" s="82">
        <f>IF(Consultas!X243="S",3,-3)</f>
        <v>-3</v>
      </c>
      <c r="X243" s="82">
        <f>IF(Consultas!Y243="S",0,-7)</f>
        <v>-7</v>
      </c>
      <c r="Y243" s="82">
        <f>IF(Consultas!Z243='Parâmetros'!$E$1,2,-8)</f>
        <v>-8</v>
      </c>
      <c r="Z243" s="82">
        <f>IF(Consultas!AA243='Parâmetros'!$E$1,-15,1)</f>
        <v>1</v>
      </c>
      <c r="AA243" s="147" t="s">
        <v>140</v>
      </c>
      <c r="AB243" s="82" t="str">
        <f>IF(E243="NA","NA",IF(E243&gt;'Parâmetros'!$A$9,8,IF(E243&gt;'Parâmetros'!$A$8,4,IF(E243&gt;'Parâmetros'!$A$7,0,-6))))</f>
        <v>NA</v>
      </c>
      <c r="AC243" s="82">
        <f>IF(Consultas!AC243='Parâmetros'!$E$1,0,5)</f>
        <v>5</v>
      </c>
      <c r="AD243" s="82">
        <f>IF(Consultas!AH243='Parâmetros'!$D$1,-10,5)</f>
        <v>5</v>
      </c>
      <c r="AE243" s="82">
        <f>IF(Consultas!AI243&gt;(Consultas!F243*2),-10,0)</f>
        <v>0</v>
      </c>
      <c r="AF243" s="82" t="b">
        <f>IF(Consultas!AD243&gt;1,(IF(Consultas!AI243&gt;(Consultas!AD243),-20,4)))</f>
        <v>0</v>
      </c>
      <c r="AG243" s="82">
        <f>IF(Consultas!AG243='Parâmetros'!$E$1,0,-6)</f>
        <v>-6</v>
      </c>
      <c r="AH243" s="82">
        <f>IF(Consultas!AF243='Parâmetros'!$E$1,1,-5)</f>
        <v>-5</v>
      </c>
      <c r="AI243" s="82">
        <f>IF(Consultas!AJ243&gt;700,8,IF(Consultas!AJ243&gt;500,4,IF(Consultas!AJ243&gt;200,-4,IF(Consultas!AJ243&gt;1,-15,-20))))</f>
        <v>-20</v>
      </c>
      <c r="AJ243" s="82">
        <f>IF(Consultas!AD243='Parâmetros'!$E$10,0,IF(Consultas!AD243&gt;'Parâmetros'!$A$30,12,IF(Consultas!AD243&gt;'Parâmetros'!$A$31,6,IF(Consultas!AD243&gt;'Parâmetros'!$A$32,0,IF(Consultas!AD243&gt;'Parâmetros'!$A$33,0,IF(Consultas!AD243&gt;'Parâmetros'!$A$34,-3,IF(Consultas!AD243&gt;'Parâmetros'!$A$35,-7,-1)))))))</f>
        <v>-1</v>
      </c>
      <c r="AK243" s="82">
        <f>IF(Consultas!AO243='Parâmetros'!$D$1,3,-3)</f>
        <v>-3</v>
      </c>
      <c r="AL243" s="82">
        <f>IF(Consultas!AP243='Parâmetros'!$D$1,5,-3)</f>
        <v>-3</v>
      </c>
      <c r="AM243" s="82">
        <f>IF(Consultas!AL243="N",-6,0)</f>
        <v>0</v>
      </c>
      <c r="AN243" s="82">
        <f>IF(Consultas!AM243="N",-10,0)</f>
        <v>0</v>
      </c>
      <c r="AO243" s="82">
        <f>IF(Consultas!AN243="S",4,-2)</f>
        <v>-2</v>
      </c>
      <c r="AP243" s="39"/>
      <c r="AQ243" s="165" t="str">
        <f>IF(Consultas!F243&gt;1,(SUM(F243:AO243)),"N/A")</f>
        <v>N/A</v>
      </c>
      <c r="AR243" s="78">
        <f>IF((Consultas!AD243&gt;'Parâmetros'!$A$31),"X",AJ243+Y243+V243+AC243)</f>
        <v>-9</v>
      </c>
      <c r="AS243" s="78">
        <f>IF((Consultas!AD243&gt;'Parâmetros'!$A$31),"X",(H243+I243+J243+Q243+T243+Y243+Z243+AJ243+AN243))</f>
        <v>-23</v>
      </c>
      <c r="AT243" s="78" t="str">
        <f>IF((Consultas!AD243&lt;'Parâmetros'!$A$31),"X",(AD243+AC243+AB243))</f>
        <v>X</v>
      </c>
      <c r="AU243" s="78">
        <f t="shared" si="1"/>
        <v>-23</v>
      </c>
      <c r="AV243" s="82" t="str">
        <f>IF(AQ243="N/A","N/A",IF(AQ243&gt;5,'Parâmetros'!$A$15,(IF(AU243=AR243,'Parâmetros'!$A$17,IF(AU243=AS243,'Parâmetros'!$A$16,'Parâmetros'!$A$14)))))</f>
        <v>N/A</v>
      </c>
      <c r="AW243" s="86" t="str">
        <f>IF(AQ243="N/A","N/A",IF(AV243='Parâmetros'!$A$15,'Parâmetros'!$C$15,(IF(AV243='Parâmetros'!$A$17,'Parâmetros'!$C$17,IF(AV243='Parâmetros'!$A$16,'Parâmetros'!$C$16,IF(AV243='Parâmetros'!$A$14,'Parâmetros'!$C$12))))))</f>
        <v>N/A</v>
      </c>
      <c r="AX243" s="82" t="b">
        <f>IF(Consultas!F243&gt;1,(IF(Consultas!F243&gt;5000,"SOLICITAR PED COMPRA","N/A")))</f>
        <v>0</v>
      </c>
      <c r="AY243" s="167" t="str">
        <f>IF(AND(Consultas!M243&lt;&gt;"S", Consultas!H243="S"), "CHECAGEM REVERSA", "N/A")</f>
        <v>N/A</v>
      </c>
      <c r="AZ243" s="167" t="str">
        <f>IF(Consultas!U243="N","PRECISA CORRIGIR END DIVERGENTE","N/A")</f>
        <v>N/A</v>
      </c>
    </row>
    <row r="244" ht="12.0" customHeight="1">
      <c r="A244" s="39" t="s">
        <v>90</v>
      </c>
      <c r="B244" s="82" t="str">
        <f>Consultas!B244</f>
        <v/>
      </c>
      <c r="C244" s="82" t="str">
        <f>Consultas!D244</f>
        <v/>
      </c>
      <c r="D244" s="96" t="str">
        <f>Consultas!E244</f>
        <v/>
      </c>
      <c r="E244" s="104" t="str">
        <f>IF(Consultas!AB244&gt;0,YEAR('Parâmetros'!$B$1)-YEAR(Consultas!AB244),"NA")</f>
        <v>NA</v>
      </c>
      <c r="F244" s="82">
        <f>IF(Consultas!F244&gt;'Parâmetros'!$B$2,-8,0)</f>
        <v>0</v>
      </c>
      <c r="G244" s="82">
        <f>IF(Consultas!H244='Parâmetros'!$E$1,100,0)</f>
        <v>0</v>
      </c>
      <c r="H244" s="82">
        <f>IF(Consultas!I244='Parâmetros'!$E$1,-4,12)</f>
        <v>12</v>
      </c>
      <c r="I244" s="82">
        <f>IF(Consultas!J244='Parâmetros'!$E$1,1,-13)</f>
        <v>-13</v>
      </c>
      <c r="J244" s="82">
        <f>IF(Consultas!K244='Parâmetros'!$E$1,2,-5)</f>
        <v>-5</v>
      </c>
      <c r="K244" s="82" t="str">
        <f>IF(Consultas!L244='Parâmetros'!$D$1,"SOLIC CONTRATO DE ENTREGA","N/A")</f>
        <v>N/A</v>
      </c>
      <c r="L244" s="82">
        <f>IF(Consultas!R244='Parâmetros'!$E$1,1,-3)</f>
        <v>-3</v>
      </c>
      <c r="M244" s="82" t="b">
        <f>IF(Consultas!S244&gt;1,(IF(Consultas!S244='Parâmetros'!$E$1,-3,9)))</f>
        <v>0</v>
      </c>
      <c r="N244" s="82">
        <f>IF(Consultas!T244="S",23,0)</f>
        <v>0</v>
      </c>
      <c r="O244" s="82">
        <f>IF(Consultas!U244='Parâmetros'!$E$1,-3,3)</f>
        <v>3</v>
      </c>
      <c r="P244" s="82">
        <f>IF(Consultas!V244='Parâmetros'!$E$1,-100,2)</f>
        <v>2</v>
      </c>
      <c r="Q244" s="82">
        <f>IF(Consultas!M244='Parâmetros'!$D$1,2,-9)</f>
        <v>-9</v>
      </c>
      <c r="R244" s="82">
        <f>IF(Consultas!N244="RJ",-12,0)</f>
        <v>0</v>
      </c>
      <c r="S244" s="82">
        <f>IF(Consultas!O244="-",-3,IF(Consultas!O244=0,-6,IF(Consultas!O244=5,0,IF(Consultas!O244=10,6))))</f>
        <v>-6</v>
      </c>
      <c r="T244" s="82">
        <f>IF(Consultas!M244="S",0,(IF(Consultas!P244="S",6,0)))</f>
        <v>0</v>
      </c>
      <c r="U244" s="82">
        <f>IF(Consultas!Q244&gt;97,9,IF(Consultas!Q244&gt;75,0,-7))</f>
        <v>-7</v>
      </c>
      <c r="V244" s="82">
        <f>IF(Consultas!W244='Parâmetros'!$E$1,1,-5)</f>
        <v>-5</v>
      </c>
      <c r="W244" s="82">
        <f>IF(Consultas!X244="S",3,-3)</f>
        <v>-3</v>
      </c>
      <c r="X244" s="82">
        <f>IF(Consultas!Y244="S",0,-7)</f>
        <v>-7</v>
      </c>
      <c r="Y244" s="82">
        <f>IF(Consultas!Z244='Parâmetros'!$E$1,2,-8)</f>
        <v>-8</v>
      </c>
      <c r="Z244" s="82">
        <f>IF(Consultas!AA244='Parâmetros'!$E$1,-15,1)</f>
        <v>1</v>
      </c>
      <c r="AA244" s="147" t="s">
        <v>140</v>
      </c>
      <c r="AB244" s="82" t="str">
        <f>IF(E244="NA","NA",IF(E244&gt;'Parâmetros'!$A$9,8,IF(E244&gt;'Parâmetros'!$A$8,4,IF(E244&gt;'Parâmetros'!$A$7,0,-6))))</f>
        <v>NA</v>
      </c>
      <c r="AC244" s="82">
        <f>IF(Consultas!AC244='Parâmetros'!$E$1,0,5)</f>
        <v>5</v>
      </c>
      <c r="AD244" s="82">
        <f>IF(Consultas!AH244='Parâmetros'!$D$1,-10,5)</f>
        <v>5</v>
      </c>
      <c r="AE244" s="82">
        <f>IF(Consultas!AI244&gt;(Consultas!F244*2),-10,0)</f>
        <v>0</v>
      </c>
      <c r="AF244" s="82" t="b">
        <f>IF(Consultas!AD244&gt;1,(IF(Consultas!AI244&gt;(Consultas!AD244),-20,4)))</f>
        <v>0</v>
      </c>
      <c r="AG244" s="82">
        <f>IF(Consultas!AG244='Parâmetros'!$E$1,0,-6)</f>
        <v>-6</v>
      </c>
      <c r="AH244" s="82">
        <f>IF(Consultas!AF244='Parâmetros'!$E$1,1,-5)</f>
        <v>-5</v>
      </c>
      <c r="AI244" s="82">
        <f>IF(Consultas!AJ244&gt;700,8,IF(Consultas!AJ244&gt;500,4,IF(Consultas!AJ244&gt;200,-4,IF(Consultas!AJ244&gt;1,-15,-20))))</f>
        <v>-20</v>
      </c>
      <c r="AJ244" s="82">
        <f>IF(Consultas!AD244='Parâmetros'!$E$10,0,IF(Consultas!AD244&gt;'Parâmetros'!$A$30,12,IF(Consultas!AD244&gt;'Parâmetros'!$A$31,6,IF(Consultas!AD244&gt;'Parâmetros'!$A$32,0,IF(Consultas!AD244&gt;'Parâmetros'!$A$33,0,IF(Consultas!AD244&gt;'Parâmetros'!$A$34,-3,IF(Consultas!AD244&gt;'Parâmetros'!$A$35,-7,-1)))))))</f>
        <v>-1</v>
      </c>
      <c r="AK244" s="82">
        <f>IF(Consultas!AO244='Parâmetros'!$D$1,3,-3)</f>
        <v>-3</v>
      </c>
      <c r="AL244" s="82">
        <f>IF(Consultas!AP244='Parâmetros'!$D$1,5,-3)</f>
        <v>-3</v>
      </c>
      <c r="AM244" s="82">
        <f>IF(Consultas!AL244="N",-6,0)</f>
        <v>0</v>
      </c>
      <c r="AN244" s="82">
        <f>IF(Consultas!AM244="N",-10,0)</f>
        <v>0</v>
      </c>
      <c r="AO244" s="82">
        <f>IF(Consultas!AN244="S",4,-2)</f>
        <v>-2</v>
      </c>
      <c r="AP244" s="39"/>
      <c r="AQ244" s="165" t="str">
        <f>IF(Consultas!F244&gt;1,(SUM(F244:AO244)),"N/A")</f>
        <v>N/A</v>
      </c>
      <c r="AR244" s="78">
        <f>IF((Consultas!AD244&gt;'Parâmetros'!$A$31),"X",AJ244+Y244+V244+AC244)</f>
        <v>-9</v>
      </c>
      <c r="AS244" s="78">
        <f>IF((Consultas!AD244&gt;'Parâmetros'!$A$31),"X",(H244+I244+J244+Q244+T244+Y244+Z244+AJ244+AN244))</f>
        <v>-23</v>
      </c>
      <c r="AT244" s="78" t="str">
        <f>IF((Consultas!AD244&lt;'Parâmetros'!$A$31),"X",(AD244+AC244+AB244))</f>
        <v>X</v>
      </c>
      <c r="AU244" s="78">
        <f t="shared" si="1"/>
        <v>-23</v>
      </c>
      <c r="AV244" s="82" t="str">
        <f>IF(AQ244="N/A","N/A",IF(AQ244&gt;5,'Parâmetros'!$A$15,(IF(AU244=AR244,'Parâmetros'!$A$17,IF(AU244=AS244,'Parâmetros'!$A$16,'Parâmetros'!$A$14)))))</f>
        <v>N/A</v>
      </c>
      <c r="AW244" s="86" t="str">
        <f>IF(AQ244="N/A","N/A",IF(AV244='Parâmetros'!$A$15,'Parâmetros'!$C$15,(IF(AV244='Parâmetros'!$A$17,'Parâmetros'!$C$17,IF(AV244='Parâmetros'!$A$16,'Parâmetros'!$C$16,IF(AV244='Parâmetros'!$A$14,'Parâmetros'!$C$12))))))</f>
        <v>N/A</v>
      </c>
      <c r="AX244" s="82" t="b">
        <f>IF(Consultas!F244&gt;1,(IF(Consultas!F244&gt;5000,"SOLICITAR PED COMPRA","N/A")))</f>
        <v>0</v>
      </c>
      <c r="AY244" s="167" t="str">
        <f>IF(AND(Consultas!M244&lt;&gt;"S", Consultas!H244="S"), "CHECAGEM REVERSA", "N/A")</f>
        <v>N/A</v>
      </c>
      <c r="AZ244" s="167" t="str">
        <f>IF(Consultas!U244="N","PRECISA CORRIGIR END DIVERGENTE","N/A")</f>
        <v>N/A</v>
      </c>
    </row>
    <row r="245" ht="12.0" customHeight="1">
      <c r="A245" s="39" t="s">
        <v>90</v>
      </c>
      <c r="B245" s="82" t="str">
        <f>Consultas!B245</f>
        <v/>
      </c>
      <c r="C245" s="82" t="str">
        <f>Consultas!D245</f>
        <v/>
      </c>
      <c r="D245" s="96" t="str">
        <f>Consultas!E245</f>
        <v/>
      </c>
      <c r="E245" s="104" t="str">
        <f>IF(Consultas!AB245&gt;0,YEAR('Parâmetros'!$B$1)-YEAR(Consultas!AB245),"NA")</f>
        <v>NA</v>
      </c>
      <c r="F245" s="82">
        <f>IF(Consultas!F245&gt;'Parâmetros'!$B$2,-8,0)</f>
        <v>0</v>
      </c>
      <c r="G245" s="82">
        <f>IF(Consultas!H245='Parâmetros'!$E$1,100,0)</f>
        <v>0</v>
      </c>
      <c r="H245" s="82">
        <f>IF(Consultas!I245='Parâmetros'!$E$1,-4,12)</f>
        <v>12</v>
      </c>
      <c r="I245" s="82">
        <f>IF(Consultas!J245='Parâmetros'!$E$1,1,-13)</f>
        <v>-13</v>
      </c>
      <c r="J245" s="82">
        <f>IF(Consultas!K245='Parâmetros'!$E$1,2,-5)</f>
        <v>-5</v>
      </c>
      <c r="K245" s="82" t="str">
        <f>IF(Consultas!L245='Parâmetros'!$D$1,"SOLIC CONTRATO DE ENTREGA","N/A")</f>
        <v>N/A</v>
      </c>
      <c r="L245" s="82">
        <f>IF(Consultas!R245='Parâmetros'!$E$1,1,-3)</f>
        <v>-3</v>
      </c>
      <c r="M245" s="82" t="b">
        <f>IF(Consultas!S245&gt;1,(IF(Consultas!S245='Parâmetros'!$E$1,-3,9)))</f>
        <v>0</v>
      </c>
      <c r="N245" s="82">
        <f>IF(Consultas!T245="S",23,0)</f>
        <v>0</v>
      </c>
      <c r="O245" s="82">
        <f>IF(Consultas!U245='Parâmetros'!$E$1,-3,3)</f>
        <v>3</v>
      </c>
      <c r="P245" s="82">
        <f>IF(Consultas!V245='Parâmetros'!$E$1,-100,2)</f>
        <v>2</v>
      </c>
      <c r="Q245" s="82">
        <f>IF(Consultas!M245='Parâmetros'!$D$1,2,-9)</f>
        <v>-9</v>
      </c>
      <c r="R245" s="82">
        <f>IF(Consultas!N245="RJ",-12,0)</f>
        <v>0</v>
      </c>
      <c r="S245" s="82">
        <f>IF(Consultas!O245="-",-3,IF(Consultas!O245=0,-6,IF(Consultas!O245=5,0,IF(Consultas!O245=10,6))))</f>
        <v>-6</v>
      </c>
      <c r="T245" s="82">
        <f>IF(Consultas!M245="S",0,(IF(Consultas!P245="S",6,0)))</f>
        <v>0</v>
      </c>
      <c r="U245" s="82">
        <f>IF(Consultas!Q245&gt;97,9,IF(Consultas!Q245&gt;75,0,-7))</f>
        <v>-7</v>
      </c>
      <c r="V245" s="82">
        <f>IF(Consultas!W245='Parâmetros'!$E$1,1,-5)</f>
        <v>-5</v>
      </c>
      <c r="W245" s="82">
        <f>IF(Consultas!X245="S",3,-3)</f>
        <v>-3</v>
      </c>
      <c r="X245" s="82">
        <f>IF(Consultas!Y245="S",0,-7)</f>
        <v>-7</v>
      </c>
      <c r="Y245" s="82">
        <f>IF(Consultas!Z245='Parâmetros'!$E$1,2,-8)</f>
        <v>-8</v>
      </c>
      <c r="Z245" s="82">
        <f>IF(Consultas!AA245='Parâmetros'!$E$1,-15,1)</f>
        <v>1</v>
      </c>
      <c r="AA245" s="147" t="s">
        <v>140</v>
      </c>
      <c r="AB245" s="82" t="str">
        <f>IF(E245="NA","NA",IF(E245&gt;'Parâmetros'!$A$9,8,IF(E245&gt;'Parâmetros'!$A$8,4,IF(E245&gt;'Parâmetros'!$A$7,0,-6))))</f>
        <v>NA</v>
      </c>
      <c r="AC245" s="82">
        <f>IF(Consultas!AC245='Parâmetros'!$E$1,0,5)</f>
        <v>5</v>
      </c>
      <c r="AD245" s="82">
        <f>IF(Consultas!AH245='Parâmetros'!$D$1,-10,5)</f>
        <v>5</v>
      </c>
      <c r="AE245" s="82">
        <f>IF(Consultas!AI245&gt;(Consultas!F245*2),-10,0)</f>
        <v>0</v>
      </c>
      <c r="AF245" s="82" t="b">
        <f>IF(Consultas!AD245&gt;1,(IF(Consultas!AI245&gt;(Consultas!AD245),-20,4)))</f>
        <v>0</v>
      </c>
      <c r="AG245" s="82">
        <f>IF(Consultas!AG245='Parâmetros'!$E$1,0,-6)</f>
        <v>-6</v>
      </c>
      <c r="AH245" s="82">
        <f>IF(Consultas!AF245='Parâmetros'!$E$1,1,-5)</f>
        <v>-5</v>
      </c>
      <c r="AI245" s="82">
        <f>IF(Consultas!AJ245&gt;700,8,IF(Consultas!AJ245&gt;500,4,IF(Consultas!AJ245&gt;200,-4,IF(Consultas!AJ245&gt;1,-15,-20))))</f>
        <v>-20</v>
      </c>
      <c r="AJ245" s="82">
        <f>IF(Consultas!AD245='Parâmetros'!$E$10,0,IF(Consultas!AD245&gt;'Parâmetros'!$A$30,12,IF(Consultas!AD245&gt;'Parâmetros'!$A$31,6,IF(Consultas!AD245&gt;'Parâmetros'!$A$32,0,IF(Consultas!AD245&gt;'Parâmetros'!$A$33,0,IF(Consultas!AD245&gt;'Parâmetros'!$A$34,-3,IF(Consultas!AD245&gt;'Parâmetros'!$A$35,-7,-1)))))))</f>
        <v>-1</v>
      </c>
      <c r="AK245" s="82">
        <f>IF(Consultas!AO245='Parâmetros'!$D$1,3,-3)</f>
        <v>-3</v>
      </c>
      <c r="AL245" s="82">
        <f>IF(Consultas!AP245='Parâmetros'!$D$1,5,-3)</f>
        <v>-3</v>
      </c>
      <c r="AM245" s="82">
        <f>IF(Consultas!AL245="N",-6,0)</f>
        <v>0</v>
      </c>
      <c r="AN245" s="82">
        <f>IF(Consultas!AM245="N",-10,0)</f>
        <v>0</v>
      </c>
      <c r="AO245" s="82">
        <f>IF(Consultas!AN245="S",4,-2)</f>
        <v>-2</v>
      </c>
      <c r="AP245" s="39"/>
      <c r="AQ245" s="165" t="str">
        <f>IF(Consultas!F245&gt;1,(SUM(F245:AO245)),"N/A")</f>
        <v>N/A</v>
      </c>
      <c r="AR245" s="78">
        <f>IF((Consultas!AD245&gt;'Parâmetros'!$A$31),"X",AJ245+Y245+V245+AC245)</f>
        <v>-9</v>
      </c>
      <c r="AS245" s="78">
        <f>IF((Consultas!AD245&gt;'Parâmetros'!$A$31),"X",(H245+I245+J245+Q245+T245+Y245+Z245+AJ245+AN245))</f>
        <v>-23</v>
      </c>
      <c r="AT245" s="78" t="str">
        <f>IF((Consultas!AD245&lt;'Parâmetros'!$A$31),"X",(AD245+AC245+AB245))</f>
        <v>X</v>
      </c>
      <c r="AU245" s="78">
        <f t="shared" si="1"/>
        <v>-23</v>
      </c>
      <c r="AV245" s="82" t="str">
        <f>IF(AQ245="N/A","N/A",IF(AQ245&gt;5,'Parâmetros'!$A$15,(IF(AU245=AR245,'Parâmetros'!$A$17,IF(AU245=AS245,'Parâmetros'!$A$16,'Parâmetros'!$A$14)))))</f>
        <v>N/A</v>
      </c>
      <c r="AW245" s="86" t="str">
        <f>IF(AQ245="N/A","N/A",IF(AV245='Parâmetros'!$A$15,'Parâmetros'!$C$15,(IF(AV245='Parâmetros'!$A$17,'Parâmetros'!$C$17,IF(AV245='Parâmetros'!$A$16,'Parâmetros'!$C$16,IF(AV245='Parâmetros'!$A$14,'Parâmetros'!$C$12))))))</f>
        <v>N/A</v>
      </c>
      <c r="AX245" s="82" t="b">
        <f>IF(Consultas!F245&gt;1,(IF(Consultas!F245&gt;5000,"SOLICITAR PED COMPRA","N/A")))</f>
        <v>0</v>
      </c>
      <c r="AY245" s="167" t="str">
        <f>IF(AND(Consultas!M245&lt;&gt;"S", Consultas!H245="S"), "CHECAGEM REVERSA", "N/A")</f>
        <v>N/A</v>
      </c>
      <c r="AZ245" s="167" t="str">
        <f>IF(Consultas!U245="N","PRECISA CORRIGIR END DIVERGENTE","N/A")</f>
        <v>N/A</v>
      </c>
    </row>
    <row r="246" ht="12.0" customHeight="1">
      <c r="A246" s="39" t="s">
        <v>90</v>
      </c>
      <c r="B246" s="82" t="str">
        <f>Consultas!B246</f>
        <v/>
      </c>
      <c r="C246" s="82" t="str">
        <f>Consultas!D246</f>
        <v/>
      </c>
      <c r="D246" s="96" t="str">
        <f>Consultas!E246</f>
        <v/>
      </c>
      <c r="E246" s="104" t="str">
        <f>IF(Consultas!AB246&gt;0,YEAR('Parâmetros'!$B$1)-YEAR(Consultas!AB246),"NA")</f>
        <v>NA</v>
      </c>
      <c r="F246" s="82">
        <f>IF(Consultas!F246&gt;'Parâmetros'!$B$2,-8,0)</f>
        <v>0</v>
      </c>
      <c r="G246" s="82">
        <f>IF(Consultas!H246='Parâmetros'!$E$1,100,0)</f>
        <v>0</v>
      </c>
      <c r="H246" s="82">
        <f>IF(Consultas!I246='Parâmetros'!$E$1,-4,12)</f>
        <v>12</v>
      </c>
      <c r="I246" s="82">
        <f>IF(Consultas!J246='Parâmetros'!$E$1,1,-13)</f>
        <v>-13</v>
      </c>
      <c r="J246" s="82">
        <f>IF(Consultas!K246='Parâmetros'!$E$1,2,-5)</f>
        <v>-5</v>
      </c>
      <c r="K246" s="82" t="str">
        <f>IF(Consultas!L246='Parâmetros'!$D$1,"SOLIC CONTRATO DE ENTREGA","N/A")</f>
        <v>N/A</v>
      </c>
      <c r="L246" s="82">
        <f>IF(Consultas!R246='Parâmetros'!$E$1,1,-3)</f>
        <v>-3</v>
      </c>
      <c r="M246" s="82" t="b">
        <f>IF(Consultas!S246&gt;1,(IF(Consultas!S246='Parâmetros'!$E$1,-3,9)))</f>
        <v>0</v>
      </c>
      <c r="N246" s="82">
        <f>IF(Consultas!T246="S",23,0)</f>
        <v>0</v>
      </c>
      <c r="O246" s="82">
        <f>IF(Consultas!U246='Parâmetros'!$E$1,-3,3)</f>
        <v>3</v>
      </c>
      <c r="P246" s="82">
        <f>IF(Consultas!V246='Parâmetros'!$E$1,-100,2)</f>
        <v>2</v>
      </c>
      <c r="Q246" s="82">
        <f>IF(Consultas!M246='Parâmetros'!$D$1,2,-9)</f>
        <v>-9</v>
      </c>
      <c r="R246" s="82">
        <f>IF(Consultas!N246="RJ",-12,0)</f>
        <v>0</v>
      </c>
      <c r="S246" s="82">
        <f>IF(Consultas!O246="-",-3,IF(Consultas!O246=0,-6,IF(Consultas!O246=5,0,IF(Consultas!O246=10,6))))</f>
        <v>-6</v>
      </c>
      <c r="T246" s="82">
        <f>IF(Consultas!M246="S",0,(IF(Consultas!P246="S",6,0)))</f>
        <v>0</v>
      </c>
      <c r="U246" s="82">
        <f>IF(Consultas!Q246&gt;97,9,IF(Consultas!Q246&gt;75,0,-7))</f>
        <v>-7</v>
      </c>
      <c r="V246" s="82">
        <f>IF(Consultas!W246='Parâmetros'!$E$1,1,-5)</f>
        <v>-5</v>
      </c>
      <c r="W246" s="82">
        <f>IF(Consultas!X246="S",3,-3)</f>
        <v>-3</v>
      </c>
      <c r="X246" s="82">
        <f>IF(Consultas!Y246="S",0,-7)</f>
        <v>-7</v>
      </c>
      <c r="Y246" s="82">
        <f>IF(Consultas!Z246='Parâmetros'!$E$1,2,-8)</f>
        <v>-8</v>
      </c>
      <c r="Z246" s="82">
        <f>IF(Consultas!AA246='Parâmetros'!$E$1,-15,1)</f>
        <v>1</v>
      </c>
      <c r="AA246" s="147" t="s">
        <v>140</v>
      </c>
      <c r="AB246" s="82" t="str">
        <f>IF(E246="NA","NA",IF(E246&gt;'Parâmetros'!$A$9,8,IF(E246&gt;'Parâmetros'!$A$8,4,IF(E246&gt;'Parâmetros'!$A$7,0,-6))))</f>
        <v>NA</v>
      </c>
      <c r="AC246" s="82">
        <f>IF(Consultas!AC246='Parâmetros'!$E$1,0,5)</f>
        <v>5</v>
      </c>
      <c r="AD246" s="82">
        <f>IF(Consultas!AH246='Parâmetros'!$D$1,-10,5)</f>
        <v>5</v>
      </c>
      <c r="AE246" s="82">
        <f>IF(Consultas!AI246&gt;(Consultas!F246*2),-10,0)</f>
        <v>0</v>
      </c>
      <c r="AF246" s="82" t="b">
        <f>IF(Consultas!AD246&gt;1,(IF(Consultas!AI246&gt;(Consultas!AD246),-20,4)))</f>
        <v>0</v>
      </c>
      <c r="AG246" s="82">
        <f>IF(Consultas!AG246='Parâmetros'!$E$1,0,-6)</f>
        <v>-6</v>
      </c>
      <c r="AH246" s="82">
        <f>IF(Consultas!AF246='Parâmetros'!$E$1,1,-5)</f>
        <v>-5</v>
      </c>
      <c r="AI246" s="82">
        <f>IF(Consultas!AJ246&gt;700,8,IF(Consultas!AJ246&gt;500,4,IF(Consultas!AJ246&gt;200,-4,IF(Consultas!AJ246&gt;1,-15,-20))))</f>
        <v>-20</v>
      </c>
      <c r="AJ246" s="82">
        <f>IF(Consultas!AD246='Parâmetros'!$E$10,0,IF(Consultas!AD246&gt;'Parâmetros'!$A$30,12,IF(Consultas!AD246&gt;'Parâmetros'!$A$31,6,IF(Consultas!AD246&gt;'Parâmetros'!$A$32,0,IF(Consultas!AD246&gt;'Parâmetros'!$A$33,0,IF(Consultas!AD246&gt;'Parâmetros'!$A$34,-3,IF(Consultas!AD246&gt;'Parâmetros'!$A$35,-7,-1)))))))</f>
        <v>-1</v>
      </c>
      <c r="AK246" s="82">
        <f>IF(Consultas!AO246='Parâmetros'!$D$1,3,-3)</f>
        <v>-3</v>
      </c>
      <c r="AL246" s="82">
        <f>IF(Consultas!AP246='Parâmetros'!$D$1,5,-3)</f>
        <v>-3</v>
      </c>
      <c r="AM246" s="82">
        <f>IF(Consultas!AL246="N",-6,0)</f>
        <v>0</v>
      </c>
      <c r="AN246" s="82">
        <f>IF(Consultas!AM246="N",-10,0)</f>
        <v>0</v>
      </c>
      <c r="AO246" s="82">
        <f>IF(Consultas!AN246="S",4,-2)</f>
        <v>-2</v>
      </c>
      <c r="AP246" s="39"/>
      <c r="AQ246" s="165" t="str">
        <f>IF(Consultas!F246&gt;1,(SUM(F246:AO246)),"N/A")</f>
        <v>N/A</v>
      </c>
      <c r="AR246" s="78">
        <f>IF((Consultas!AD246&gt;'Parâmetros'!$A$31),"X",AJ246+Y246+V246+AC246)</f>
        <v>-9</v>
      </c>
      <c r="AS246" s="78">
        <f>IF((Consultas!AD246&gt;'Parâmetros'!$A$31),"X",(H246+I246+J246+Q246+T246+Y246+Z246+AJ246+AN246))</f>
        <v>-23</v>
      </c>
      <c r="AT246" s="78" t="str">
        <f>IF((Consultas!AD246&lt;'Parâmetros'!$A$31),"X",(AD246+AC246+AB246))</f>
        <v>X</v>
      </c>
      <c r="AU246" s="78">
        <f t="shared" si="1"/>
        <v>-23</v>
      </c>
      <c r="AV246" s="82" t="str">
        <f>IF(AQ246="N/A","N/A",IF(AQ246&gt;5,'Parâmetros'!$A$15,(IF(AU246=AR246,'Parâmetros'!$A$17,IF(AU246=AS246,'Parâmetros'!$A$16,'Parâmetros'!$A$14)))))</f>
        <v>N/A</v>
      </c>
      <c r="AW246" s="86" t="str">
        <f>IF(AQ246="N/A","N/A",IF(AV246='Parâmetros'!$A$15,'Parâmetros'!$C$15,(IF(AV246='Parâmetros'!$A$17,'Parâmetros'!$C$17,IF(AV246='Parâmetros'!$A$16,'Parâmetros'!$C$16,IF(AV246='Parâmetros'!$A$14,'Parâmetros'!$C$12))))))</f>
        <v>N/A</v>
      </c>
      <c r="AX246" s="82" t="b">
        <f>IF(Consultas!F246&gt;1,(IF(Consultas!F246&gt;5000,"SOLICITAR PED COMPRA","N/A")))</f>
        <v>0</v>
      </c>
      <c r="AY246" s="167" t="str">
        <f>IF(AND(Consultas!M246&lt;&gt;"S", Consultas!H246="S"), "CHECAGEM REVERSA", "N/A")</f>
        <v>N/A</v>
      </c>
      <c r="AZ246" s="167" t="str">
        <f>IF(Consultas!U246="N","PRECISA CORRIGIR END DIVERGENTE","N/A")</f>
        <v>N/A</v>
      </c>
    </row>
    <row r="247" ht="12.0" customHeight="1">
      <c r="A247" s="39" t="s">
        <v>90</v>
      </c>
      <c r="B247" s="82" t="str">
        <f>Consultas!B247</f>
        <v/>
      </c>
      <c r="C247" s="82" t="str">
        <f>Consultas!D247</f>
        <v/>
      </c>
      <c r="D247" s="96" t="str">
        <f>Consultas!E247</f>
        <v/>
      </c>
      <c r="E247" s="104" t="str">
        <f>IF(Consultas!AB247&gt;0,YEAR('Parâmetros'!$B$1)-YEAR(Consultas!AB247),"NA")</f>
        <v>NA</v>
      </c>
      <c r="F247" s="82">
        <f>IF(Consultas!F247&gt;'Parâmetros'!$B$2,-8,0)</f>
        <v>0</v>
      </c>
      <c r="G247" s="82">
        <f>IF(Consultas!H247='Parâmetros'!$E$1,100,0)</f>
        <v>0</v>
      </c>
      <c r="H247" s="82">
        <f>IF(Consultas!I247='Parâmetros'!$E$1,-4,12)</f>
        <v>12</v>
      </c>
      <c r="I247" s="82">
        <f>IF(Consultas!J247='Parâmetros'!$E$1,1,-13)</f>
        <v>-13</v>
      </c>
      <c r="J247" s="82">
        <f>IF(Consultas!K247='Parâmetros'!$E$1,2,-5)</f>
        <v>-5</v>
      </c>
      <c r="K247" s="82" t="str">
        <f>IF(Consultas!L247='Parâmetros'!$D$1,"SOLIC CONTRATO DE ENTREGA","N/A")</f>
        <v>N/A</v>
      </c>
      <c r="L247" s="82">
        <f>IF(Consultas!R247='Parâmetros'!$E$1,1,-3)</f>
        <v>-3</v>
      </c>
      <c r="M247" s="82" t="b">
        <f>IF(Consultas!S247&gt;1,(IF(Consultas!S247='Parâmetros'!$E$1,-3,9)))</f>
        <v>0</v>
      </c>
      <c r="N247" s="82">
        <f>IF(Consultas!T247="S",23,0)</f>
        <v>0</v>
      </c>
      <c r="O247" s="82">
        <f>IF(Consultas!U247='Parâmetros'!$E$1,-3,3)</f>
        <v>3</v>
      </c>
      <c r="P247" s="82">
        <f>IF(Consultas!V247='Parâmetros'!$E$1,-100,2)</f>
        <v>2</v>
      </c>
      <c r="Q247" s="82">
        <f>IF(Consultas!M247='Parâmetros'!$D$1,2,-9)</f>
        <v>-9</v>
      </c>
      <c r="R247" s="82">
        <f>IF(Consultas!N247="RJ",-12,0)</f>
        <v>0</v>
      </c>
      <c r="S247" s="82">
        <f>IF(Consultas!O247="-",-3,IF(Consultas!O247=0,-6,IF(Consultas!O247=5,0,IF(Consultas!O247=10,6))))</f>
        <v>-6</v>
      </c>
      <c r="T247" s="82">
        <f>IF(Consultas!M247="S",0,(IF(Consultas!P247="S",6,0)))</f>
        <v>0</v>
      </c>
      <c r="U247" s="82">
        <f>IF(Consultas!Q247&gt;97,9,IF(Consultas!Q247&gt;75,0,-7))</f>
        <v>-7</v>
      </c>
      <c r="V247" s="82">
        <f>IF(Consultas!W247='Parâmetros'!$E$1,1,-5)</f>
        <v>-5</v>
      </c>
      <c r="W247" s="82">
        <f>IF(Consultas!X247="S",3,-3)</f>
        <v>-3</v>
      </c>
      <c r="X247" s="82">
        <f>IF(Consultas!Y247="S",0,-7)</f>
        <v>-7</v>
      </c>
      <c r="Y247" s="82">
        <f>IF(Consultas!Z247='Parâmetros'!$E$1,2,-8)</f>
        <v>-8</v>
      </c>
      <c r="Z247" s="82">
        <f>IF(Consultas!AA247='Parâmetros'!$E$1,-15,1)</f>
        <v>1</v>
      </c>
      <c r="AA247" s="147" t="s">
        <v>140</v>
      </c>
      <c r="AB247" s="82" t="str">
        <f>IF(E247="NA","NA",IF(E247&gt;'Parâmetros'!$A$9,8,IF(E247&gt;'Parâmetros'!$A$8,4,IF(E247&gt;'Parâmetros'!$A$7,0,-6))))</f>
        <v>NA</v>
      </c>
      <c r="AC247" s="82">
        <f>IF(Consultas!AC247='Parâmetros'!$E$1,0,5)</f>
        <v>5</v>
      </c>
      <c r="AD247" s="82">
        <f>IF(Consultas!AH247='Parâmetros'!$D$1,-10,5)</f>
        <v>5</v>
      </c>
      <c r="AE247" s="82">
        <f>IF(Consultas!AI247&gt;(Consultas!F247*2),-10,0)</f>
        <v>0</v>
      </c>
      <c r="AF247" s="82" t="b">
        <f>IF(Consultas!AD247&gt;1,(IF(Consultas!AI247&gt;(Consultas!AD247),-20,4)))</f>
        <v>0</v>
      </c>
      <c r="AG247" s="82">
        <f>IF(Consultas!AG247='Parâmetros'!$E$1,0,-6)</f>
        <v>-6</v>
      </c>
      <c r="AH247" s="82">
        <f>IF(Consultas!AF247='Parâmetros'!$E$1,1,-5)</f>
        <v>-5</v>
      </c>
      <c r="AI247" s="82">
        <f>IF(Consultas!AJ247&gt;700,8,IF(Consultas!AJ247&gt;500,4,IF(Consultas!AJ247&gt;200,-4,IF(Consultas!AJ247&gt;1,-15,-20))))</f>
        <v>-20</v>
      </c>
      <c r="AJ247" s="82">
        <f>IF(Consultas!AD247='Parâmetros'!$E$10,0,IF(Consultas!AD247&gt;'Parâmetros'!$A$30,12,IF(Consultas!AD247&gt;'Parâmetros'!$A$31,6,IF(Consultas!AD247&gt;'Parâmetros'!$A$32,0,IF(Consultas!AD247&gt;'Parâmetros'!$A$33,0,IF(Consultas!AD247&gt;'Parâmetros'!$A$34,-3,IF(Consultas!AD247&gt;'Parâmetros'!$A$35,-7,-1)))))))</f>
        <v>-1</v>
      </c>
      <c r="AK247" s="82">
        <f>IF(Consultas!AO247='Parâmetros'!$D$1,3,-3)</f>
        <v>-3</v>
      </c>
      <c r="AL247" s="82">
        <f>IF(Consultas!AP247='Parâmetros'!$D$1,5,-3)</f>
        <v>-3</v>
      </c>
      <c r="AM247" s="82">
        <f>IF(Consultas!AL247="N",-6,0)</f>
        <v>0</v>
      </c>
      <c r="AN247" s="82">
        <f>IF(Consultas!AM247="N",-10,0)</f>
        <v>0</v>
      </c>
      <c r="AO247" s="82">
        <f>IF(Consultas!AN247="S",4,-2)</f>
        <v>-2</v>
      </c>
      <c r="AP247" s="39"/>
      <c r="AQ247" s="165" t="str">
        <f>IF(Consultas!F247&gt;1,(SUM(F247:AO247)),"N/A")</f>
        <v>N/A</v>
      </c>
      <c r="AR247" s="78">
        <f>IF((Consultas!AD247&gt;'Parâmetros'!$A$31),"X",AJ247+Y247+V247+AC247)</f>
        <v>-9</v>
      </c>
      <c r="AS247" s="78">
        <f>IF((Consultas!AD247&gt;'Parâmetros'!$A$31),"X",(H247+I247+J247+Q247+T247+Y247+Z247+AJ247+AN247))</f>
        <v>-23</v>
      </c>
      <c r="AT247" s="78" t="str">
        <f>IF((Consultas!AD247&lt;'Parâmetros'!$A$31),"X",(AD247+AC247+AB247))</f>
        <v>X</v>
      </c>
      <c r="AU247" s="78">
        <f t="shared" si="1"/>
        <v>-23</v>
      </c>
      <c r="AV247" s="82" t="str">
        <f>IF(AQ247="N/A","N/A",IF(AQ247&gt;5,'Parâmetros'!$A$15,(IF(AU247=AR247,'Parâmetros'!$A$17,IF(AU247=AS247,'Parâmetros'!$A$16,'Parâmetros'!$A$14)))))</f>
        <v>N/A</v>
      </c>
      <c r="AW247" s="86" t="str">
        <f>IF(AQ247="N/A","N/A",IF(AV247='Parâmetros'!$A$15,'Parâmetros'!$C$15,(IF(AV247='Parâmetros'!$A$17,'Parâmetros'!$C$17,IF(AV247='Parâmetros'!$A$16,'Parâmetros'!$C$16,IF(AV247='Parâmetros'!$A$14,'Parâmetros'!$C$12))))))</f>
        <v>N/A</v>
      </c>
      <c r="AX247" s="82" t="b">
        <f>IF(Consultas!F247&gt;1,(IF(Consultas!F247&gt;5000,"SOLICITAR PED COMPRA","N/A")))</f>
        <v>0</v>
      </c>
      <c r="AY247" s="167" t="str">
        <f>IF(AND(Consultas!M247&lt;&gt;"S", Consultas!H247="S"), "CHECAGEM REVERSA", "N/A")</f>
        <v>N/A</v>
      </c>
      <c r="AZ247" s="167" t="str">
        <f>IF(Consultas!U247="N","PRECISA CORRIGIR END DIVERGENTE","N/A")</f>
        <v>N/A</v>
      </c>
    </row>
    <row r="248" ht="12.0" customHeight="1">
      <c r="A248" s="39" t="s">
        <v>90</v>
      </c>
      <c r="B248" s="82" t="str">
        <f>Consultas!B248</f>
        <v/>
      </c>
      <c r="C248" s="82" t="str">
        <f>Consultas!D248</f>
        <v/>
      </c>
      <c r="D248" s="96" t="str">
        <f>Consultas!E248</f>
        <v/>
      </c>
      <c r="E248" s="104" t="str">
        <f>IF(Consultas!AB248&gt;0,YEAR('Parâmetros'!$B$1)-YEAR(Consultas!AB248),"NA")</f>
        <v>NA</v>
      </c>
      <c r="F248" s="82">
        <f>IF(Consultas!F248&gt;'Parâmetros'!$B$2,-8,0)</f>
        <v>0</v>
      </c>
      <c r="G248" s="82">
        <f>IF(Consultas!H248='Parâmetros'!$E$1,100,0)</f>
        <v>0</v>
      </c>
      <c r="H248" s="82">
        <f>IF(Consultas!I248='Parâmetros'!$E$1,-4,12)</f>
        <v>12</v>
      </c>
      <c r="I248" s="82">
        <f>IF(Consultas!J248='Parâmetros'!$E$1,1,-13)</f>
        <v>-13</v>
      </c>
      <c r="J248" s="82">
        <f>IF(Consultas!K248='Parâmetros'!$E$1,2,-5)</f>
        <v>-5</v>
      </c>
      <c r="K248" s="82" t="str">
        <f>IF(Consultas!L248='Parâmetros'!$D$1,"SOLIC CONTRATO DE ENTREGA","N/A")</f>
        <v>N/A</v>
      </c>
      <c r="L248" s="82">
        <f>IF(Consultas!R248='Parâmetros'!$E$1,1,-3)</f>
        <v>-3</v>
      </c>
      <c r="M248" s="82" t="b">
        <f>IF(Consultas!S248&gt;1,(IF(Consultas!S248='Parâmetros'!$E$1,-3,9)))</f>
        <v>0</v>
      </c>
      <c r="N248" s="82">
        <f>IF(Consultas!T248="S",23,0)</f>
        <v>0</v>
      </c>
      <c r="O248" s="82">
        <f>IF(Consultas!U248='Parâmetros'!$E$1,-3,3)</f>
        <v>3</v>
      </c>
      <c r="P248" s="82">
        <f>IF(Consultas!V248='Parâmetros'!$E$1,-100,2)</f>
        <v>2</v>
      </c>
      <c r="Q248" s="82">
        <f>IF(Consultas!M248='Parâmetros'!$D$1,2,-9)</f>
        <v>-9</v>
      </c>
      <c r="R248" s="82">
        <f>IF(Consultas!N248="RJ",-12,0)</f>
        <v>0</v>
      </c>
      <c r="S248" s="82">
        <f>IF(Consultas!O248="-",-3,IF(Consultas!O248=0,-6,IF(Consultas!O248=5,0,IF(Consultas!O248=10,6))))</f>
        <v>-6</v>
      </c>
      <c r="T248" s="82">
        <f>IF(Consultas!M248="S",0,(IF(Consultas!P248="S",6,0)))</f>
        <v>0</v>
      </c>
      <c r="U248" s="82">
        <f>IF(Consultas!Q248&gt;97,9,IF(Consultas!Q248&gt;75,0,-7))</f>
        <v>-7</v>
      </c>
      <c r="V248" s="82">
        <f>IF(Consultas!W248='Parâmetros'!$E$1,1,-5)</f>
        <v>-5</v>
      </c>
      <c r="W248" s="82">
        <f>IF(Consultas!X248="S",3,-3)</f>
        <v>-3</v>
      </c>
      <c r="X248" s="82">
        <f>IF(Consultas!Y248="S",0,-7)</f>
        <v>-7</v>
      </c>
      <c r="Y248" s="82">
        <f>IF(Consultas!Z248='Parâmetros'!$E$1,2,-8)</f>
        <v>-8</v>
      </c>
      <c r="Z248" s="82">
        <f>IF(Consultas!AA248='Parâmetros'!$E$1,-15,1)</f>
        <v>1</v>
      </c>
      <c r="AA248" s="147" t="s">
        <v>140</v>
      </c>
      <c r="AB248" s="82" t="str">
        <f>IF(E248="NA","NA",IF(E248&gt;'Parâmetros'!$A$9,8,IF(E248&gt;'Parâmetros'!$A$8,4,IF(E248&gt;'Parâmetros'!$A$7,0,-6))))</f>
        <v>NA</v>
      </c>
      <c r="AC248" s="82">
        <f>IF(Consultas!AC248='Parâmetros'!$E$1,0,5)</f>
        <v>5</v>
      </c>
      <c r="AD248" s="82">
        <f>IF(Consultas!AH248='Parâmetros'!$D$1,-10,5)</f>
        <v>5</v>
      </c>
      <c r="AE248" s="82">
        <f>IF(Consultas!AI248&gt;(Consultas!F248*2),-10,0)</f>
        <v>0</v>
      </c>
      <c r="AF248" s="82" t="b">
        <f>IF(Consultas!AD248&gt;1,(IF(Consultas!AI248&gt;(Consultas!AD248),-20,4)))</f>
        <v>0</v>
      </c>
      <c r="AG248" s="82">
        <f>IF(Consultas!AG248='Parâmetros'!$E$1,0,-6)</f>
        <v>-6</v>
      </c>
      <c r="AH248" s="82">
        <f>IF(Consultas!AF248='Parâmetros'!$E$1,1,-5)</f>
        <v>-5</v>
      </c>
      <c r="AI248" s="82">
        <f>IF(Consultas!AJ248&gt;700,8,IF(Consultas!AJ248&gt;500,4,IF(Consultas!AJ248&gt;200,-4,IF(Consultas!AJ248&gt;1,-15,-20))))</f>
        <v>-20</v>
      </c>
      <c r="AJ248" s="82">
        <f>IF(Consultas!AD248='Parâmetros'!$E$10,0,IF(Consultas!AD248&gt;'Parâmetros'!$A$30,12,IF(Consultas!AD248&gt;'Parâmetros'!$A$31,6,IF(Consultas!AD248&gt;'Parâmetros'!$A$32,0,IF(Consultas!AD248&gt;'Parâmetros'!$A$33,0,IF(Consultas!AD248&gt;'Parâmetros'!$A$34,-3,IF(Consultas!AD248&gt;'Parâmetros'!$A$35,-7,-1)))))))</f>
        <v>-1</v>
      </c>
      <c r="AK248" s="82">
        <f>IF(Consultas!AO248='Parâmetros'!$D$1,3,-3)</f>
        <v>-3</v>
      </c>
      <c r="AL248" s="82">
        <f>IF(Consultas!AP248='Parâmetros'!$D$1,5,-3)</f>
        <v>-3</v>
      </c>
      <c r="AM248" s="82">
        <f>IF(Consultas!AL248="N",-6,0)</f>
        <v>0</v>
      </c>
      <c r="AN248" s="82">
        <f>IF(Consultas!AM248="N",-10,0)</f>
        <v>0</v>
      </c>
      <c r="AO248" s="82">
        <f>IF(Consultas!AN248="S",4,-2)</f>
        <v>-2</v>
      </c>
      <c r="AP248" s="39"/>
      <c r="AQ248" s="165" t="str">
        <f>IF(Consultas!F248&gt;1,(SUM(F248:AO248)),"N/A")</f>
        <v>N/A</v>
      </c>
      <c r="AR248" s="78">
        <f>IF((Consultas!AD248&gt;'Parâmetros'!$A$31),"X",AJ248+Y248+V248+AC248)</f>
        <v>-9</v>
      </c>
      <c r="AS248" s="78">
        <f>IF((Consultas!AD248&gt;'Parâmetros'!$A$31),"X",(H248+I248+J248+Q248+T248+Y248+Z248+AJ248+AN248))</f>
        <v>-23</v>
      </c>
      <c r="AT248" s="78" t="str">
        <f>IF((Consultas!AD248&lt;'Parâmetros'!$A$31),"X",(AD248+AC248+AB248))</f>
        <v>X</v>
      </c>
      <c r="AU248" s="78">
        <f t="shared" si="1"/>
        <v>-23</v>
      </c>
      <c r="AV248" s="82" t="str">
        <f>IF(AQ248="N/A","N/A",IF(AQ248&gt;5,'Parâmetros'!$A$15,(IF(AU248=AR248,'Parâmetros'!$A$17,IF(AU248=AS248,'Parâmetros'!$A$16,'Parâmetros'!$A$14)))))</f>
        <v>N/A</v>
      </c>
      <c r="AW248" s="86" t="str">
        <f>IF(AQ248="N/A","N/A",IF(AV248='Parâmetros'!$A$15,'Parâmetros'!$C$15,(IF(AV248='Parâmetros'!$A$17,'Parâmetros'!$C$17,IF(AV248='Parâmetros'!$A$16,'Parâmetros'!$C$16,IF(AV248='Parâmetros'!$A$14,'Parâmetros'!$C$12))))))</f>
        <v>N/A</v>
      </c>
      <c r="AX248" s="82" t="b">
        <f>IF(Consultas!F248&gt;1,(IF(Consultas!F248&gt;5000,"SOLICITAR PED COMPRA","N/A")))</f>
        <v>0</v>
      </c>
      <c r="AY248" s="167" t="str">
        <f>IF(AND(Consultas!M248&lt;&gt;"S", Consultas!H248="S"), "CHECAGEM REVERSA", "N/A")</f>
        <v>N/A</v>
      </c>
      <c r="AZ248" s="167" t="str">
        <f>IF(Consultas!U248="N","PRECISA CORRIGIR END DIVERGENTE","N/A")</f>
        <v>N/A</v>
      </c>
    </row>
    <row r="249" ht="12.0" customHeight="1">
      <c r="A249" s="39" t="s">
        <v>90</v>
      </c>
      <c r="B249" s="82" t="str">
        <f>Consultas!B249</f>
        <v/>
      </c>
      <c r="C249" s="82" t="str">
        <f>Consultas!D249</f>
        <v/>
      </c>
      <c r="D249" s="96" t="str">
        <f>Consultas!E249</f>
        <v/>
      </c>
      <c r="E249" s="104" t="str">
        <f>IF(Consultas!AB249&gt;0,YEAR('Parâmetros'!$B$1)-YEAR(Consultas!AB249),"NA")</f>
        <v>NA</v>
      </c>
      <c r="F249" s="82">
        <f>IF(Consultas!F249&gt;'Parâmetros'!$B$2,-8,0)</f>
        <v>0</v>
      </c>
      <c r="G249" s="82">
        <f>IF(Consultas!H249='Parâmetros'!$E$1,100,0)</f>
        <v>0</v>
      </c>
      <c r="H249" s="82">
        <f>IF(Consultas!I249='Parâmetros'!$E$1,-4,12)</f>
        <v>12</v>
      </c>
      <c r="I249" s="82">
        <f>IF(Consultas!J249='Parâmetros'!$E$1,1,-13)</f>
        <v>-13</v>
      </c>
      <c r="J249" s="82">
        <f>IF(Consultas!K249='Parâmetros'!$E$1,2,-5)</f>
        <v>-5</v>
      </c>
      <c r="K249" s="82" t="str">
        <f>IF(Consultas!L249='Parâmetros'!$D$1,"SOLIC CONTRATO DE ENTREGA","N/A")</f>
        <v>N/A</v>
      </c>
      <c r="L249" s="82">
        <f>IF(Consultas!R249='Parâmetros'!$E$1,1,-3)</f>
        <v>-3</v>
      </c>
      <c r="M249" s="82" t="b">
        <f>IF(Consultas!S249&gt;1,(IF(Consultas!S249='Parâmetros'!$E$1,-3,9)))</f>
        <v>0</v>
      </c>
      <c r="N249" s="82">
        <f>IF(Consultas!T249="S",23,0)</f>
        <v>0</v>
      </c>
      <c r="O249" s="82">
        <f>IF(Consultas!U249='Parâmetros'!$E$1,-3,3)</f>
        <v>3</v>
      </c>
      <c r="P249" s="82">
        <f>IF(Consultas!V249='Parâmetros'!$E$1,-100,2)</f>
        <v>2</v>
      </c>
      <c r="Q249" s="82">
        <f>IF(Consultas!M249='Parâmetros'!$D$1,2,-9)</f>
        <v>-9</v>
      </c>
      <c r="R249" s="82">
        <f>IF(Consultas!N249="RJ",-12,0)</f>
        <v>0</v>
      </c>
      <c r="S249" s="82">
        <f>IF(Consultas!O249="-",-3,IF(Consultas!O249=0,-6,IF(Consultas!O249=5,0,IF(Consultas!O249=10,6))))</f>
        <v>-6</v>
      </c>
      <c r="T249" s="82">
        <f>IF(Consultas!M249="S",0,(IF(Consultas!P249="S",6,0)))</f>
        <v>0</v>
      </c>
      <c r="U249" s="82">
        <f>IF(Consultas!Q249&gt;97,9,IF(Consultas!Q249&gt;75,0,-7))</f>
        <v>-7</v>
      </c>
      <c r="V249" s="82">
        <f>IF(Consultas!W249='Parâmetros'!$E$1,1,-5)</f>
        <v>-5</v>
      </c>
      <c r="W249" s="82">
        <f>IF(Consultas!X249="S",3,-3)</f>
        <v>-3</v>
      </c>
      <c r="X249" s="82">
        <f>IF(Consultas!Y249="S",0,-7)</f>
        <v>-7</v>
      </c>
      <c r="Y249" s="82">
        <f>IF(Consultas!Z249='Parâmetros'!$E$1,2,-8)</f>
        <v>-8</v>
      </c>
      <c r="Z249" s="82">
        <f>IF(Consultas!AA249='Parâmetros'!$E$1,-15,1)</f>
        <v>1</v>
      </c>
      <c r="AA249" s="147" t="s">
        <v>140</v>
      </c>
      <c r="AB249" s="82" t="str">
        <f>IF(E249="NA","NA",IF(E249&gt;'Parâmetros'!$A$9,8,IF(E249&gt;'Parâmetros'!$A$8,4,IF(E249&gt;'Parâmetros'!$A$7,0,-6))))</f>
        <v>NA</v>
      </c>
      <c r="AC249" s="82">
        <f>IF(Consultas!AC249='Parâmetros'!$E$1,0,5)</f>
        <v>5</v>
      </c>
      <c r="AD249" s="82">
        <f>IF(Consultas!AH249='Parâmetros'!$D$1,-10,5)</f>
        <v>5</v>
      </c>
      <c r="AE249" s="82">
        <f>IF(Consultas!AI249&gt;(Consultas!F249*2),-10,0)</f>
        <v>0</v>
      </c>
      <c r="AF249" s="82" t="b">
        <f>IF(Consultas!AD249&gt;1,(IF(Consultas!AI249&gt;(Consultas!AD249),-20,4)))</f>
        <v>0</v>
      </c>
      <c r="AG249" s="82">
        <f>IF(Consultas!AG249='Parâmetros'!$E$1,0,-6)</f>
        <v>-6</v>
      </c>
      <c r="AH249" s="82">
        <f>IF(Consultas!AF249='Parâmetros'!$E$1,1,-5)</f>
        <v>-5</v>
      </c>
      <c r="AI249" s="82">
        <f>IF(Consultas!AJ249&gt;700,8,IF(Consultas!AJ249&gt;500,4,IF(Consultas!AJ249&gt;200,-4,IF(Consultas!AJ249&gt;1,-15,-20))))</f>
        <v>-20</v>
      </c>
      <c r="AJ249" s="82">
        <f>IF(Consultas!AD249='Parâmetros'!$E$10,0,IF(Consultas!AD249&gt;'Parâmetros'!$A$30,12,IF(Consultas!AD249&gt;'Parâmetros'!$A$31,6,IF(Consultas!AD249&gt;'Parâmetros'!$A$32,0,IF(Consultas!AD249&gt;'Parâmetros'!$A$33,0,IF(Consultas!AD249&gt;'Parâmetros'!$A$34,-3,IF(Consultas!AD249&gt;'Parâmetros'!$A$35,-7,-1)))))))</f>
        <v>-1</v>
      </c>
      <c r="AK249" s="82">
        <f>IF(Consultas!AO249='Parâmetros'!$D$1,3,-3)</f>
        <v>-3</v>
      </c>
      <c r="AL249" s="82">
        <f>IF(Consultas!AP249='Parâmetros'!$D$1,5,-3)</f>
        <v>-3</v>
      </c>
      <c r="AM249" s="82">
        <f>IF(Consultas!AL249="N",-6,0)</f>
        <v>0</v>
      </c>
      <c r="AN249" s="82">
        <f>IF(Consultas!AM249="N",-10,0)</f>
        <v>0</v>
      </c>
      <c r="AO249" s="82">
        <f>IF(Consultas!AN249="S",4,-2)</f>
        <v>-2</v>
      </c>
      <c r="AP249" s="39"/>
      <c r="AQ249" s="165" t="str">
        <f>IF(Consultas!F249&gt;1,(SUM(F249:AO249)),"N/A")</f>
        <v>N/A</v>
      </c>
      <c r="AR249" s="78">
        <f>IF((Consultas!AD249&gt;'Parâmetros'!$A$31),"X",AJ249+Y249+V249+AC249)</f>
        <v>-9</v>
      </c>
      <c r="AS249" s="78">
        <f>IF((Consultas!AD249&gt;'Parâmetros'!$A$31),"X",(H249+I249+J249+Q249+T249+Y249+Z249+AJ249+AN249))</f>
        <v>-23</v>
      </c>
      <c r="AT249" s="78" t="str">
        <f>IF((Consultas!AD249&lt;'Parâmetros'!$A$31),"X",(AD249+AC249+AB249))</f>
        <v>X</v>
      </c>
      <c r="AU249" s="78">
        <f t="shared" si="1"/>
        <v>-23</v>
      </c>
      <c r="AV249" s="82" t="str">
        <f>IF(AQ249="N/A","N/A",IF(AQ249&gt;5,'Parâmetros'!$A$15,(IF(AU249=AR249,'Parâmetros'!$A$17,IF(AU249=AS249,'Parâmetros'!$A$16,'Parâmetros'!$A$14)))))</f>
        <v>N/A</v>
      </c>
      <c r="AW249" s="86" t="str">
        <f>IF(AQ249="N/A","N/A",IF(AV249='Parâmetros'!$A$15,'Parâmetros'!$C$15,(IF(AV249='Parâmetros'!$A$17,'Parâmetros'!$C$17,IF(AV249='Parâmetros'!$A$16,'Parâmetros'!$C$16,IF(AV249='Parâmetros'!$A$14,'Parâmetros'!$C$12))))))</f>
        <v>N/A</v>
      </c>
      <c r="AX249" s="82" t="b">
        <f>IF(Consultas!F249&gt;1,(IF(Consultas!F249&gt;5000,"SOLICITAR PED COMPRA","N/A")))</f>
        <v>0</v>
      </c>
      <c r="AY249" s="167" t="str">
        <f>IF(AND(Consultas!M249&lt;&gt;"S", Consultas!H249="S"), "CHECAGEM REVERSA", "N/A")</f>
        <v>N/A</v>
      </c>
      <c r="AZ249" s="167" t="str">
        <f>IF(Consultas!U249="N","PRECISA CORRIGIR END DIVERGENTE","N/A")</f>
        <v>N/A</v>
      </c>
    </row>
    <row r="250" ht="12.0" customHeight="1">
      <c r="A250" s="39" t="s">
        <v>90</v>
      </c>
      <c r="B250" s="82" t="str">
        <f>Consultas!B250</f>
        <v/>
      </c>
      <c r="C250" s="82" t="str">
        <f>Consultas!D250</f>
        <v/>
      </c>
      <c r="D250" s="96" t="str">
        <f>Consultas!E250</f>
        <v/>
      </c>
      <c r="E250" s="104" t="str">
        <f>IF(Consultas!AB250&gt;0,YEAR('Parâmetros'!$B$1)-YEAR(Consultas!AB250),"NA")</f>
        <v>NA</v>
      </c>
      <c r="F250" s="82">
        <f>IF(Consultas!F250&gt;'Parâmetros'!$B$2,-8,0)</f>
        <v>0</v>
      </c>
      <c r="G250" s="82">
        <f>IF(Consultas!H250='Parâmetros'!$E$1,100,0)</f>
        <v>0</v>
      </c>
      <c r="H250" s="82">
        <f>IF(Consultas!I250='Parâmetros'!$E$1,-4,12)</f>
        <v>12</v>
      </c>
      <c r="I250" s="82">
        <f>IF(Consultas!J250='Parâmetros'!$E$1,1,-13)</f>
        <v>-13</v>
      </c>
      <c r="J250" s="82">
        <f>IF(Consultas!K250='Parâmetros'!$E$1,2,-5)</f>
        <v>-5</v>
      </c>
      <c r="K250" s="82" t="str">
        <f>IF(Consultas!L250='Parâmetros'!$D$1,"SOLIC CONTRATO DE ENTREGA","N/A")</f>
        <v>N/A</v>
      </c>
      <c r="L250" s="82">
        <f>IF(Consultas!R250='Parâmetros'!$E$1,1,-3)</f>
        <v>-3</v>
      </c>
      <c r="M250" s="82" t="b">
        <f>IF(Consultas!S250&gt;1,(IF(Consultas!S250='Parâmetros'!$E$1,-3,9)))</f>
        <v>0</v>
      </c>
      <c r="N250" s="82">
        <f>IF(Consultas!T250="S",23,0)</f>
        <v>0</v>
      </c>
      <c r="O250" s="82">
        <f>IF(Consultas!U250='Parâmetros'!$E$1,-3,3)</f>
        <v>3</v>
      </c>
      <c r="P250" s="82">
        <f>IF(Consultas!V250='Parâmetros'!$E$1,-100,2)</f>
        <v>2</v>
      </c>
      <c r="Q250" s="82">
        <f>IF(Consultas!M250='Parâmetros'!$D$1,2,-9)</f>
        <v>-9</v>
      </c>
      <c r="R250" s="82">
        <f>IF(Consultas!N250="RJ",-12,0)</f>
        <v>0</v>
      </c>
      <c r="S250" s="82">
        <f>IF(Consultas!O250="-",-3,IF(Consultas!O250=0,-6,IF(Consultas!O250=5,0,IF(Consultas!O250=10,6))))</f>
        <v>-6</v>
      </c>
      <c r="T250" s="82">
        <f>IF(Consultas!M250="S",0,(IF(Consultas!P250="S",6,0)))</f>
        <v>0</v>
      </c>
      <c r="U250" s="82">
        <f>IF(Consultas!Q250&gt;97,9,IF(Consultas!Q250&gt;75,0,-7))</f>
        <v>-7</v>
      </c>
      <c r="V250" s="82">
        <f>IF(Consultas!W250='Parâmetros'!$E$1,1,-5)</f>
        <v>-5</v>
      </c>
      <c r="W250" s="82">
        <f>IF(Consultas!X250="S",3,-3)</f>
        <v>-3</v>
      </c>
      <c r="X250" s="82">
        <f>IF(Consultas!Y250="S",0,-7)</f>
        <v>-7</v>
      </c>
      <c r="Y250" s="82">
        <f>IF(Consultas!Z250='Parâmetros'!$E$1,2,-8)</f>
        <v>-8</v>
      </c>
      <c r="Z250" s="82">
        <f>IF(Consultas!AA250='Parâmetros'!$E$1,-15,1)</f>
        <v>1</v>
      </c>
      <c r="AA250" s="147" t="s">
        <v>140</v>
      </c>
      <c r="AB250" s="82" t="str">
        <f>IF(E250="NA","NA",IF(E250&gt;'Parâmetros'!$A$9,8,IF(E250&gt;'Parâmetros'!$A$8,4,IF(E250&gt;'Parâmetros'!$A$7,0,-6))))</f>
        <v>NA</v>
      </c>
      <c r="AC250" s="82">
        <f>IF(Consultas!AC250='Parâmetros'!$E$1,0,5)</f>
        <v>5</v>
      </c>
      <c r="AD250" s="82">
        <f>IF(Consultas!AH250='Parâmetros'!$D$1,-10,5)</f>
        <v>5</v>
      </c>
      <c r="AE250" s="82">
        <f>IF(Consultas!AI250&gt;(Consultas!F250*2),-10,0)</f>
        <v>0</v>
      </c>
      <c r="AF250" s="82" t="b">
        <f>IF(Consultas!AD250&gt;1,(IF(Consultas!AI250&gt;(Consultas!AD250),-20,4)))</f>
        <v>0</v>
      </c>
      <c r="AG250" s="82">
        <f>IF(Consultas!AG250='Parâmetros'!$E$1,0,-6)</f>
        <v>-6</v>
      </c>
      <c r="AH250" s="82">
        <f>IF(Consultas!AF250='Parâmetros'!$E$1,1,-5)</f>
        <v>-5</v>
      </c>
      <c r="AI250" s="82">
        <f>IF(Consultas!AJ250&gt;700,8,IF(Consultas!AJ250&gt;500,4,IF(Consultas!AJ250&gt;200,-4,IF(Consultas!AJ250&gt;1,-15,-20))))</f>
        <v>-20</v>
      </c>
      <c r="AJ250" s="82">
        <f>IF(Consultas!AD250='Parâmetros'!$E$10,0,IF(Consultas!AD250&gt;'Parâmetros'!$A$30,12,IF(Consultas!AD250&gt;'Parâmetros'!$A$31,6,IF(Consultas!AD250&gt;'Parâmetros'!$A$32,0,IF(Consultas!AD250&gt;'Parâmetros'!$A$33,0,IF(Consultas!AD250&gt;'Parâmetros'!$A$34,-3,IF(Consultas!AD250&gt;'Parâmetros'!$A$35,-7,-1)))))))</f>
        <v>-1</v>
      </c>
      <c r="AK250" s="82">
        <f>IF(Consultas!AO250='Parâmetros'!$D$1,3,-3)</f>
        <v>-3</v>
      </c>
      <c r="AL250" s="82">
        <f>IF(Consultas!AP250='Parâmetros'!$D$1,5,-3)</f>
        <v>-3</v>
      </c>
      <c r="AM250" s="82">
        <f>IF(Consultas!AL250="N",-6,0)</f>
        <v>0</v>
      </c>
      <c r="AN250" s="82">
        <f>IF(Consultas!AM250="N",-10,0)</f>
        <v>0</v>
      </c>
      <c r="AO250" s="82">
        <f>IF(Consultas!AN250="S",4,-2)</f>
        <v>-2</v>
      </c>
      <c r="AP250" s="39"/>
      <c r="AQ250" s="165" t="str">
        <f>IF(Consultas!F250&gt;1,(SUM(F250:AO250)),"N/A")</f>
        <v>N/A</v>
      </c>
      <c r="AR250" s="78">
        <f>IF((Consultas!AD250&gt;'Parâmetros'!$A$31),"X",AJ250+Y250+V250+AC250)</f>
        <v>-9</v>
      </c>
      <c r="AS250" s="78">
        <f>IF((Consultas!AD250&gt;'Parâmetros'!$A$31),"X",(H250+I250+J250+Q250+T250+Y250+Z250+AJ250+AN250))</f>
        <v>-23</v>
      </c>
      <c r="AT250" s="78" t="str">
        <f>IF((Consultas!AD250&lt;'Parâmetros'!$A$31),"X",(AD250+AC250+AB250))</f>
        <v>X</v>
      </c>
      <c r="AU250" s="78">
        <f t="shared" si="1"/>
        <v>-23</v>
      </c>
      <c r="AV250" s="82" t="str">
        <f>IF(AQ250="N/A","N/A",IF(AQ250&gt;5,'Parâmetros'!$A$15,(IF(AU250=AR250,'Parâmetros'!$A$17,IF(AU250=AS250,'Parâmetros'!$A$16,'Parâmetros'!$A$14)))))</f>
        <v>N/A</v>
      </c>
      <c r="AW250" s="86" t="str">
        <f>IF(AQ250="N/A","N/A",IF(AV250='Parâmetros'!$A$15,'Parâmetros'!$C$15,(IF(AV250='Parâmetros'!$A$17,'Parâmetros'!$C$17,IF(AV250='Parâmetros'!$A$16,'Parâmetros'!$C$16,IF(AV250='Parâmetros'!$A$14,'Parâmetros'!$C$12))))))</f>
        <v>N/A</v>
      </c>
      <c r="AX250" s="82" t="b">
        <f>IF(Consultas!F250&gt;1,(IF(Consultas!F250&gt;5000,"SOLICITAR PED COMPRA","N/A")))</f>
        <v>0</v>
      </c>
      <c r="AY250" s="167" t="str">
        <f>IF(AND(Consultas!M250&lt;&gt;"S", Consultas!H250="S"), "CHECAGEM REVERSA", "N/A")</f>
        <v>N/A</v>
      </c>
      <c r="AZ250" s="167" t="str">
        <f>IF(Consultas!U250="N","PRECISA CORRIGIR END DIVERGENTE","N/A")</f>
        <v>N/A</v>
      </c>
    </row>
    <row r="251" ht="12.0" customHeight="1">
      <c r="A251" s="39" t="s">
        <v>90</v>
      </c>
      <c r="B251" s="82" t="str">
        <f>Consultas!B251</f>
        <v/>
      </c>
      <c r="C251" s="82" t="str">
        <f>Consultas!D251</f>
        <v/>
      </c>
      <c r="D251" s="96" t="str">
        <f>Consultas!E251</f>
        <v/>
      </c>
      <c r="E251" s="104" t="str">
        <f>IF(Consultas!AB251&gt;0,YEAR('Parâmetros'!$B$1)-YEAR(Consultas!AB251),"NA")</f>
        <v>NA</v>
      </c>
      <c r="F251" s="82">
        <f>IF(Consultas!F251&gt;'Parâmetros'!$B$2,-8,0)</f>
        <v>0</v>
      </c>
      <c r="G251" s="82">
        <f>IF(Consultas!H251='Parâmetros'!$E$1,100,0)</f>
        <v>0</v>
      </c>
      <c r="H251" s="82">
        <f>IF(Consultas!I251='Parâmetros'!$E$1,-4,12)</f>
        <v>12</v>
      </c>
      <c r="I251" s="82">
        <f>IF(Consultas!J251='Parâmetros'!$E$1,1,-13)</f>
        <v>-13</v>
      </c>
      <c r="J251" s="82">
        <f>IF(Consultas!K251='Parâmetros'!$E$1,2,-5)</f>
        <v>-5</v>
      </c>
      <c r="K251" s="82" t="str">
        <f>IF(Consultas!L251='Parâmetros'!$D$1,"SOLIC CONTRATO DE ENTREGA","N/A")</f>
        <v>N/A</v>
      </c>
      <c r="L251" s="82">
        <f>IF(Consultas!R251='Parâmetros'!$E$1,1,-3)</f>
        <v>-3</v>
      </c>
      <c r="M251" s="82" t="b">
        <f>IF(Consultas!S251&gt;1,(IF(Consultas!S251='Parâmetros'!$E$1,-3,9)))</f>
        <v>0</v>
      </c>
      <c r="N251" s="82">
        <f>IF(Consultas!T251="S",23,0)</f>
        <v>0</v>
      </c>
      <c r="O251" s="82">
        <f>IF(Consultas!U251='Parâmetros'!$E$1,-3,3)</f>
        <v>3</v>
      </c>
      <c r="P251" s="82">
        <f>IF(Consultas!V251='Parâmetros'!$E$1,-100,2)</f>
        <v>2</v>
      </c>
      <c r="Q251" s="82">
        <f>IF(Consultas!M251='Parâmetros'!$D$1,2,-9)</f>
        <v>-9</v>
      </c>
      <c r="R251" s="82">
        <f>IF(Consultas!N251="RJ",-12,0)</f>
        <v>0</v>
      </c>
      <c r="S251" s="82">
        <f>IF(Consultas!O251="-",-3,IF(Consultas!O251=0,-6,IF(Consultas!O251=5,0,IF(Consultas!O251=10,6))))</f>
        <v>-6</v>
      </c>
      <c r="T251" s="82">
        <f>IF(Consultas!M251="S",0,(IF(Consultas!P251="S",6,0)))</f>
        <v>0</v>
      </c>
      <c r="U251" s="82">
        <f>IF(Consultas!Q251&gt;97,9,IF(Consultas!Q251&gt;75,0,-7))</f>
        <v>-7</v>
      </c>
      <c r="V251" s="82">
        <f>IF(Consultas!W251='Parâmetros'!$E$1,1,-5)</f>
        <v>-5</v>
      </c>
      <c r="W251" s="82">
        <f>IF(Consultas!X251="S",3,-3)</f>
        <v>-3</v>
      </c>
      <c r="X251" s="82">
        <f>IF(Consultas!Y251="S",0,-7)</f>
        <v>-7</v>
      </c>
      <c r="Y251" s="82">
        <f>IF(Consultas!Z251='Parâmetros'!$E$1,2,-8)</f>
        <v>-8</v>
      </c>
      <c r="Z251" s="82">
        <f>IF(Consultas!AA251='Parâmetros'!$E$1,-15,1)</f>
        <v>1</v>
      </c>
      <c r="AA251" s="147" t="s">
        <v>140</v>
      </c>
      <c r="AB251" s="82" t="str">
        <f>IF(E251="NA","NA",IF(E251&gt;'Parâmetros'!$A$9,8,IF(E251&gt;'Parâmetros'!$A$8,4,IF(E251&gt;'Parâmetros'!$A$7,0,-6))))</f>
        <v>NA</v>
      </c>
      <c r="AC251" s="82">
        <f>IF(Consultas!AC251='Parâmetros'!$E$1,0,5)</f>
        <v>5</v>
      </c>
      <c r="AD251" s="82">
        <f>IF(Consultas!AH251='Parâmetros'!$D$1,-10,5)</f>
        <v>5</v>
      </c>
      <c r="AE251" s="82">
        <f>IF(Consultas!AI251&gt;(Consultas!F251*2),-10,0)</f>
        <v>0</v>
      </c>
      <c r="AF251" s="82" t="b">
        <f>IF(Consultas!AD251&gt;1,(IF(Consultas!AI251&gt;(Consultas!AD251),-20,4)))</f>
        <v>0</v>
      </c>
      <c r="AG251" s="82">
        <f>IF(Consultas!AG251='Parâmetros'!$E$1,0,-6)</f>
        <v>-6</v>
      </c>
      <c r="AH251" s="82">
        <f>IF(Consultas!AF251='Parâmetros'!$E$1,1,-5)</f>
        <v>-5</v>
      </c>
      <c r="AI251" s="82">
        <f>IF(Consultas!AJ251&gt;700,8,IF(Consultas!AJ251&gt;500,4,IF(Consultas!AJ251&gt;200,-4,IF(Consultas!AJ251&gt;1,-15,-20))))</f>
        <v>-20</v>
      </c>
      <c r="AJ251" s="82">
        <f>IF(Consultas!AD251='Parâmetros'!$E$10,0,IF(Consultas!AD251&gt;'Parâmetros'!$A$30,12,IF(Consultas!AD251&gt;'Parâmetros'!$A$31,6,IF(Consultas!AD251&gt;'Parâmetros'!$A$32,0,IF(Consultas!AD251&gt;'Parâmetros'!$A$33,0,IF(Consultas!AD251&gt;'Parâmetros'!$A$34,-3,IF(Consultas!AD251&gt;'Parâmetros'!$A$35,-7,-1)))))))</f>
        <v>-1</v>
      </c>
      <c r="AK251" s="82">
        <f>IF(Consultas!AO251='Parâmetros'!$D$1,3,-3)</f>
        <v>-3</v>
      </c>
      <c r="AL251" s="82">
        <f>IF(Consultas!AP251='Parâmetros'!$D$1,5,-3)</f>
        <v>-3</v>
      </c>
      <c r="AM251" s="82">
        <f>IF(Consultas!AL251="N",-6,0)</f>
        <v>0</v>
      </c>
      <c r="AN251" s="82">
        <f>IF(Consultas!AM251="N",-10,0)</f>
        <v>0</v>
      </c>
      <c r="AO251" s="82">
        <f>IF(Consultas!AN251="S",4,-2)</f>
        <v>-2</v>
      </c>
      <c r="AP251" s="39"/>
      <c r="AQ251" s="165" t="str">
        <f>IF(Consultas!F251&gt;1,(SUM(F251:AO251)),"N/A")</f>
        <v>N/A</v>
      </c>
      <c r="AR251" s="78">
        <f>IF((Consultas!AD251&gt;'Parâmetros'!$A$31),"X",AJ251+Y251+V251+AC251)</f>
        <v>-9</v>
      </c>
      <c r="AS251" s="78">
        <f>IF((Consultas!AD251&gt;'Parâmetros'!$A$31),"X",(H251+I251+J251+Q251+T251+Y251+Z251+AJ251+AN251))</f>
        <v>-23</v>
      </c>
      <c r="AT251" s="78" t="str">
        <f>IF((Consultas!AD251&lt;'Parâmetros'!$A$31),"X",(AD251+AC251+AB251))</f>
        <v>X</v>
      </c>
      <c r="AU251" s="78">
        <f t="shared" si="1"/>
        <v>-23</v>
      </c>
      <c r="AV251" s="82" t="str">
        <f>IF(AQ251="N/A","N/A",IF(AQ251&gt;5,'Parâmetros'!$A$15,(IF(AU251=AR251,'Parâmetros'!$A$17,IF(AU251=AS251,'Parâmetros'!$A$16,'Parâmetros'!$A$14)))))</f>
        <v>N/A</v>
      </c>
      <c r="AW251" s="86" t="str">
        <f>IF(AQ251="N/A","N/A",IF(AV251='Parâmetros'!$A$15,'Parâmetros'!$C$15,(IF(AV251='Parâmetros'!$A$17,'Parâmetros'!$C$17,IF(AV251='Parâmetros'!$A$16,'Parâmetros'!$C$16,IF(AV251='Parâmetros'!$A$14,'Parâmetros'!$C$12))))))</f>
        <v>N/A</v>
      </c>
      <c r="AX251" s="82" t="b">
        <f>IF(Consultas!F251&gt;1,(IF(Consultas!F251&gt;5000,"SOLICITAR PED COMPRA","N/A")))</f>
        <v>0</v>
      </c>
      <c r="AY251" s="167" t="str">
        <f>IF(AND(Consultas!M251&lt;&gt;"S", Consultas!H251="S"), "CHECAGEM REVERSA", "N/A")</f>
        <v>N/A</v>
      </c>
      <c r="AZ251" s="167" t="str">
        <f>IF(Consultas!U251="N","PRECISA CORRIGIR END DIVERGENTE","N/A")</f>
        <v>N/A</v>
      </c>
    </row>
    <row r="252" ht="12.0" customHeight="1">
      <c r="A252" s="39" t="s">
        <v>90</v>
      </c>
      <c r="B252" s="82" t="str">
        <f>Consultas!B252</f>
        <v/>
      </c>
      <c r="C252" s="82" t="str">
        <f>Consultas!D252</f>
        <v/>
      </c>
      <c r="D252" s="96" t="str">
        <f>Consultas!E252</f>
        <v/>
      </c>
      <c r="E252" s="104" t="str">
        <f>IF(Consultas!AB252&gt;0,YEAR('Parâmetros'!$B$1)-YEAR(Consultas!AB252),"NA")</f>
        <v>NA</v>
      </c>
      <c r="F252" s="82">
        <f>IF(Consultas!F252&gt;'Parâmetros'!$B$2,-8,0)</f>
        <v>0</v>
      </c>
      <c r="G252" s="82">
        <f>IF(Consultas!H252='Parâmetros'!$E$1,100,0)</f>
        <v>0</v>
      </c>
      <c r="H252" s="82">
        <f>IF(Consultas!I252='Parâmetros'!$E$1,-4,12)</f>
        <v>12</v>
      </c>
      <c r="I252" s="82">
        <f>IF(Consultas!J252='Parâmetros'!$E$1,1,-13)</f>
        <v>-13</v>
      </c>
      <c r="J252" s="82">
        <f>IF(Consultas!K252='Parâmetros'!$E$1,2,-5)</f>
        <v>-5</v>
      </c>
      <c r="K252" s="82" t="str">
        <f>IF(Consultas!L252='Parâmetros'!$D$1,"SOLIC CONTRATO DE ENTREGA","N/A")</f>
        <v>N/A</v>
      </c>
      <c r="L252" s="82">
        <f>IF(Consultas!R252='Parâmetros'!$E$1,1,-3)</f>
        <v>-3</v>
      </c>
      <c r="M252" s="82" t="b">
        <f>IF(Consultas!S252&gt;1,(IF(Consultas!S252='Parâmetros'!$E$1,-3,9)))</f>
        <v>0</v>
      </c>
      <c r="N252" s="82">
        <f>IF(Consultas!T252="S",23,0)</f>
        <v>0</v>
      </c>
      <c r="O252" s="82">
        <f>IF(Consultas!U252='Parâmetros'!$E$1,-3,3)</f>
        <v>3</v>
      </c>
      <c r="P252" s="82">
        <f>IF(Consultas!V252='Parâmetros'!$E$1,-100,2)</f>
        <v>2</v>
      </c>
      <c r="Q252" s="82">
        <f>IF(Consultas!M252='Parâmetros'!$D$1,2,-9)</f>
        <v>-9</v>
      </c>
      <c r="R252" s="82">
        <f>IF(Consultas!N252="RJ",-12,0)</f>
        <v>0</v>
      </c>
      <c r="S252" s="82">
        <f>IF(Consultas!O252="-",-3,IF(Consultas!O252=0,-6,IF(Consultas!O252=5,0,IF(Consultas!O252=10,6))))</f>
        <v>-6</v>
      </c>
      <c r="T252" s="82">
        <f>IF(Consultas!M252="S",0,(IF(Consultas!P252="S",6,0)))</f>
        <v>0</v>
      </c>
      <c r="U252" s="82">
        <f>IF(Consultas!Q252&gt;97,9,IF(Consultas!Q252&gt;75,0,-7))</f>
        <v>-7</v>
      </c>
      <c r="V252" s="82">
        <f>IF(Consultas!W252='Parâmetros'!$E$1,1,-5)</f>
        <v>-5</v>
      </c>
      <c r="W252" s="82">
        <f>IF(Consultas!X252="S",3,-3)</f>
        <v>-3</v>
      </c>
      <c r="X252" s="82">
        <f>IF(Consultas!Y252="S",0,-7)</f>
        <v>-7</v>
      </c>
      <c r="Y252" s="82">
        <f>IF(Consultas!Z252='Parâmetros'!$E$1,2,-8)</f>
        <v>-8</v>
      </c>
      <c r="Z252" s="82">
        <f>IF(Consultas!AA252='Parâmetros'!$E$1,-15,1)</f>
        <v>1</v>
      </c>
      <c r="AA252" s="147" t="s">
        <v>140</v>
      </c>
      <c r="AB252" s="82" t="str">
        <f>IF(E252="NA","NA",IF(E252&gt;'Parâmetros'!$A$9,8,IF(E252&gt;'Parâmetros'!$A$8,4,IF(E252&gt;'Parâmetros'!$A$7,0,-6))))</f>
        <v>NA</v>
      </c>
      <c r="AC252" s="82">
        <f>IF(Consultas!AC252='Parâmetros'!$E$1,0,5)</f>
        <v>5</v>
      </c>
      <c r="AD252" s="82">
        <f>IF(Consultas!AH252='Parâmetros'!$D$1,-10,5)</f>
        <v>5</v>
      </c>
      <c r="AE252" s="82">
        <f>IF(Consultas!AI252&gt;(Consultas!F252*2),-10,0)</f>
        <v>0</v>
      </c>
      <c r="AF252" s="82" t="b">
        <f>IF(Consultas!AD252&gt;1,(IF(Consultas!AI252&gt;(Consultas!AD252),-20,4)))</f>
        <v>0</v>
      </c>
      <c r="AG252" s="82">
        <f>IF(Consultas!AG252='Parâmetros'!$E$1,0,-6)</f>
        <v>-6</v>
      </c>
      <c r="AH252" s="82">
        <f>IF(Consultas!AF252='Parâmetros'!$E$1,1,-5)</f>
        <v>-5</v>
      </c>
      <c r="AI252" s="82">
        <f>IF(Consultas!AJ252&gt;700,8,IF(Consultas!AJ252&gt;500,4,IF(Consultas!AJ252&gt;200,-4,IF(Consultas!AJ252&gt;1,-15,-20))))</f>
        <v>-20</v>
      </c>
      <c r="AJ252" s="82">
        <f>IF(Consultas!AD252='Parâmetros'!$E$10,0,IF(Consultas!AD252&gt;'Parâmetros'!$A$30,12,IF(Consultas!AD252&gt;'Parâmetros'!$A$31,6,IF(Consultas!AD252&gt;'Parâmetros'!$A$32,0,IF(Consultas!AD252&gt;'Parâmetros'!$A$33,0,IF(Consultas!AD252&gt;'Parâmetros'!$A$34,-3,IF(Consultas!AD252&gt;'Parâmetros'!$A$35,-7,-1)))))))</f>
        <v>-1</v>
      </c>
      <c r="AK252" s="82">
        <f>IF(Consultas!AO252='Parâmetros'!$D$1,3,-3)</f>
        <v>-3</v>
      </c>
      <c r="AL252" s="82">
        <f>IF(Consultas!AP252='Parâmetros'!$D$1,5,-3)</f>
        <v>-3</v>
      </c>
      <c r="AM252" s="82">
        <f>IF(Consultas!AL252="N",-6,0)</f>
        <v>0</v>
      </c>
      <c r="AN252" s="82">
        <f>IF(Consultas!AM252="N",-10,0)</f>
        <v>0</v>
      </c>
      <c r="AO252" s="82">
        <f>IF(Consultas!AN252="S",4,-2)</f>
        <v>-2</v>
      </c>
      <c r="AP252" s="39"/>
      <c r="AQ252" s="165" t="str">
        <f>IF(Consultas!F252&gt;1,(SUM(F252:AO252)),"N/A")</f>
        <v>N/A</v>
      </c>
      <c r="AR252" s="78">
        <f>IF((Consultas!AD252&gt;'Parâmetros'!$A$31),"X",AJ252+Y252+V252+AC252)</f>
        <v>-9</v>
      </c>
      <c r="AS252" s="78">
        <f>IF((Consultas!AD252&gt;'Parâmetros'!$A$31),"X",(H252+I252+J252+Q252+T252+Y252+Z252+AJ252+AN252))</f>
        <v>-23</v>
      </c>
      <c r="AT252" s="78" t="str">
        <f>IF((Consultas!AD252&lt;'Parâmetros'!$A$31),"X",(AD252+AC252+AB252))</f>
        <v>X</v>
      </c>
      <c r="AU252" s="78">
        <f t="shared" si="1"/>
        <v>-23</v>
      </c>
      <c r="AV252" s="82" t="str">
        <f>IF(AQ252="N/A","N/A",IF(AQ252&gt;5,'Parâmetros'!$A$15,(IF(AU252=AR252,'Parâmetros'!$A$17,IF(AU252=AS252,'Parâmetros'!$A$16,'Parâmetros'!$A$14)))))</f>
        <v>N/A</v>
      </c>
      <c r="AW252" s="86" t="str">
        <f>IF(AQ252="N/A","N/A",IF(AV252='Parâmetros'!$A$15,'Parâmetros'!$C$15,(IF(AV252='Parâmetros'!$A$17,'Parâmetros'!$C$17,IF(AV252='Parâmetros'!$A$16,'Parâmetros'!$C$16,IF(AV252='Parâmetros'!$A$14,'Parâmetros'!$C$12))))))</f>
        <v>N/A</v>
      </c>
      <c r="AX252" s="82" t="b">
        <f>IF(Consultas!F252&gt;1,(IF(Consultas!F252&gt;5000,"SOLICITAR PED COMPRA","N/A")))</f>
        <v>0</v>
      </c>
      <c r="AY252" s="167" t="str">
        <f>IF(AND(Consultas!M252&lt;&gt;"S", Consultas!H252="S"), "CHECAGEM REVERSA", "N/A")</f>
        <v>N/A</v>
      </c>
      <c r="AZ252" s="167" t="str">
        <f>IF(Consultas!U252="N","PRECISA CORRIGIR END DIVERGENTE","N/A")</f>
        <v>N/A</v>
      </c>
    </row>
    <row r="253" ht="12.0" customHeight="1">
      <c r="A253" s="39" t="s">
        <v>90</v>
      </c>
      <c r="B253" s="82" t="str">
        <f>Consultas!B253</f>
        <v/>
      </c>
      <c r="C253" s="82" t="str">
        <f>Consultas!D253</f>
        <v/>
      </c>
      <c r="D253" s="96" t="str">
        <f>Consultas!E253</f>
        <v/>
      </c>
      <c r="E253" s="104" t="str">
        <f>IF(Consultas!AB253&gt;0,YEAR('Parâmetros'!$B$1)-YEAR(Consultas!AB253),"NA")</f>
        <v>NA</v>
      </c>
      <c r="F253" s="82">
        <f>IF(Consultas!F253&gt;'Parâmetros'!$B$2,-8,0)</f>
        <v>0</v>
      </c>
      <c r="G253" s="82">
        <f>IF(Consultas!H253='Parâmetros'!$E$1,100,0)</f>
        <v>0</v>
      </c>
      <c r="H253" s="82">
        <f>IF(Consultas!I253='Parâmetros'!$E$1,-4,12)</f>
        <v>12</v>
      </c>
      <c r="I253" s="82">
        <f>IF(Consultas!J253='Parâmetros'!$E$1,1,-13)</f>
        <v>-13</v>
      </c>
      <c r="J253" s="82">
        <f>IF(Consultas!K253='Parâmetros'!$E$1,2,-5)</f>
        <v>-5</v>
      </c>
      <c r="K253" s="82" t="str">
        <f>IF(Consultas!L253='Parâmetros'!$D$1,"SOLIC CONTRATO DE ENTREGA","N/A")</f>
        <v>N/A</v>
      </c>
      <c r="L253" s="82">
        <f>IF(Consultas!R253='Parâmetros'!$E$1,1,-3)</f>
        <v>-3</v>
      </c>
      <c r="M253" s="82" t="b">
        <f>IF(Consultas!S253&gt;1,(IF(Consultas!S253='Parâmetros'!$E$1,-3,9)))</f>
        <v>0</v>
      </c>
      <c r="N253" s="82">
        <f>IF(Consultas!T253="S",23,0)</f>
        <v>0</v>
      </c>
      <c r="O253" s="82">
        <f>IF(Consultas!U253='Parâmetros'!$E$1,-3,3)</f>
        <v>3</v>
      </c>
      <c r="P253" s="82">
        <f>IF(Consultas!V253='Parâmetros'!$E$1,-100,2)</f>
        <v>2</v>
      </c>
      <c r="Q253" s="82">
        <f>IF(Consultas!M253='Parâmetros'!$D$1,2,-9)</f>
        <v>-9</v>
      </c>
      <c r="R253" s="82">
        <f>IF(Consultas!N253="RJ",-12,0)</f>
        <v>0</v>
      </c>
      <c r="S253" s="82">
        <f>IF(Consultas!O253="-",-3,IF(Consultas!O253=0,-6,IF(Consultas!O253=5,0,IF(Consultas!O253=10,6))))</f>
        <v>-6</v>
      </c>
      <c r="T253" s="82">
        <f>IF(Consultas!M253="S",0,(IF(Consultas!P253="S",6,0)))</f>
        <v>0</v>
      </c>
      <c r="U253" s="82">
        <f>IF(Consultas!Q253&gt;97,9,IF(Consultas!Q253&gt;75,0,-7))</f>
        <v>-7</v>
      </c>
      <c r="V253" s="82">
        <f>IF(Consultas!W253='Parâmetros'!$E$1,1,-5)</f>
        <v>-5</v>
      </c>
      <c r="W253" s="82">
        <f>IF(Consultas!X253="S",3,-3)</f>
        <v>-3</v>
      </c>
      <c r="X253" s="82">
        <f>IF(Consultas!Y253="S",0,-7)</f>
        <v>-7</v>
      </c>
      <c r="Y253" s="82">
        <f>IF(Consultas!Z253='Parâmetros'!$E$1,2,-8)</f>
        <v>-8</v>
      </c>
      <c r="Z253" s="82">
        <f>IF(Consultas!AA253='Parâmetros'!$E$1,-15,1)</f>
        <v>1</v>
      </c>
      <c r="AA253" s="147" t="s">
        <v>140</v>
      </c>
      <c r="AB253" s="82" t="str">
        <f>IF(E253="NA","NA",IF(E253&gt;'Parâmetros'!$A$9,8,IF(E253&gt;'Parâmetros'!$A$8,4,IF(E253&gt;'Parâmetros'!$A$7,0,-6))))</f>
        <v>NA</v>
      </c>
      <c r="AC253" s="82">
        <f>IF(Consultas!AC253='Parâmetros'!$E$1,0,5)</f>
        <v>5</v>
      </c>
      <c r="AD253" s="82">
        <f>IF(Consultas!AH253='Parâmetros'!$D$1,-10,5)</f>
        <v>5</v>
      </c>
      <c r="AE253" s="82">
        <f>IF(Consultas!AI253&gt;(Consultas!F253*2),-10,0)</f>
        <v>0</v>
      </c>
      <c r="AF253" s="82" t="b">
        <f>IF(Consultas!AD253&gt;1,(IF(Consultas!AI253&gt;(Consultas!AD253),-20,4)))</f>
        <v>0</v>
      </c>
      <c r="AG253" s="82">
        <f>IF(Consultas!AG253='Parâmetros'!$E$1,0,-6)</f>
        <v>-6</v>
      </c>
      <c r="AH253" s="82">
        <f>IF(Consultas!AF253='Parâmetros'!$E$1,1,-5)</f>
        <v>-5</v>
      </c>
      <c r="AI253" s="82">
        <f>IF(Consultas!AJ253&gt;700,8,IF(Consultas!AJ253&gt;500,4,IF(Consultas!AJ253&gt;200,-4,IF(Consultas!AJ253&gt;1,-15,-20))))</f>
        <v>-20</v>
      </c>
      <c r="AJ253" s="82">
        <f>IF(Consultas!AD253='Parâmetros'!$E$10,0,IF(Consultas!AD253&gt;'Parâmetros'!$A$30,12,IF(Consultas!AD253&gt;'Parâmetros'!$A$31,6,IF(Consultas!AD253&gt;'Parâmetros'!$A$32,0,IF(Consultas!AD253&gt;'Parâmetros'!$A$33,0,IF(Consultas!AD253&gt;'Parâmetros'!$A$34,-3,IF(Consultas!AD253&gt;'Parâmetros'!$A$35,-7,-1)))))))</f>
        <v>-1</v>
      </c>
      <c r="AK253" s="82">
        <f>IF(Consultas!AO253='Parâmetros'!$D$1,3,-3)</f>
        <v>-3</v>
      </c>
      <c r="AL253" s="82">
        <f>IF(Consultas!AP253='Parâmetros'!$D$1,5,-3)</f>
        <v>-3</v>
      </c>
      <c r="AM253" s="82">
        <f>IF(Consultas!AL253="N",-6,0)</f>
        <v>0</v>
      </c>
      <c r="AN253" s="82">
        <f>IF(Consultas!AM253="N",-10,0)</f>
        <v>0</v>
      </c>
      <c r="AO253" s="82">
        <f>IF(Consultas!AN253="S",4,-2)</f>
        <v>-2</v>
      </c>
      <c r="AP253" s="39"/>
      <c r="AQ253" s="165" t="str">
        <f>IF(Consultas!F253&gt;1,(SUM(F253:AO253)),"N/A")</f>
        <v>N/A</v>
      </c>
      <c r="AR253" s="78">
        <f>IF((Consultas!AD253&gt;'Parâmetros'!$A$31),"X",AJ253+Y253+V253+AC253)</f>
        <v>-9</v>
      </c>
      <c r="AS253" s="78">
        <f>IF((Consultas!AD253&gt;'Parâmetros'!$A$31),"X",(H253+I253+J253+Q253+T253+Y253+Z253+AJ253+AN253))</f>
        <v>-23</v>
      </c>
      <c r="AT253" s="78" t="str">
        <f>IF((Consultas!AD253&lt;'Parâmetros'!$A$31),"X",(AD253+AC253+AB253))</f>
        <v>X</v>
      </c>
      <c r="AU253" s="78">
        <f t="shared" si="1"/>
        <v>-23</v>
      </c>
      <c r="AV253" s="82" t="str">
        <f>IF(AQ253="N/A","N/A",IF(AQ253&gt;5,'Parâmetros'!$A$15,(IF(AU253=AR253,'Parâmetros'!$A$17,IF(AU253=AS253,'Parâmetros'!$A$16,'Parâmetros'!$A$14)))))</f>
        <v>N/A</v>
      </c>
      <c r="AW253" s="86" t="str">
        <f>IF(AQ253="N/A","N/A",IF(AV253='Parâmetros'!$A$15,'Parâmetros'!$C$15,(IF(AV253='Parâmetros'!$A$17,'Parâmetros'!$C$17,IF(AV253='Parâmetros'!$A$16,'Parâmetros'!$C$16,IF(AV253='Parâmetros'!$A$14,'Parâmetros'!$C$12))))))</f>
        <v>N/A</v>
      </c>
      <c r="AX253" s="82" t="b">
        <f>IF(Consultas!F253&gt;1,(IF(Consultas!F253&gt;5000,"SOLICITAR PED COMPRA","N/A")))</f>
        <v>0</v>
      </c>
      <c r="AY253" s="167" t="str">
        <f>IF(AND(Consultas!M253&lt;&gt;"S", Consultas!H253="S"), "CHECAGEM REVERSA", "N/A")</f>
        <v>N/A</v>
      </c>
      <c r="AZ253" s="167" t="str">
        <f>IF(Consultas!U253="N","PRECISA CORRIGIR END DIVERGENTE","N/A")</f>
        <v>N/A</v>
      </c>
    </row>
    <row r="254" ht="12.0" customHeight="1">
      <c r="A254" s="39" t="s">
        <v>90</v>
      </c>
      <c r="B254" s="82" t="str">
        <f>Consultas!B254</f>
        <v/>
      </c>
      <c r="C254" s="82" t="str">
        <f>Consultas!D254</f>
        <v/>
      </c>
      <c r="D254" s="96" t="str">
        <f>Consultas!E254</f>
        <v/>
      </c>
      <c r="E254" s="104" t="str">
        <f>IF(Consultas!AB254&gt;0,YEAR('Parâmetros'!$B$1)-YEAR(Consultas!AB254),"NA")</f>
        <v>NA</v>
      </c>
      <c r="F254" s="82">
        <f>IF(Consultas!F254&gt;'Parâmetros'!$B$2,-8,0)</f>
        <v>0</v>
      </c>
      <c r="G254" s="82">
        <f>IF(Consultas!H254='Parâmetros'!$E$1,100,0)</f>
        <v>0</v>
      </c>
      <c r="H254" s="82">
        <f>IF(Consultas!I254='Parâmetros'!$E$1,-4,12)</f>
        <v>12</v>
      </c>
      <c r="I254" s="82">
        <f>IF(Consultas!J254='Parâmetros'!$E$1,1,-13)</f>
        <v>-13</v>
      </c>
      <c r="J254" s="82">
        <f>IF(Consultas!K254='Parâmetros'!$E$1,2,-5)</f>
        <v>-5</v>
      </c>
      <c r="K254" s="82" t="str">
        <f>IF(Consultas!L254='Parâmetros'!$D$1,"SOLIC CONTRATO DE ENTREGA","N/A")</f>
        <v>N/A</v>
      </c>
      <c r="L254" s="82">
        <f>IF(Consultas!R254='Parâmetros'!$E$1,1,-3)</f>
        <v>-3</v>
      </c>
      <c r="M254" s="82" t="b">
        <f>IF(Consultas!S254&gt;1,(IF(Consultas!S254='Parâmetros'!$E$1,-3,9)))</f>
        <v>0</v>
      </c>
      <c r="N254" s="82">
        <f>IF(Consultas!T254="S",23,0)</f>
        <v>0</v>
      </c>
      <c r="O254" s="82">
        <f>IF(Consultas!U254='Parâmetros'!$E$1,-3,3)</f>
        <v>3</v>
      </c>
      <c r="P254" s="82">
        <f>IF(Consultas!V254='Parâmetros'!$E$1,-100,2)</f>
        <v>2</v>
      </c>
      <c r="Q254" s="82">
        <f>IF(Consultas!M254='Parâmetros'!$D$1,2,-9)</f>
        <v>-9</v>
      </c>
      <c r="R254" s="82">
        <f>IF(Consultas!N254="RJ",-12,0)</f>
        <v>0</v>
      </c>
      <c r="S254" s="82">
        <f>IF(Consultas!O254="-",-3,IF(Consultas!O254=0,-6,IF(Consultas!O254=5,0,IF(Consultas!O254=10,6))))</f>
        <v>-6</v>
      </c>
      <c r="T254" s="82">
        <f>IF(Consultas!M254="S",0,(IF(Consultas!P254="S",6,0)))</f>
        <v>0</v>
      </c>
      <c r="U254" s="82">
        <f>IF(Consultas!Q254&gt;97,9,IF(Consultas!Q254&gt;75,0,-7))</f>
        <v>-7</v>
      </c>
      <c r="V254" s="82">
        <f>IF(Consultas!W254='Parâmetros'!$E$1,1,-5)</f>
        <v>-5</v>
      </c>
      <c r="W254" s="82">
        <f>IF(Consultas!X254="S",3,-3)</f>
        <v>-3</v>
      </c>
      <c r="X254" s="82">
        <f>IF(Consultas!Y254="S",0,-7)</f>
        <v>-7</v>
      </c>
      <c r="Y254" s="82">
        <f>IF(Consultas!Z254='Parâmetros'!$E$1,2,-8)</f>
        <v>-8</v>
      </c>
      <c r="Z254" s="82">
        <f>IF(Consultas!AA254='Parâmetros'!$E$1,-15,1)</f>
        <v>1</v>
      </c>
      <c r="AA254" s="147" t="s">
        <v>140</v>
      </c>
      <c r="AB254" s="82" t="str">
        <f>IF(E254="NA","NA",IF(E254&gt;'Parâmetros'!$A$9,8,IF(E254&gt;'Parâmetros'!$A$8,4,IF(E254&gt;'Parâmetros'!$A$7,0,-6))))</f>
        <v>NA</v>
      </c>
      <c r="AC254" s="82">
        <f>IF(Consultas!AC254='Parâmetros'!$E$1,0,5)</f>
        <v>5</v>
      </c>
      <c r="AD254" s="82">
        <f>IF(Consultas!AH254='Parâmetros'!$D$1,-10,5)</f>
        <v>5</v>
      </c>
      <c r="AE254" s="82">
        <f>IF(Consultas!AI254&gt;(Consultas!F254*2),-10,0)</f>
        <v>0</v>
      </c>
      <c r="AF254" s="82" t="b">
        <f>IF(Consultas!AD254&gt;1,(IF(Consultas!AI254&gt;(Consultas!AD254),-20,4)))</f>
        <v>0</v>
      </c>
      <c r="AG254" s="82">
        <f>IF(Consultas!AG254='Parâmetros'!$E$1,0,-6)</f>
        <v>-6</v>
      </c>
      <c r="AH254" s="82">
        <f>IF(Consultas!AF254='Parâmetros'!$E$1,1,-5)</f>
        <v>-5</v>
      </c>
      <c r="AI254" s="82">
        <f>IF(Consultas!AJ254&gt;700,8,IF(Consultas!AJ254&gt;500,4,IF(Consultas!AJ254&gt;200,-4,IF(Consultas!AJ254&gt;1,-15,-20))))</f>
        <v>-20</v>
      </c>
      <c r="AJ254" s="82">
        <f>IF(Consultas!AD254='Parâmetros'!$E$10,0,IF(Consultas!AD254&gt;'Parâmetros'!$A$30,12,IF(Consultas!AD254&gt;'Parâmetros'!$A$31,6,IF(Consultas!AD254&gt;'Parâmetros'!$A$32,0,IF(Consultas!AD254&gt;'Parâmetros'!$A$33,0,IF(Consultas!AD254&gt;'Parâmetros'!$A$34,-3,IF(Consultas!AD254&gt;'Parâmetros'!$A$35,-7,-1)))))))</f>
        <v>-1</v>
      </c>
      <c r="AK254" s="82">
        <f>IF(Consultas!AO254='Parâmetros'!$D$1,3,-3)</f>
        <v>-3</v>
      </c>
      <c r="AL254" s="82">
        <f>IF(Consultas!AP254='Parâmetros'!$D$1,5,-3)</f>
        <v>-3</v>
      </c>
      <c r="AM254" s="82">
        <f>IF(Consultas!AL254="N",-6,0)</f>
        <v>0</v>
      </c>
      <c r="AN254" s="82">
        <f>IF(Consultas!AM254="N",-10,0)</f>
        <v>0</v>
      </c>
      <c r="AO254" s="82">
        <f>IF(Consultas!AN254="S",4,-2)</f>
        <v>-2</v>
      </c>
      <c r="AP254" s="39"/>
      <c r="AQ254" s="165" t="str">
        <f>IF(Consultas!F254&gt;1,(SUM(F254:AO254)),"N/A")</f>
        <v>N/A</v>
      </c>
      <c r="AR254" s="78">
        <f>IF((Consultas!AD254&gt;'Parâmetros'!$A$31),"X",AJ254+Y254+V254+AC254)</f>
        <v>-9</v>
      </c>
      <c r="AS254" s="78">
        <f>IF((Consultas!AD254&gt;'Parâmetros'!$A$31),"X",(H254+I254+J254+Q254+T254+Y254+Z254+AJ254+AN254))</f>
        <v>-23</v>
      </c>
      <c r="AT254" s="78" t="str">
        <f>IF((Consultas!AD254&lt;'Parâmetros'!$A$31),"X",(AD254+AC254+AB254))</f>
        <v>X</v>
      </c>
      <c r="AU254" s="78">
        <f t="shared" si="1"/>
        <v>-23</v>
      </c>
      <c r="AV254" s="82" t="str">
        <f>IF(AQ254="N/A","N/A",IF(AQ254&gt;5,'Parâmetros'!$A$15,(IF(AU254=AR254,'Parâmetros'!$A$17,IF(AU254=AS254,'Parâmetros'!$A$16,'Parâmetros'!$A$14)))))</f>
        <v>N/A</v>
      </c>
      <c r="AW254" s="86" t="str">
        <f>IF(AQ254="N/A","N/A",IF(AV254='Parâmetros'!$A$15,'Parâmetros'!$C$15,(IF(AV254='Parâmetros'!$A$17,'Parâmetros'!$C$17,IF(AV254='Parâmetros'!$A$16,'Parâmetros'!$C$16,IF(AV254='Parâmetros'!$A$14,'Parâmetros'!$C$12))))))</f>
        <v>N/A</v>
      </c>
      <c r="AX254" s="82" t="b">
        <f>IF(Consultas!F254&gt;1,(IF(Consultas!F254&gt;5000,"SOLICITAR PED COMPRA","N/A")))</f>
        <v>0</v>
      </c>
      <c r="AY254" s="167" t="str">
        <f>IF(AND(Consultas!M254&lt;&gt;"S", Consultas!H254="S"), "CHECAGEM REVERSA", "N/A")</f>
        <v>N/A</v>
      </c>
      <c r="AZ254" s="167" t="str">
        <f>IF(Consultas!U254="N","PRECISA CORRIGIR END DIVERGENTE","N/A")</f>
        <v>N/A</v>
      </c>
    </row>
    <row r="255" ht="12.0" customHeight="1">
      <c r="A255" s="39" t="s">
        <v>90</v>
      </c>
      <c r="B255" s="82" t="str">
        <f>Consultas!B255</f>
        <v/>
      </c>
      <c r="C255" s="82" t="str">
        <f>Consultas!D255</f>
        <v/>
      </c>
      <c r="D255" s="96" t="str">
        <f>Consultas!E255</f>
        <v/>
      </c>
      <c r="E255" s="104" t="str">
        <f>IF(Consultas!AB255&gt;0,YEAR('Parâmetros'!$B$1)-YEAR(Consultas!AB255),"NA")</f>
        <v>NA</v>
      </c>
      <c r="F255" s="82">
        <f>IF(Consultas!F255&gt;'Parâmetros'!$B$2,-8,0)</f>
        <v>0</v>
      </c>
      <c r="G255" s="82">
        <f>IF(Consultas!H255='Parâmetros'!$E$1,100,0)</f>
        <v>0</v>
      </c>
      <c r="H255" s="82">
        <f>IF(Consultas!I255='Parâmetros'!$E$1,-4,12)</f>
        <v>12</v>
      </c>
      <c r="I255" s="82">
        <f>IF(Consultas!J255='Parâmetros'!$E$1,1,-13)</f>
        <v>-13</v>
      </c>
      <c r="J255" s="82">
        <f>IF(Consultas!K255='Parâmetros'!$E$1,2,-5)</f>
        <v>-5</v>
      </c>
      <c r="K255" s="82" t="str">
        <f>IF(Consultas!L255='Parâmetros'!$D$1,"SOLIC CONTRATO DE ENTREGA","N/A")</f>
        <v>N/A</v>
      </c>
      <c r="L255" s="82">
        <f>IF(Consultas!R255='Parâmetros'!$E$1,1,-3)</f>
        <v>-3</v>
      </c>
      <c r="M255" s="82" t="b">
        <f>IF(Consultas!S255&gt;1,(IF(Consultas!S255='Parâmetros'!$E$1,-3,9)))</f>
        <v>0</v>
      </c>
      <c r="N255" s="82">
        <f>IF(Consultas!T255="S",23,0)</f>
        <v>0</v>
      </c>
      <c r="O255" s="82">
        <f>IF(Consultas!U255='Parâmetros'!$E$1,-3,3)</f>
        <v>3</v>
      </c>
      <c r="P255" s="82">
        <f>IF(Consultas!V255='Parâmetros'!$E$1,-100,2)</f>
        <v>2</v>
      </c>
      <c r="Q255" s="82">
        <f>IF(Consultas!M255='Parâmetros'!$D$1,2,-9)</f>
        <v>-9</v>
      </c>
      <c r="R255" s="82">
        <f>IF(Consultas!N255="RJ",-12,0)</f>
        <v>0</v>
      </c>
      <c r="S255" s="82">
        <f>IF(Consultas!O255="-",-3,IF(Consultas!O255=0,-6,IF(Consultas!O255=5,0,IF(Consultas!O255=10,6))))</f>
        <v>-6</v>
      </c>
      <c r="T255" s="82">
        <f>IF(Consultas!M255="S",0,(IF(Consultas!P255="S",6,0)))</f>
        <v>0</v>
      </c>
      <c r="U255" s="82">
        <f>IF(Consultas!Q255&gt;97,9,IF(Consultas!Q255&gt;75,0,-7))</f>
        <v>-7</v>
      </c>
      <c r="V255" s="82">
        <f>IF(Consultas!W255='Parâmetros'!$E$1,1,-5)</f>
        <v>-5</v>
      </c>
      <c r="W255" s="82">
        <f>IF(Consultas!X255="S",3,-3)</f>
        <v>-3</v>
      </c>
      <c r="X255" s="82">
        <f>IF(Consultas!Y255="S",0,-7)</f>
        <v>-7</v>
      </c>
      <c r="Y255" s="82">
        <f>IF(Consultas!Z255='Parâmetros'!$E$1,2,-8)</f>
        <v>-8</v>
      </c>
      <c r="Z255" s="82">
        <f>IF(Consultas!AA255='Parâmetros'!$E$1,-15,1)</f>
        <v>1</v>
      </c>
      <c r="AA255" s="147" t="s">
        <v>140</v>
      </c>
      <c r="AB255" s="82" t="str">
        <f>IF(E255="NA","NA",IF(E255&gt;'Parâmetros'!$A$9,8,IF(E255&gt;'Parâmetros'!$A$8,4,IF(E255&gt;'Parâmetros'!$A$7,0,-6))))</f>
        <v>NA</v>
      </c>
      <c r="AC255" s="82">
        <f>IF(Consultas!AC255='Parâmetros'!$E$1,0,5)</f>
        <v>5</v>
      </c>
      <c r="AD255" s="82">
        <f>IF(Consultas!AH255='Parâmetros'!$D$1,-10,5)</f>
        <v>5</v>
      </c>
      <c r="AE255" s="82">
        <f>IF(Consultas!AI255&gt;(Consultas!F255*2),-10,0)</f>
        <v>0</v>
      </c>
      <c r="AF255" s="82" t="b">
        <f>IF(Consultas!AD255&gt;1,(IF(Consultas!AI255&gt;(Consultas!AD255),-20,4)))</f>
        <v>0</v>
      </c>
      <c r="AG255" s="82">
        <f>IF(Consultas!AG255='Parâmetros'!$E$1,0,-6)</f>
        <v>-6</v>
      </c>
      <c r="AH255" s="82">
        <f>IF(Consultas!AF255='Parâmetros'!$E$1,1,-5)</f>
        <v>-5</v>
      </c>
      <c r="AI255" s="82">
        <f>IF(Consultas!AJ255&gt;700,8,IF(Consultas!AJ255&gt;500,4,IF(Consultas!AJ255&gt;200,-4,IF(Consultas!AJ255&gt;1,-15,-20))))</f>
        <v>-20</v>
      </c>
      <c r="AJ255" s="82">
        <f>IF(Consultas!AD255='Parâmetros'!$E$10,0,IF(Consultas!AD255&gt;'Parâmetros'!$A$30,12,IF(Consultas!AD255&gt;'Parâmetros'!$A$31,6,IF(Consultas!AD255&gt;'Parâmetros'!$A$32,0,IF(Consultas!AD255&gt;'Parâmetros'!$A$33,0,IF(Consultas!AD255&gt;'Parâmetros'!$A$34,-3,IF(Consultas!AD255&gt;'Parâmetros'!$A$35,-7,-1)))))))</f>
        <v>-1</v>
      </c>
      <c r="AK255" s="82">
        <f>IF(Consultas!AO255='Parâmetros'!$D$1,3,-3)</f>
        <v>-3</v>
      </c>
      <c r="AL255" s="82">
        <f>IF(Consultas!AP255='Parâmetros'!$D$1,5,-3)</f>
        <v>-3</v>
      </c>
      <c r="AM255" s="82">
        <f>IF(Consultas!AL255="N",-6,0)</f>
        <v>0</v>
      </c>
      <c r="AN255" s="82">
        <f>IF(Consultas!AM255="N",-10,0)</f>
        <v>0</v>
      </c>
      <c r="AO255" s="82">
        <f>IF(Consultas!AN255="S",4,-2)</f>
        <v>-2</v>
      </c>
      <c r="AP255" s="39"/>
      <c r="AQ255" s="165" t="str">
        <f>IF(Consultas!F255&gt;1,(SUM(F255:AO255)),"N/A")</f>
        <v>N/A</v>
      </c>
      <c r="AR255" s="78">
        <f>IF((Consultas!AD255&gt;'Parâmetros'!$A$31),"X",AJ255+Y255+V255+AC255)</f>
        <v>-9</v>
      </c>
      <c r="AS255" s="78">
        <f>IF((Consultas!AD255&gt;'Parâmetros'!$A$31),"X",(H255+I255+J255+Q255+T255+Y255+Z255+AJ255+AN255))</f>
        <v>-23</v>
      </c>
      <c r="AT255" s="78" t="str">
        <f>IF((Consultas!AD255&lt;'Parâmetros'!$A$31),"X",(AD255+AC255+AB255))</f>
        <v>X</v>
      </c>
      <c r="AU255" s="78">
        <f t="shared" si="1"/>
        <v>-23</v>
      </c>
      <c r="AV255" s="82" t="str">
        <f>IF(AQ255="N/A","N/A",IF(AQ255&gt;5,'Parâmetros'!$A$15,(IF(AU255=AR255,'Parâmetros'!$A$17,IF(AU255=AS255,'Parâmetros'!$A$16,'Parâmetros'!$A$14)))))</f>
        <v>N/A</v>
      </c>
      <c r="AW255" s="86" t="str">
        <f>IF(AQ255="N/A","N/A",IF(AV255='Parâmetros'!$A$15,'Parâmetros'!$C$15,(IF(AV255='Parâmetros'!$A$17,'Parâmetros'!$C$17,IF(AV255='Parâmetros'!$A$16,'Parâmetros'!$C$16,IF(AV255='Parâmetros'!$A$14,'Parâmetros'!$C$12))))))</f>
        <v>N/A</v>
      </c>
      <c r="AX255" s="82" t="b">
        <f>IF(Consultas!F255&gt;1,(IF(Consultas!F255&gt;5000,"SOLICITAR PED COMPRA","N/A")))</f>
        <v>0</v>
      </c>
      <c r="AY255" s="167" t="str">
        <f>IF(AND(Consultas!M255&lt;&gt;"S", Consultas!H255="S"), "CHECAGEM REVERSA", "N/A")</f>
        <v>N/A</v>
      </c>
      <c r="AZ255" s="167" t="str">
        <f>IF(Consultas!U255="N","PRECISA CORRIGIR END DIVERGENTE","N/A")</f>
        <v>N/A</v>
      </c>
    </row>
    <row r="256" ht="12.0" customHeight="1">
      <c r="A256" s="39" t="s">
        <v>90</v>
      </c>
      <c r="B256" s="82" t="str">
        <f>Consultas!B256</f>
        <v/>
      </c>
      <c r="C256" s="82" t="str">
        <f>Consultas!D256</f>
        <v/>
      </c>
      <c r="D256" s="96" t="str">
        <f>Consultas!E256</f>
        <v/>
      </c>
      <c r="E256" s="104" t="str">
        <f>IF(Consultas!AB256&gt;0,YEAR('Parâmetros'!$B$1)-YEAR(Consultas!AB256),"NA")</f>
        <v>NA</v>
      </c>
      <c r="F256" s="82">
        <f>IF(Consultas!F256&gt;'Parâmetros'!$B$2,-8,0)</f>
        <v>0</v>
      </c>
      <c r="G256" s="82">
        <f>IF(Consultas!H256='Parâmetros'!$E$1,100,0)</f>
        <v>0</v>
      </c>
      <c r="H256" s="82">
        <f>IF(Consultas!I256='Parâmetros'!$E$1,-4,12)</f>
        <v>12</v>
      </c>
      <c r="I256" s="82">
        <f>IF(Consultas!J256='Parâmetros'!$E$1,1,-13)</f>
        <v>-13</v>
      </c>
      <c r="J256" s="82">
        <f>IF(Consultas!K256='Parâmetros'!$E$1,2,-5)</f>
        <v>-5</v>
      </c>
      <c r="K256" s="82" t="str">
        <f>IF(Consultas!L256='Parâmetros'!$D$1,"SOLIC CONTRATO DE ENTREGA","N/A")</f>
        <v>N/A</v>
      </c>
      <c r="L256" s="82">
        <f>IF(Consultas!R256='Parâmetros'!$E$1,1,-3)</f>
        <v>-3</v>
      </c>
      <c r="M256" s="82" t="b">
        <f>IF(Consultas!S256&gt;1,(IF(Consultas!S256='Parâmetros'!$E$1,-3,9)))</f>
        <v>0</v>
      </c>
      <c r="N256" s="82">
        <f>IF(Consultas!T256="S",23,0)</f>
        <v>0</v>
      </c>
      <c r="O256" s="82">
        <f>IF(Consultas!U256='Parâmetros'!$E$1,-3,3)</f>
        <v>3</v>
      </c>
      <c r="P256" s="82">
        <f>IF(Consultas!V256='Parâmetros'!$E$1,-100,2)</f>
        <v>2</v>
      </c>
      <c r="Q256" s="82">
        <f>IF(Consultas!M256='Parâmetros'!$D$1,2,-9)</f>
        <v>-9</v>
      </c>
      <c r="R256" s="82">
        <f>IF(Consultas!N256="RJ",-12,0)</f>
        <v>0</v>
      </c>
      <c r="S256" s="82">
        <f>IF(Consultas!O256="-",-3,IF(Consultas!O256=0,-6,IF(Consultas!O256=5,0,IF(Consultas!O256=10,6))))</f>
        <v>-6</v>
      </c>
      <c r="T256" s="82">
        <f>IF(Consultas!M256="S",0,(IF(Consultas!P256="S",6,0)))</f>
        <v>0</v>
      </c>
      <c r="U256" s="82">
        <f>IF(Consultas!Q256&gt;97,9,IF(Consultas!Q256&gt;75,0,-7))</f>
        <v>-7</v>
      </c>
      <c r="V256" s="82">
        <f>IF(Consultas!W256='Parâmetros'!$E$1,1,-5)</f>
        <v>-5</v>
      </c>
      <c r="W256" s="82">
        <f>IF(Consultas!X256="S",3,-3)</f>
        <v>-3</v>
      </c>
      <c r="X256" s="82">
        <f>IF(Consultas!Y256="S",0,-7)</f>
        <v>-7</v>
      </c>
      <c r="Y256" s="82">
        <f>IF(Consultas!Z256='Parâmetros'!$E$1,2,-8)</f>
        <v>-8</v>
      </c>
      <c r="Z256" s="82">
        <f>IF(Consultas!AA256='Parâmetros'!$E$1,-15,1)</f>
        <v>1</v>
      </c>
      <c r="AA256" s="147" t="s">
        <v>140</v>
      </c>
      <c r="AB256" s="82" t="str">
        <f>IF(E256="NA","NA",IF(E256&gt;'Parâmetros'!$A$9,8,IF(E256&gt;'Parâmetros'!$A$8,4,IF(E256&gt;'Parâmetros'!$A$7,0,-6))))</f>
        <v>NA</v>
      </c>
      <c r="AC256" s="82">
        <f>IF(Consultas!AC256='Parâmetros'!$E$1,0,5)</f>
        <v>5</v>
      </c>
      <c r="AD256" s="82">
        <f>IF(Consultas!AH256='Parâmetros'!$D$1,-10,5)</f>
        <v>5</v>
      </c>
      <c r="AE256" s="82">
        <f>IF(Consultas!AI256&gt;(Consultas!F256*2),-10,0)</f>
        <v>0</v>
      </c>
      <c r="AF256" s="82" t="b">
        <f>IF(Consultas!AD256&gt;1,(IF(Consultas!AI256&gt;(Consultas!AD256),-20,4)))</f>
        <v>0</v>
      </c>
      <c r="AG256" s="82">
        <f>IF(Consultas!AG256='Parâmetros'!$E$1,0,-6)</f>
        <v>-6</v>
      </c>
      <c r="AH256" s="82">
        <f>IF(Consultas!AF256='Parâmetros'!$E$1,1,-5)</f>
        <v>-5</v>
      </c>
      <c r="AI256" s="82">
        <f>IF(Consultas!AJ256&gt;700,8,IF(Consultas!AJ256&gt;500,4,IF(Consultas!AJ256&gt;200,-4,IF(Consultas!AJ256&gt;1,-15,-20))))</f>
        <v>-20</v>
      </c>
      <c r="AJ256" s="82">
        <f>IF(Consultas!AD256='Parâmetros'!$E$10,0,IF(Consultas!AD256&gt;'Parâmetros'!$A$30,12,IF(Consultas!AD256&gt;'Parâmetros'!$A$31,6,IF(Consultas!AD256&gt;'Parâmetros'!$A$32,0,IF(Consultas!AD256&gt;'Parâmetros'!$A$33,0,IF(Consultas!AD256&gt;'Parâmetros'!$A$34,-3,IF(Consultas!AD256&gt;'Parâmetros'!$A$35,-7,-1)))))))</f>
        <v>-1</v>
      </c>
      <c r="AK256" s="82">
        <f>IF(Consultas!AO256='Parâmetros'!$D$1,3,-3)</f>
        <v>-3</v>
      </c>
      <c r="AL256" s="82">
        <f>IF(Consultas!AP256='Parâmetros'!$D$1,5,-3)</f>
        <v>-3</v>
      </c>
      <c r="AM256" s="82">
        <f>IF(Consultas!AL256="N",-6,0)</f>
        <v>0</v>
      </c>
      <c r="AN256" s="82">
        <f>IF(Consultas!AM256="N",-10,0)</f>
        <v>0</v>
      </c>
      <c r="AO256" s="82">
        <f>IF(Consultas!AN256="S",4,-2)</f>
        <v>-2</v>
      </c>
      <c r="AP256" s="39"/>
      <c r="AQ256" s="165" t="str">
        <f>IF(Consultas!F256&gt;1,(SUM(F256:AO256)),"N/A")</f>
        <v>N/A</v>
      </c>
      <c r="AR256" s="78">
        <f>IF((Consultas!AD256&gt;'Parâmetros'!$A$31),"X",AJ256+Y256+V256+AC256)</f>
        <v>-9</v>
      </c>
      <c r="AS256" s="78">
        <f>IF((Consultas!AD256&gt;'Parâmetros'!$A$31),"X",(H256+I256+J256+Q256+T256+Y256+Z256+AJ256+AN256))</f>
        <v>-23</v>
      </c>
      <c r="AT256" s="78" t="str">
        <f>IF((Consultas!AD256&lt;'Parâmetros'!$A$31),"X",(AD256+AC256+AB256))</f>
        <v>X</v>
      </c>
      <c r="AU256" s="78">
        <f t="shared" si="1"/>
        <v>-23</v>
      </c>
      <c r="AV256" s="82" t="str">
        <f>IF(AQ256="N/A","N/A",IF(AQ256&gt;5,'Parâmetros'!$A$15,(IF(AU256=AR256,'Parâmetros'!$A$17,IF(AU256=AS256,'Parâmetros'!$A$16,'Parâmetros'!$A$14)))))</f>
        <v>N/A</v>
      </c>
      <c r="AW256" s="86" t="str">
        <f>IF(AQ256="N/A","N/A",IF(AV256='Parâmetros'!$A$15,'Parâmetros'!$C$15,(IF(AV256='Parâmetros'!$A$17,'Parâmetros'!$C$17,IF(AV256='Parâmetros'!$A$16,'Parâmetros'!$C$16,IF(AV256='Parâmetros'!$A$14,'Parâmetros'!$C$12))))))</f>
        <v>N/A</v>
      </c>
      <c r="AX256" s="82" t="b">
        <f>IF(Consultas!F256&gt;1,(IF(Consultas!F256&gt;5000,"SOLICITAR PED COMPRA","N/A")))</f>
        <v>0</v>
      </c>
      <c r="AY256" s="167" t="str">
        <f>IF(AND(Consultas!M256&lt;&gt;"S", Consultas!H256="S"), "CHECAGEM REVERSA", "N/A")</f>
        <v>N/A</v>
      </c>
      <c r="AZ256" s="167" t="str">
        <f>IF(Consultas!U256="N","PRECISA CORRIGIR END DIVERGENTE","N/A")</f>
        <v>N/A</v>
      </c>
    </row>
    <row r="257" ht="12.0" customHeight="1">
      <c r="A257" s="39" t="s">
        <v>90</v>
      </c>
      <c r="B257" s="82" t="str">
        <f>Consultas!B257</f>
        <v/>
      </c>
      <c r="C257" s="82" t="str">
        <f>Consultas!D257</f>
        <v/>
      </c>
      <c r="D257" s="96" t="str">
        <f>Consultas!E257</f>
        <v/>
      </c>
      <c r="E257" s="104" t="str">
        <f>IF(Consultas!AB257&gt;0,YEAR('Parâmetros'!$B$1)-YEAR(Consultas!AB257),"NA")</f>
        <v>NA</v>
      </c>
      <c r="F257" s="82">
        <f>IF(Consultas!F257&gt;'Parâmetros'!$B$2,-8,0)</f>
        <v>0</v>
      </c>
      <c r="G257" s="82">
        <f>IF(Consultas!H257='Parâmetros'!$E$1,100,0)</f>
        <v>0</v>
      </c>
      <c r="H257" s="82">
        <f>IF(Consultas!I257='Parâmetros'!$E$1,-4,12)</f>
        <v>12</v>
      </c>
      <c r="I257" s="82">
        <f>IF(Consultas!J257='Parâmetros'!$E$1,1,-13)</f>
        <v>-13</v>
      </c>
      <c r="J257" s="82">
        <f>IF(Consultas!K257='Parâmetros'!$E$1,2,-5)</f>
        <v>-5</v>
      </c>
      <c r="K257" s="82" t="str">
        <f>IF(Consultas!L257='Parâmetros'!$D$1,"SOLIC CONTRATO DE ENTREGA","N/A")</f>
        <v>N/A</v>
      </c>
      <c r="L257" s="82">
        <f>IF(Consultas!R257='Parâmetros'!$E$1,1,-3)</f>
        <v>-3</v>
      </c>
      <c r="M257" s="82" t="b">
        <f>IF(Consultas!S257&gt;1,(IF(Consultas!S257='Parâmetros'!$E$1,-3,9)))</f>
        <v>0</v>
      </c>
      <c r="N257" s="82">
        <f>IF(Consultas!T257="S",23,0)</f>
        <v>0</v>
      </c>
      <c r="O257" s="82">
        <f>IF(Consultas!U257='Parâmetros'!$E$1,-3,3)</f>
        <v>3</v>
      </c>
      <c r="P257" s="82">
        <f>IF(Consultas!V257='Parâmetros'!$E$1,-100,2)</f>
        <v>2</v>
      </c>
      <c r="Q257" s="82">
        <f>IF(Consultas!M257='Parâmetros'!$D$1,2,-9)</f>
        <v>-9</v>
      </c>
      <c r="R257" s="82">
        <f>IF(Consultas!N257="RJ",-12,0)</f>
        <v>0</v>
      </c>
      <c r="S257" s="82">
        <f>IF(Consultas!O257="-",-3,IF(Consultas!O257=0,-6,IF(Consultas!O257=5,0,IF(Consultas!O257=10,6))))</f>
        <v>-6</v>
      </c>
      <c r="T257" s="82">
        <f>IF(Consultas!M257="S",0,(IF(Consultas!P257="S",6,0)))</f>
        <v>0</v>
      </c>
      <c r="U257" s="82">
        <f>IF(Consultas!Q257&gt;97,9,IF(Consultas!Q257&gt;75,0,-7))</f>
        <v>-7</v>
      </c>
      <c r="V257" s="82">
        <f>IF(Consultas!W257='Parâmetros'!$E$1,1,-5)</f>
        <v>-5</v>
      </c>
      <c r="W257" s="82">
        <f>IF(Consultas!X257="S",3,-3)</f>
        <v>-3</v>
      </c>
      <c r="X257" s="82">
        <f>IF(Consultas!Y257="S",0,-7)</f>
        <v>-7</v>
      </c>
      <c r="Y257" s="82">
        <f>IF(Consultas!Z257='Parâmetros'!$E$1,2,-8)</f>
        <v>-8</v>
      </c>
      <c r="Z257" s="82">
        <f>IF(Consultas!AA257='Parâmetros'!$E$1,-15,1)</f>
        <v>1</v>
      </c>
      <c r="AA257" s="147" t="s">
        <v>140</v>
      </c>
      <c r="AB257" s="82" t="str">
        <f>IF(E257="NA","NA",IF(E257&gt;'Parâmetros'!$A$9,8,IF(E257&gt;'Parâmetros'!$A$8,4,IF(E257&gt;'Parâmetros'!$A$7,0,-6))))</f>
        <v>NA</v>
      </c>
      <c r="AC257" s="82">
        <f>IF(Consultas!AC257='Parâmetros'!$E$1,0,5)</f>
        <v>5</v>
      </c>
      <c r="AD257" s="82">
        <f>IF(Consultas!AH257='Parâmetros'!$D$1,-10,5)</f>
        <v>5</v>
      </c>
      <c r="AE257" s="82">
        <f>IF(Consultas!AI257&gt;(Consultas!F257*2),-10,0)</f>
        <v>0</v>
      </c>
      <c r="AF257" s="82" t="b">
        <f>IF(Consultas!AD257&gt;1,(IF(Consultas!AI257&gt;(Consultas!AD257),-20,4)))</f>
        <v>0</v>
      </c>
      <c r="AG257" s="82">
        <f>IF(Consultas!AG257='Parâmetros'!$E$1,0,-6)</f>
        <v>-6</v>
      </c>
      <c r="AH257" s="82">
        <f>IF(Consultas!AF257='Parâmetros'!$E$1,1,-5)</f>
        <v>-5</v>
      </c>
      <c r="AI257" s="82">
        <f>IF(Consultas!AJ257&gt;700,8,IF(Consultas!AJ257&gt;500,4,IF(Consultas!AJ257&gt;200,-4,IF(Consultas!AJ257&gt;1,-15,-20))))</f>
        <v>-20</v>
      </c>
      <c r="AJ257" s="82">
        <f>IF(Consultas!AD257='Parâmetros'!$E$10,0,IF(Consultas!AD257&gt;'Parâmetros'!$A$30,12,IF(Consultas!AD257&gt;'Parâmetros'!$A$31,6,IF(Consultas!AD257&gt;'Parâmetros'!$A$32,0,IF(Consultas!AD257&gt;'Parâmetros'!$A$33,0,IF(Consultas!AD257&gt;'Parâmetros'!$A$34,-3,IF(Consultas!AD257&gt;'Parâmetros'!$A$35,-7,-1)))))))</f>
        <v>-1</v>
      </c>
      <c r="AK257" s="82">
        <f>IF(Consultas!AO257='Parâmetros'!$D$1,3,-3)</f>
        <v>-3</v>
      </c>
      <c r="AL257" s="82">
        <f>IF(Consultas!AP257='Parâmetros'!$D$1,5,-3)</f>
        <v>-3</v>
      </c>
      <c r="AM257" s="82">
        <f>IF(Consultas!AL257="N",-6,0)</f>
        <v>0</v>
      </c>
      <c r="AN257" s="82">
        <f>IF(Consultas!AM257="N",-10,0)</f>
        <v>0</v>
      </c>
      <c r="AO257" s="82">
        <f>IF(Consultas!AN257="S",4,-2)</f>
        <v>-2</v>
      </c>
      <c r="AP257" s="39"/>
      <c r="AQ257" s="165" t="str">
        <f>IF(Consultas!F257&gt;1,(SUM(F257:AO257)),"N/A")</f>
        <v>N/A</v>
      </c>
      <c r="AR257" s="78">
        <f>IF((Consultas!AD257&gt;'Parâmetros'!$A$31),"X",AJ257+Y257+V257+AC257)</f>
        <v>-9</v>
      </c>
      <c r="AS257" s="78">
        <f>IF((Consultas!AD257&gt;'Parâmetros'!$A$31),"X",(H257+I257+J257+Q257+T257+Y257+Z257+AJ257+AN257))</f>
        <v>-23</v>
      </c>
      <c r="AT257" s="78" t="str">
        <f>IF((Consultas!AD257&lt;'Parâmetros'!$A$31),"X",(AD257+AC257+AB257))</f>
        <v>X</v>
      </c>
      <c r="AU257" s="78">
        <f t="shared" si="1"/>
        <v>-23</v>
      </c>
      <c r="AV257" s="82" t="str">
        <f>IF(AQ257="N/A","N/A",IF(AQ257&gt;5,'Parâmetros'!$A$15,(IF(AU257=AR257,'Parâmetros'!$A$17,IF(AU257=AS257,'Parâmetros'!$A$16,'Parâmetros'!$A$14)))))</f>
        <v>N/A</v>
      </c>
      <c r="AW257" s="86" t="str">
        <f>IF(AQ257="N/A","N/A",IF(AV257='Parâmetros'!$A$15,'Parâmetros'!$C$15,(IF(AV257='Parâmetros'!$A$17,'Parâmetros'!$C$17,IF(AV257='Parâmetros'!$A$16,'Parâmetros'!$C$16,IF(AV257='Parâmetros'!$A$14,'Parâmetros'!$C$12))))))</f>
        <v>N/A</v>
      </c>
      <c r="AX257" s="82" t="b">
        <f>IF(Consultas!F257&gt;1,(IF(Consultas!F257&gt;5000,"SOLICITAR PED COMPRA","N/A")))</f>
        <v>0</v>
      </c>
      <c r="AY257" s="167" t="str">
        <f>IF(AND(Consultas!M257&lt;&gt;"S", Consultas!H257="S"), "CHECAGEM REVERSA", "N/A")</f>
        <v>N/A</v>
      </c>
      <c r="AZ257" s="167" t="str">
        <f>IF(Consultas!U257="N","PRECISA CORRIGIR END DIVERGENTE","N/A")</f>
        <v>N/A</v>
      </c>
    </row>
    <row r="258" ht="12.0" customHeight="1">
      <c r="A258" s="39" t="s">
        <v>90</v>
      </c>
      <c r="B258" s="82" t="str">
        <f>Consultas!B258</f>
        <v/>
      </c>
      <c r="C258" s="82" t="str">
        <f>Consultas!D258</f>
        <v/>
      </c>
      <c r="D258" s="96" t="str">
        <f>Consultas!E258</f>
        <v/>
      </c>
      <c r="E258" s="104" t="str">
        <f>IF(Consultas!AB258&gt;0,YEAR('Parâmetros'!$B$1)-YEAR(Consultas!AB258),"NA")</f>
        <v>NA</v>
      </c>
      <c r="F258" s="82">
        <f>IF(Consultas!F258&gt;'Parâmetros'!$B$2,-8,0)</f>
        <v>0</v>
      </c>
      <c r="G258" s="82">
        <f>IF(Consultas!H258='Parâmetros'!$E$1,100,0)</f>
        <v>0</v>
      </c>
      <c r="H258" s="82">
        <f>IF(Consultas!I258='Parâmetros'!$E$1,-4,12)</f>
        <v>12</v>
      </c>
      <c r="I258" s="82">
        <f>IF(Consultas!J258='Parâmetros'!$E$1,1,-13)</f>
        <v>-13</v>
      </c>
      <c r="J258" s="82">
        <f>IF(Consultas!K258='Parâmetros'!$E$1,2,-5)</f>
        <v>-5</v>
      </c>
      <c r="K258" s="82" t="str">
        <f>IF(Consultas!L258='Parâmetros'!$D$1,"SOLIC CONTRATO DE ENTREGA","N/A")</f>
        <v>N/A</v>
      </c>
      <c r="L258" s="82">
        <f>IF(Consultas!R258='Parâmetros'!$E$1,1,-3)</f>
        <v>-3</v>
      </c>
      <c r="M258" s="82" t="b">
        <f>IF(Consultas!S258&gt;1,(IF(Consultas!S258='Parâmetros'!$E$1,-3,9)))</f>
        <v>0</v>
      </c>
      <c r="N258" s="82">
        <f>IF(Consultas!T258="S",23,0)</f>
        <v>0</v>
      </c>
      <c r="O258" s="82">
        <f>IF(Consultas!U258='Parâmetros'!$E$1,-3,3)</f>
        <v>3</v>
      </c>
      <c r="P258" s="82">
        <f>IF(Consultas!V258='Parâmetros'!$E$1,-100,2)</f>
        <v>2</v>
      </c>
      <c r="Q258" s="82">
        <f>IF(Consultas!M258='Parâmetros'!$D$1,2,-9)</f>
        <v>-9</v>
      </c>
      <c r="R258" s="82">
        <f>IF(Consultas!N258="RJ",-12,0)</f>
        <v>0</v>
      </c>
      <c r="S258" s="82">
        <f>IF(Consultas!O258="-",-3,IF(Consultas!O258=0,-6,IF(Consultas!O258=5,0,IF(Consultas!O258=10,6))))</f>
        <v>-6</v>
      </c>
      <c r="T258" s="82">
        <f>IF(Consultas!M258="S",0,(IF(Consultas!P258="S",6,0)))</f>
        <v>0</v>
      </c>
      <c r="U258" s="82">
        <f>IF(Consultas!Q258&gt;97,9,IF(Consultas!Q258&gt;75,0,-7))</f>
        <v>-7</v>
      </c>
      <c r="V258" s="82">
        <f>IF(Consultas!W258='Parâmetros'!$E$1,1,-5)</f>
        <v>-5</v>
      </c>
      <c r="W258" s="82">
        <f>IF(Consultas!X258="S",3,-3)</f>
        <v>-3</v>
      </c>
      <c r="X258" s="82">
        <f>IF(Consultas!Y258="S",0,-7)</f>
        <v>-7</v>
      </c>
      <c r="Y258" s="82">
        <f>IF(Consultas!Z258='Parâmetros'!$E$1,2,-8)</f>
        <v>-8</v>
      </c>
      <c r="Z258" s="82">
        <f>IF(Consultas!AA258='Parâmetros'!$E$1,-15,1)</f>
        <v>1</v>
      </c>
      <c r="AA258" s="147" t="s">
        <v>140</v>
      </c>
      <c r="AB258" s="82" t="str">
        <f>IF(E258="NA","NA",IF(E258&gt;'Parâmetros'!$A$9,8,IF(E258&gt;'Parâmetros'!$A$8,4,IF(E258&gt;'Parâmetros'!$A$7,0,-6))))</f>
        <v>NA</v>
      </c>
      <c r="AC258" s="82">
        <f>IF(Consultas!AC258='Parâmetros'!$E$1,0,5)</f>
        <v>5</v>
      </c>
      <c r="AD258" s="82">
        <f>IF(Consultas!AH258='Parâmetros'!$D$1,-10,5)</f>
        <v>5</v>
      </c>
      <c r="AE258" s="82">
        <f>IF(Consultas!AI258&gt;(Consultas!F258*2),-10,0)</f>
        <v>0</v>
      </c>
      <c r="AF258" s="82" t="b">
        <f>IF(Consultas!AD258&gt;1,(IF(Consultas!AI258&gt;(Consultas!AD258),-20,4)))</f>
        <v>0</v>
      </c>
      <c r="AG258" s="82">
        <f>IF(Consultas!AG258='Parâmetros'!$E$1,0,-6)</f>
        <v>-6</v>
      </c>
      <c r="AH258" s="82">
        <f>IF(Consultas!AF258='Parâmetros'!$E$1,1,-5)</f>
        <v>-5</v>
      </c>
      <c r="AI258" s="82">
        <f>IF(Consultas!AJ258&gt;700,8,IF(Consultas!AJ258&gt;500,4,IF(Consultas!AJ258&gt;200,-4,IF(Consultas!AJ258&gt;1,-15,-20))))</f>
        <v>-20</v>
      </c>
      <c r="AJ258" s="82">
        <f>IF(Consultas!AD258='Parâmetros'!$E$10,0,IF(Consultas!AD258&gt;'Parâmetros'!$A$30,12,IF(Consultas!AD258&gt;'Parâmetros'!$A$31,6,IF(Consultas!AD258&gt;'Parâmetros'!$A$32,0,IF(Consultas!AD258&gt;'Parâmetros'!$A$33,0,IF(Consultas!AD258&gt;'Parâmetros'!$A$34,-3,IF(Consultas!AD258&gt;'Parâmetros'!$A$35,-7,-1)))))))</f>
        <v>-1</v>
      </c>
      <c r="AK258" s="82">
        <f>IF(Consultas!AO258='Parâmetros'!$D$1,3,-3)</f>
        <v>-3</v>
      </c>
      <c r="AL258" s="82">
        <f>IF(Consultas!AP258='Parâmetros'!$D$1,5,-3)</f>
        <v>-3</v>
      </c>
      <c r="AM258" s="82">
        <f>IF(Consultas!AL258="N",-6,0)</f>
        <v>0</v>
      </c>
      <c r="AN258" s="82">
        <f>IF(Consultas!AM258="N",-10,0)</f>
        <v>0</v>
      </c>
      <c r="AO258" s="82">
        <f>IF(Consultas!AN258="S",4,-2)</f>
        <v>-2</v>
      </c>
      <c r="AP258" s="39"/>
      <c r="AQ258" s="165" t="str">
        <f>IF(Consultas!F258&gt;1,(SUM(F258:AO258)),"N/A")</f>
        <v>N/A</v>
      </c>
      <c r="AR258" s="78">
        <f>IF((Consultas!AD258&gt;'Parâmetros'!$A$31),"X",AJ258+Y258+V258+AC258)</f>
        <v>-9</v>
      </c>
      <c r="AS258" s="78">
        <f>IF((Consultas!AD258&gt;'Parâmetros'!$A$31),"X",(H258+I258+J258+Q258+T258+Y258+Z258+AJ258+AN258))</f>
        <v>-23</v>
      </c>
      <c r="AT258" s="78" t="str">
        <f>IF((Consultas!AD258&lt;'Parâmetros'!$A$31),"X",(AD258+AC258+AB258))</f>
        <v>X</v>
      </c>
      <c r="AU258" s="78">
        <f t="shared" si="1"/>
        <v>-23</v>
      </c>
      <c r="AV258" s="82" t="str">
        <f>IF(AQ258="N/A","N/A",IF(AQ258&gt;5,'Parâmetros'!$A$15,(IF(AU258=AR258,'Parâmetros'!$A$17,IF(AU258=AS258,'Parâmetros'!$A$16,'Parâmetros'!$A$14)))))</f>
        <v>N/A</v>
      </c>
      <c r="AW258" s="86" t="str">
        <f>IF(AQ258="N/A","N/A",IF(AV258='Parâmetros'!$A$15,'Parâmetros'!$C$15,(IF(AV258='Parâmetros'!$A$17,'Parâmetros'!$C$17,IF(AV258='Parâmetros'!$A$16,'Parâmetros'!$C$16,IF(AV258='Parâmetros'!$A$14,'Parâmetros'!$C$12))))))</f>
        <v>N/A</v>
      </c>
      <c r="AX258" s="82" t="b">
        <f>IF(Consultas!F258&gt;1,(IF(Consultas!F258&gt;5000,"SOLICITAR PED COMPRA","N/A")))</f>
        <v>0</v>
      </c>
      <c r="AY258" s="167" t="str">
        <f>IF(AND(Consultas!M258&lt;&gt;"S", Consultas!H258="S"), "CHECAGEM REVERSA", "N/A")</f>
        <v>N/A</v>
      </c>
      <c r="AZ258" s="167" t="str">
        <f>IF(Consultas!U258="N","PRECISA CORRIGIR END DIVERGENTE","N/A")</f>
        <v>N/A</v>
      </c>
    </row>
    <row r="259" ht="12.0" customHeight="1">
      <c r="A259" s="39" t="s">
        <v>90</v>
      </c>
      <c r="B259" s="82" t="str">
        <f>Consultas!B259</f>
        <v/>
      </c>
      <c r="C259" s="82" t="str">
        <f>Consultas!D259</f>
        <v/>
      </c>
      <c r="D259" s="96" t="str">
        <f>Consultas!E259</f>
        <v/>
      </c>
      <c r="E259" s="104" t="str">
        <f>IF(Consultas!AB259&gt;0,YEAR('Parâmetros'!$B$1)-YEAR(Consultas!AB259),"NA")</f>
        <v>NA</v>
      </c>
      <c r="F259" s="82">
        <f>IF(Consultas!F259&gt;'Parâmetros'!$B$2,-8,0)</f>
        <v>0</v>
      </c>
      <c r="G259" s="82">
        <f>IF(Consultas!H259='Parâmetros'!$E$1,100,0)</f>
        <v>0</v>
      </c>
      <c r="H259" s="82">
        <f>IF(Consultas!I259='Parâmetros'!$E$1,-4,12)</f>
        <v>12</v>
      </c>
      <c r="I259" s="82">
        <f>IF(Consultas!J259='Parâmetros'!$E$1,1,-13)</f>
        <v>-13</v>
      </c>
      <c r="J259" s="82">
        <f>IF(Consultas!K259='Parâmetros'!$E$1,2,-5)</f>
        <v>-5</v>
      </c>
      <c r="K259" s="82" t="str">
        <f>IF(Consultas!L259='Parâmetros'!$D$1,"SOLIC CONTRATO DE ENTREGA","N/A")</f>
        <v>N/A</v>
      </c>
      <c r="L259" s="82">
        <f>IF(Consultas!R259='Parâmetros'!$E$1,1,-3)</f>
        <v>-3</v>
      </c>
      <c r="M259" s="82" t="b">
        <f>IF(Consultas!S259&gt;1,(IF(Consultas!S259='Parâmetros'!$E$1,-3,9)))</f>
        <v>0</v>
      </c>
      <c r="N259" s="82">
        <f>IF(Consultas!T259="S",23,0)</f>
        <v>0</v>
      </c>
      <c r="O259" s="82">
        <f>IF(Consultas!U259='Parâmetros'!$E$1,-3,3)</f>
        <v>3</v>
      </c>
      <c r="P259" s="82">
        <f>IF(Consultas!V259='Parâmetros'!$E$1,-100,2)</f>
        <v>2</v>
      </c>
      <c r="Q259" s="82">
        <f>IF(Consultas!M259='Parâmetros'!$D$1,2,-9)</f>
        <v>-9</v>
      </c>
      <c r="R259" s="82">
        <f>IF(Consultas!N259="RJ",-12,0)</f>
        <v>0</v>
      </c>
      <c r="S259" s="82">
        <f>IF(Consultas!O259="-",-3,IF(Consultas!O259=0,-6,IF(Consultas!O259=5,0,IF(Consultas!O259=10,6))))</f>
        <v>-6</v>
      </c>
      <c r="T259" s="82">
        <f>IF(Consultas!M259="S",0,(IF(Consultas!P259="S",6,0)))</f>
        <v>0</v>
      </c>
      <c r="U259" s="82">
        <f>IF(Consultas!Q259&gt;97,9,IF(Consultas!Q259&gt;75,0,-7))</f>
        <v>-7</v>
      </c>
      <c r="V259" s="82">
        <f>IF(Consultas!W259='Parâmetros'!$E$1,1,-5)</f>
        <v>-5</v>
      </c>
      <c r="W259" s="82">
        <f>IF(Consultas!X259="S",3,-3)</f>
        <v>-3</v>
      </c>
      <c r="X259" s="82">
        <f>IF(Consultas!Y259="S",0,-7)</f>
        <v>-7</v>
      </c>
      <c r="Y259" s="82">
        <f>IF(Consultas!Z259='Parâmetros'!$E$1,2,-8)</f>
        <v>-8</v>
      </c>
      <c r="Z259" s="82">
        <f>IF(Consultas!AA259='Parâmetros'!$E$1,-15,1)</f>
        <v>1</v>
      </c>
      <c r="AA259" s="147" t="s">
        <v>140</v>
      </c>
      <c r="AB259" s="82" t="str">
        <f>IF(E259="NA","NA",IF(E259&gt;'Parâmetros'!$A$9,8,IF(E259&gt;'Parâmetros'!$A$8,4,IF(E259&gt;'Parâmetros'!$A$7,0,-6))))</f>
        <v>NA</v>
      </c>
      <c r="AC259" s="82">
        <f>IF(Consultas!AC259='Parâmetros'!$E$1,0,5)</f>
        <v>5</v>
      </c>
      <c r="AD259" s="82">
        <f>IF(Consultas!AH259='Parâmetros'!$D$1,-10,5)</f>
        <v>5</v>
      </c>
      <c r="AE259" s="82">
        <f>IF(Consultas!AI259&gt;(Consultas!F259*2),-10,0)</f>
        <v>0</v>
      </c>
      <c r="AF259" s="82" t="b">
        <f>IF(Consultas!AD259&gt;1,(IF(Consultas!AI259&gt;(Consultas!AD259),-20,4)))</f>
        <v>0</v>
      </c>
      <c r="AG259" s="82">
        <f>IF(Consultas!AG259='Parâmetros'!$E$1,0,-6)</f>
        <v>-6</v>
      </c>
      <c r="AH259" s="82">
        <f>IF(Consultas!AF259='Parâmetros'!$E$1,1,-5)</f>
        <v>-5</v>
      </c>
      <c r="AI259" s="82">
        <f>IF(Consultas!AJ259&gt;700,8,IF(Consultas!AJ259&gt;500,4,IF(Consultas!AJ259&gt;200,-4,IF(Consultas!AJ259&gt;1,-15,-20))))</f>
        <v>-20</v>
      </c>
      <c r="AJ259" s="82">
        <f>IF(Consultas!AD259='Parâmetros'!$E$10,0,IF(Consultas!AD259&gt;'Parâmetros'!$A$30,12,IF(Consultas!AD259&gt;'Parâmetros'!$A$31,6,IF(Consultas!AD259&gt;'Parâmetros'!$A$32,0,IF(Consultas!AD259&gt;'Parâmetros'!$A$33,0,IF(Consultas!AD259&gt;'Parâmetros'!$A$34,-3,IF(Consultas!AD259&gt;'Parâmetros'!$A$35,-7,-1)))))))</f>
        <v>-1</v>
      </c>
      <c r="AK259" s="82">
        <f>IF(Consultas!AO259='Parâmetros'!$D$1,3,-3)</f>
        <v>-3</v>
      </c>
      <c r="AL259" s="82">
        <f>IF(Consultas!AP259='Parâmetros'!$D$1,5,-3)</f>
        <v>-3</v>
      </c>
      <c r="AM259" s="82">
        <f>IF(Consultas!AL259="N",-6,0)</f>
        <v>0</v>
      </c>
      <c r="AN259" s="82">
        <f>IF(Consultas!AM259="N",-10,0)</f>
        <v>0</v>
      </c>
      <c r="AO259" s="82">
        <f>IF(Consultas!AN259="S",4,-2)</f>
        <v>-2</v>
      </c>
      <c r="AP259" s="39"/>
      <c r="AQ259" s="165" t="str">
        <f>IF(Consultas!F259&gt;1,(SUM(F259:AO259)),"N/A")</f>
        <v>N/A</v>
      </c>
      <c r="AR259" s="78">
        <f>IF((Consultas!AD259&gt;'Parâmetros'!$A$31),"X",AJ259+Y259+V259+AC259)</f>
        <v>-9</v>
      </c>
      <c r="AS259" s="78">
        <f>IF((Consultas!AD259&gt;'Parâmetros'!$A$31),"X",(H259+I259+J259+Q259+T259+Y259+Z259+AJ259+AN259))</f>
        <v>-23</v>
      </c>
      <c r="AT259" s="78" t="str">
        <f>IF((Consultas!AD259&lt;'Parâmetros'!$A$31),"X",(AD259+AC259+AB259))</f>
        <v>X</v>
      </c>
      <c r="AU259" s="78">
        <f t="shared" si="1"/>
        <v>-23</v>
      </c>
      <c r="AV259" s="82" t="str">
        <f>IF(AQ259="N/A","N/A",IF(AQ259&gt;5,'Parâmetros'!$A$15,(IF(AU259=AR259,'Parâmetros'!$A$17,IF(AU259=AS259,'Parâmetros'!$A$16,'Parâmetros'!$A$14)))))</f>
        <v>N/A</v>
      </c>
      <c r="AW259" s="86" t="str">
        <f>IF(AQ259="N/A","N/A",IF(AV259='Parâmetros'!$A$15,'Parâmetros'!$C$15,(IF(AV259='Parâmetros'!$A$17,'Parâmetros'!$C$17,IF(AV259='Parâmetros'!$A$16,'Parâmetros'!$C$16,IF(AV259='Parâmetros'!$A$14,'Parâmetros'!$C$12))))))</f>
        <v>N/A</v>
      </c>
      <c r="AX259" s="82" t="b">
        <f>IF(Consultas!F259&gt;1,(IF(Consultas!F259&gt;5000,"SOLICITAR PED COMPRA","N/A")))</f>
        <v>0</v>
      </c>
      <c r="AY259" s="167" t="str">
        <f>IF(AND(Consultas!M259&lt;&gt;"S", Consultas!H259="S"), "CHECAGEM REVERSA", "N/A")</f>
        <v>N/A</v>
      </c>
      <c r="AZ259" s="167" t="str">
        <f>IF(Consultas!U259="N","PRECISA CORRIGIR END DIVERGENTE","N/A")</f>
        <v>N/A</v>
      </c>
    </row>
    <row r="260" ht="12.0" customHeight="1">
      <c r="A260" s="39" t="s">
        <v>90</v>
      </c>
      <c r="B260" s="82" t="str">
        <f>Consultas!B260</f>
        <v/>
      </c>
      <c r="C260" s="82" t="str">
        <f>Consultas!D260</f>
        <v/>
      </c>
      <c r="D260" s="96" t="str">
        <f>Consultas!E260</f>
        <v/>
      </c>
      <c r="E260" s="104" t="str">
        <f>IF(Consultas!AB260&gt;0,YEAR('Parâmetros'!$B$1)-YEAR(Consultas!AB260),"NA")</f>
        <v>NA</v>
      </c>
      <c r="F260" s="82">
        <f>IF(Consultas!F260&gt;'Parâmetros'!$B$2,-8,0)</f>
        <v>0</v>
      </c>
      <c r="G260" s="82">
        <f>IF(Consultas!H260='Parâmetros'!$E$1,100,0)</f>
        <v>0</v>
      </c>
      <c r="H260" s="82">
        <f>IF(Consultas!I260='Parâmetros'!$E$1,-4,12)</f>
        <v>12</v>
      </c>
      <c r="I260" s="82">
        <f>IF(Consultas!J260='Parâmetros'!$E$1,1,-13)</f>
        <v>-13</v>
      </c>
      <c r="J260" s="82">
        <f>IF(Consultas!K260='Parâmetros'!$E$1,2,-5)</f>
        <v>-5</v>
      </c>
      <c r="K260" s="82" t="str">
        <f>IF(Consultas!L260='Parâmetros'!$D$1,"SOLIC CONTRATO DE ENTREGA","N/A")</f>
        <v>N/A</v>
      </c>
      <c r="L260" s="82">
        <f>IF(Consultas!R260='Parâmetros'!$E$1,1,-3)</f>
        <v>-3</v>
      </c>
      <c r="M260" s="82" t="b">
        <f>IF(Consultas!S260&gt;1,(IF(Consultas!S260='Parâmetros'!$E$1,-3,9)))</f>
        <v>0</v>
      </c>
      <c r="N260" s="82">
        <f>IF(Consultas!T260="S",23,0)</f>
        <v>0</v>
      </c>
      <c r="O260" s="82">
        <f>IF(Consultas!U260='Parâmetros'!$E$1,-3,3)</f>
        <v>3</v>
      </c>
      <c r="P260" s="82">
        <f>IF(Consultas!V260='Parâmetros'!$E$1,-100,2)</f>
        <v>2</v>
      </c>
      <c r="Q260" s="82">
        <f>IF(Consultas!M260='Parâmetros'!$D$1,2,-9)</f>
        <v>-9</v>
      </c>
      <c r="R260" s="82">
        <f>IF(Consultas!N260="RJ",-12,0)</f>
        <v>0</v>
      </c>
      <c r="S260" s="82">
        <f>IF(Consultas!O260="-",-3,IF(Consultas!O260=0,-6,IF(Consultas!O260=5,0,IF(Consultas!O260=10,6))))</f>
        <v>-6</v>
      </c>
      <c r="T260" s="82">
        <f>IF(Consultas!M260="S",0,(IF(Consultas!P260="S",6,0)))</f>
        <v>0</v>
      </c>
      <c r="U260" s="82">
        <f>IF(Consultas!Q260&gt;97,9,IF(Consultas!Q260&gt;75,0,-7))</f>
        <v>-7</v>
      </c>
      <c r="V260" s="82">
        <f>IF(Consultas!W260='Parâmetros'!$E$1,1,-5)</f>
        <v>-5</v>
      </c>
      <c r="W260" s="82">
        <f>IF(Consultas!X260="S",3,-3)</f>
        <v>-3</v>
      </c>
      <c r="X260" s="82">
        <f>IF(Consultas!Y260="S",0,-7)</f>
        <v>-7</v>
      </c>
      <c r="Y260" s="82">
        <f>IF(Consultas!Z260='Parâmetros'!$E$1,2,-8)</f>
        <v>-8</v>
      </c>
      <c r="Z260" s="82">
        <f>IF(Consultas!AA260='Parâmetros'!$E$1,-15,1)</f>
        <v>1</v>
      </c>
      <c r="AA260" s="147" t="s">
        <v>140</v>
      </c>
      <c r="AB260" s="82" t="str">
        <f>IF(E260="NA","NA",IF(E260&gt;'Parâmetros'!$A$9,8,IF(E260&gt;'Parâmetros'!$A$8,4,IF(E260&gt;'Parâmetros'!$A$7,0,-6))))</f>
        <v>NA</v>
      </c>
      <c r="AC260" s="82">
        <f>IF(Consultas!AC260='Parâmetros'!$E$1,0,5)</f>
        <v>5</v>
      </c>
      <c r="AD260" s="82">
        <f>IF(Consultas!AH260='Parâmetros'!$D$1,-10,5)</f>
        <v>5</v>
      </c>
      <c r="AE260" s="82">
        <f>IF(Consultas!AI260&gt;(Consultas!F260*2),-10,0)</f>
        <v>0</v>
      </c>
      <c r="AF260" s="82" t="b">
        <f>IF(Consultas!AD260&gt;1,(IF(Consultas!AI260&gt;(Consultas!AD260),-20,4)))</f>
        <v>0</v>
      </c>
      <c r="AG260" s="82">
        <f>IF(Consultas!AG260='Parâmetros'!$E$1,0,-6)</f>
        <v>-6</v>
      </c>
      <c r="AH260" s="82">
        <f>IF(Consultas!AF260='Parâmetros'!$E$1,1,-5)</f>
        <v>-5</v>
      </c>
      <c r="AI260" s="82">
        <f>IF(Consultas!AJ260&gt;700,8,IF(Consultas!AJ260&gt;500,4,IF(Consultas!AJ260&gt;200,-4,IF(Consultas!AJ260&gt;1,-15,-20))))</f>
        <v>-20</v>
      </c>
      <c r="AJ260" s="82">
        <f>IF(Consultas!AD260='Parâmetros'!$E$10,0,IF(Consultas!AD260&gt;'Parâmetros'!$A$30,12,IF(Consultas!AD260&gt;'Parâmetros'!$A$31,6,IF(Consultas!AD260&gt;'Parâmetros'!$A$32,0,IF(Consultas!AD260&gt;'Parâmetros'!$A$33,0,IF(Consultas!AD260&gt;'Parâmetros'!$A$34,-3,IF(Consultas!AD260&gt;'Parâmetros'!$A$35,-7,-1)))))))</f>
        <v>-1</v>
      </c>
      <c r="AK260" s="82">
        <f>IF(Consultas!AO260='Parâmetros'!$D$1,3,-3)</f>
        <v>-3</v>
      </c>
      <c r="AL260" s="82">
        <f>IF(Consultas!AP260='Parâmetros'!$D$1,5,-3)</f>
        <v>-3</v>
      </c>
      <c r="AM260" s="82">
        <f>IF(Consultas!AL260="N",-6,0)</f>
        <v>0</v>
      </c>
      <c r="AN260" s="82">
        <f>IF(Consultas!AM260="N",-10,0)</f>
        <v>0</v>
      </c>
      <c r="AO260" s="82">
        <f>IF(Consultas!AN260="S",4,-2)</f>
        <v>-2</v>
      </c>
      <c r="AP260" s="39"/>
      <c r="AQ260" s="165" t="str">
        <f>IF(Consultas!F260&gt;1,(SUM(F260:AO260)),"N/A")</f>
        <v>N/A</v>
      </c>
      <c r="AR260" s="78">
        <f>IF((Consultas!AD260&gt;'Parâmetros'!$A$31),"X",AJ260+Y260+V260+AC260)</f>
        <v>-9</v>
      </c>
      <c r="AS260" s="78">
        <f>IF((Consultas!AD260&gt;'Parâmetros'!$A$31),"X",(H260+I260+J260+Q260+T260+Y260+Z260+AJ260+AN260))</f>
        <v>-23</v>
      </c>
      <c r="AT260" s="78" t="str">
        <f>IF((Consultas!AD260&lt;'Parâmetros'!$A$31),"X",(AD260+AC260+AB260))</f>
        <v>X</v>
      </c>
      <c r="AU260" s="78">
        <f t="shared" si="1"/>
        <v>-23</v>
      </c>
      <c r="AV260" s="82" t="str">
        <f>IF(AQ260="N/A","N/A",IF(AQ260&gt;5,'Parâmetros'!$A$15,(IF(AU260=AR260,'Parâmetros'!$A$17,IF(AU260=AS260,'Parâmetros'!$A$16,'Parâmetros'!$A$14)))))</f>
        <v>N/A</v>
      </c>
      <c r="AW260" s="86" t="str">
        <f>IF(AQ260="N/A","N/A",IF(AV260='Parâmetros'!$A$15,'Parâmetros'!$C$15,(IF(AV260='Parâmetros'!$A$17,'Parâmetros'!$C$17,IF(AV260='Parâmetros'!$A$16,'Parâmetros'!$C$16,IF(AV260='Parâmetros'!$A$14,'Parâmetros'!$C$12))))))</f>
        <v>N/A</v>
      </c>
      <c r="AX260" s="82" t="b">
        <f>IF(Consultas!F260&gt;1,(IF(Consultas!F260&gt;5000,"SOLICITAR PED COMPRA","N/A")))</f>
        <v>0</v>
      </c>
      <c r="AY260" s="167" t="str">
        <f>IF(AND(Consultas!M260&lt;&gt;"S", Consultas!H260="S"), "CHECAGEM REVERSA", "N/A")</f>
        <v>N/A</v>
      </c>
      <c r="AZ260" s="167" t="str">
        <f>IF(Consultas!U260="N","PRECISA CORRIGIR END DIVERGENTE","N/A")</f>
        <v>N/A</v>
      </c>
    </row>
    <row r="261" ht="12.0" customHeight="1">
      <c r="A261" s="39" t="s">
        <v>90</v>
      </c>
      <c r="B261" s="82" t="str">
        <f>Consultas!B261</f>
        <v/>
      </c>
      <c r="C261" s="82" t="str">
        <f>Consultas!D261</f>
        <v/>
      </c>
      <c r="D261" s="96" t="str">
        <f>Consultas!E261</f>
        <v/>
      </c>
      <c r="E261" s="104" t="str">
        <f>IF(Consultas!AB261&gt;0,YEAR('Parâmetros'!$B$1)-YEAR(Consultas!AB261),"NA")</f>
        <v>NA</v>
      </c>
      <c r="F261" s="82">
        <f>IF(Consultas!F261&gt;'Parâmetros'!$B$2,-8,0)</f>
        <v>0</v>
      </c>
      <c r="G261" s="82">
        <f>IF(Consultas!H261='Parâmetros'!$E$1,100,0)</f>
        <v>0</v>
      </c>
      <c r="H261" s="82">
        <f>IF(Consultas!I261='Parâmetros'!$E$1,-4,12)</f>
        <v>12</v>
      </c>
      <c r="I261" s="82">
        <f>IF(Consultas!J261='Parâmetros'!$E$1,1,-13)</f>
        <v>-13</v>
      </c>
      <c r="J261" s="82">
        <f>IF(Consultas!K261='Parâmetros'!$E$1,2,-5)</f>
        <v>-5</v>
      </c>
      <c r="K261" s="82" t="str">
        <f>IF(Consultas!L261='Parâmetros'!$D$1,"SOLIC CONTRATO DE ENTREGA","N/A")</f>
        <v>N/A</v>
      </c>
      <c r="L261" s="82">
        <f>IF(Consultas!R261='Parâmetros'!$E$1,1,-3)</f>
        <v>-3</v>
      </c>
      <c r="M261" s="82" t="b">
        <f>IF(Consultas!S261&gt;1,(IF(Consultas!S261='Parâmetros'!$E$1,-3,9)))</f>
        <v>0</v>
      </c>
      <c r="N261" s="82">
        <f>IF(Consultas!T261="S",23,0)</f>
        <v>0</v>
      </c>
      <c r="O261" s="82">
        <f>IF(Consultas!U261='Parâmetros'!$E$1,-3,3)</f>
        <v>3</v>
      </c>
      <c r="P261" s="82">
        <f>IF(Consultas!V261='Parâmetros'!$E$1,-100,2)</f>
        <v>2</v>
      </c>
      <c r="Q261" s="82">
        <f>IF(Consultas!M261='Parâmetros'!$D$1,2,-9)</f>
        <v>-9</v>
      </c>
      <c r="R261" s="82">
        <f>IF(Consultas!N261="RJ",-12,0)</f>
        <v>0</v>
      </c>
      <c r="S261" s="82">
        <f>IF(Consultas!O261="-",-3,IF(Consultas!O261=0,-6,IF(Consultas!O261=5,0,IF(Consultas!O261=10,6))))</f>
        <v>-6</v>
      </c>
      <c r="T261" s="82">
        <f>IF(Consultas!M261="S",0,(IF(Consultas!P261="S",6,0)))</f>
        <v>0</v>
      </c>
      <c r="U261" s="82">
        <f>IF(Consultas!Q261&gt;97,9,IF(Consultas!Q261&gt;75,0,-7))</f>
        <v>-7</v>
      </c>
      <c r="V261" s="82">
        <f>IF(Consultas!W261='Parâmetros'!$E$1,1,-5)</f>
        <v>-5</v>
      </c>
      <c r="W261" s="82">
        <f>IF(Consultas!X261="S",3,-3)</f>
        <v>-3</v>
      </c>
      <c r="X261" s="82">
        <f>IF(Consultas!Y261="S",0,-7)</f>
        <v>-7</v>
      </c>
      <c r="Y261" s="82">
        <f>IF(Consultas!Z261='Parâmetros'!$E$1,2,-8)</f>
        <v>-8</v>
      </c>
      <c r="Z261" s="82">
        <f>IF(Consultas!AA261='Parâmetros'!$E$1,-15,1)</f>
        <v>1</v>
      </c>
      <c r="AA261" s="147" t="s">
        <v>140</v>
      </c>
      <c r="AB261" s="82" t="str">
        <f>IF(E261="NA","NA",IF(E261&gt;'Parâmetros'!$A$9,8,IF(E261&gt;'Parâmetros'!$A$8,4,IF(E261&gt;'Parâmetros'!$A$7,0,-6))))</f>
        <v>NA</v>
      </c>
      <c r="AC261" s="82">
        <f>IF(Consultas!AC261='Parâmetros'!$E$1,0,5)</f>
        <v>5</v>
      </c>
      <c r="AD261" s="82">
        <f>IF(Consultas!AH261='Parâmetros'!$D$1,-10,5)</f>
        <v>5</v>
      </c>
      <c r="AE261" s="82">
        <f>IF(Consultas!AI261&gt;(Consultas!F261*2),-10,0)</f>
        <v>0</v>
      </c>
      <c r="AF261" s="82" t="b">
        <f>IF(Consultas!AD261&gt;1,(IF(Consultas!AI261&gt;(Consultas!AD261),-20,4)))</f>
        <v>0</v>
      </c>
      <c r="AG261" s="82">
        <f>IF(Consultas!AG261='Parâmetros'!$E$1,0,-6)</f>
        <v>-6</v>
      </c>
      <c r="AH261" s="82">
        <f>IF(Consultas!AF261='Parâmetros'!$E$1,1,-5)</f>
        <v>-5</v>
      </c>
      <c r="AI261" s="82">
        <f>IF(Consultas!AJ261&gt;700,8,IF(Consultas!AJ261&gt;500,4,IF(Consultas!AJ261&gt;200,-4,IF(Consultas!AJ261&gt;1,-15,-20))))</f>
        <v>-20</v>
      </c>
      <c r="AJ261" s="82">
        <f>IF(Consultas!AD261='Parâmetros'!$E$10,0,IF(Consultas!AD261&gt;'Parâmetros'!$A$30,12,IF(Consultas!AD261&gt;'Parâmetros'!$A$31,6,IF(Consultas!AD261&gt;'Parâmetros'!$A$32,0,IF(Consultas!AD261&gt;'Parâmetros'!$A$33,0,IF(Consultas!AD261&gt;'Parâmetros'!$A$34,-3,IF(Consultas!AD261&gt;'Parâmetros'!$A$35,-7,-1)))))))</f>
        <v>-1</v>
      </c>
      <c r="AK261" s="82">
        <f>IF(Consultas!AO261='Parâmetros'!$D$1,3,-3)</f>
        <v>-3</v>
      </c>
      <c r="AL261" s="82">
        <f>IF(Consultas!AP261='Parâmetros'!$D$1,5,-3)</f>
        <v>-3</v>
      </c>
      <c r="AM261" s="82">
        <f>IF(Consultas!AL261="N",-6,0)</f>
        <v>0</v>
      </c>
      <c r="AN261" s="82">
        <f>IF(Consultas!AM261="N",-10,0)</f>
        <v>0</v>
      </c>
      <c r="AO261" s="82">
        <f>IF(Consultas!AN261="S",4,-2)</f>
        <v>-2</v>
      </c>
      <c r="AP261" s="39"/>
      <c r="AQ261" s="165" t="str">
        <f>IF(Consultas!F261&gt;1,(SUM(F261:AO261)),"N/A")</f>
        <v>N/A</v>
      </c>
      <c r="AR261" s="78">
        <f>IF((Consultas!AD261&gt;'Parâmetros'!$A$31),"X",AJ261+Y261+V261+AC261)</f>
        <v>-9</v>
      </c>
      <c r="AS261" s="78">
        <f>IF((Consultas!AD261&gt;'Parâmetros'!$A$31),"X",(H261+I261+J261+Q261+T261+Y261+Z261+AJ261+AN261))</f>
        <v>-23</v>
      </c>
      <c r="AT261" s="78" t="str">
        <f>IF((Consultas!AD261&lt;'Parâmetros'!$A$31),"X",(AD261+AC261+AB261))</f>
        <v>X</v>
      </c>
      <c r="AU261" s="78">
        <f t="shared" si="1"/>
        <v>-23</v>
      </c>
      <c r="AV261" s="82" t="str">
        <f>IF(AQ261="N/A","N/A",IF(AQ261&gt;5,'Parâmetros'!$A$15,(IF(AU261=AR261,'Parâmetros'!$A$17,IF(AU261=AS261,'Parâmetros'!$A$16,'Parâmetros'!$A$14)))))</f>
        <v>N/A</v>
      </c>
      <c r="AW261" s="86" t="str">
        <f>IF(AQ261="N/A","N/A",IF(AV261='Parâmetros'!$A$15,'Parâmetros'!$C$15,(IF(AV261='Parâmetros'!$A$17,'Parâmetros'!$C$17,IF(AV261='Parâmetros'!$A$16,'Parâmetros'!$C$16,IF(AV261='Parâmetros'!$A$14,'Parâmetros'!$C$12))))))</f>
        <v>N/A</v>
      </c>
      <c r="AX261" s="82" t="b">
        <f>IF(Consultas!F261&gt;1,(IF(Consultas!F261&gt;5000,"SOLICITAR PED COMPRA","N/A")))</f>
        <v>0</v>
      </c>
      <c r="AY261" s="167" t="str">
        <f>IF(AND(Consultas!M261&lt;&gt;"S", Consultas!H261="S"), "CHECAGEM REVERSA", "N/A")</f>
        <v>N/A</v>
      </c>
      <c r="AZ261" s="167" t="str">
        <f>IF(Consultas!U261="N","PRECISA CORRIGIR END DIVERGENTE","N/A")</f>
        <v>N/A</v>
      </c>
    </row>
    <row r="262" ht="12.0" customHeight="1">
      <c r="A262" s="39" t="s">
        <v>90</v>
      </c>
      <c r="B262" s="82" t="str">
        <f>Consultas!B262</f>
        <v/>
      </c>
      <c r="C262" s="82" t="str">
        <f>Consultas!D262</f>
        <v/>
      </c>
      <c r="D262" s="96" t="str">
        <f>Consultas!E262</f>
        <v/>
      </c>
      <c r="E262" s="104" t="str">
        <f>IF(Consultas!AB262&gt;0,YEAR('Parâmetros'!$B$1)-YEAR(Consultas!AB262),"NA")</f>
        <v>NA</v>
      </c>
      <c r="F262" s="82">
        <f>IF(Consultas!F262&gt;'Parâmetros'!$B$2,-8,0)</f>
        <v>0</v>
      </c>
      <c r="G262" s="82">
        <f>IF(Consultas!H262='Parâmetros'!$E$1,100,0)</f>
        <v>0</v>
      </c>
      <c r="H262" s="82">
        <f>IF(Consultas!I262='Parâmetros'!$E$1,-4,12)</f>
        <v>12</v>
      </c>
      <c r="I262" s="82">
        <f>IF(Consultas!J262='Parâmetros'!$E$1,1,-13)</f>
        <v>-13</v>
      </c>
      <c r="J262" s="82">
        <f>IF(Consultas!K262='Parâmetros'!$E$1,2,-5)</f>
        <v>-5</v>
      </c>
      <c r="K262" s="82" t="str">
        <f>IF(Consultas!L262='Parâmetros'!$D$1,"SOLIC CONTRATO DE ENTREGA","N/A")</f>
        <v>N/A</v>
      </c>
      <c r="L262" s="82">
        <f>IF(Consultas!R262='Parâmetros'!$E$1,1,-3)</f>
        <v>-3</v>
      </c>
      <c r="M262" s="82" t="b">
        <f>IF(Consultas!S262&gt;1,(IF(Consultas!S262='Parâmetros'!$E$1,-3,9)))</f>
        <v>0</v>
      </c>
      <c r="N262" s="82">
        <f>IF(Consultas!T262="S",23,0)</f>
        <v>0</v>
      </c>
      <c r="O262" s="82">
        <f>IF(Consultas!U262='Parâmetros'!$E$1,-3,3)</f>
        <v>3</v>
      </c>
      <c r="P262" s="82">
        <f>IF(Consultas!V262='Parâmetros'!$E$1,-100,2)</f>
        <v>2</v>
      </c>
      <c r="Q262" s="82">
        <f>IF(Consultas!M262='Parâmetros'!$D$1,2,-9)</f>
        <v>-9</v>
      </c>
      <c r="R262" s="82">
        <f>IF(Consultas!N262="RJ",-12,0)</f>
        <v>0</v>
      </c>
      <c r="S262" s="82">
        <f>IF(Consultas!O262="-",-3,IF(Consultas!O262=0,-6,IF(Consultas!O262=5,0,IF(Consultas!O262=10,6))))</f>
        <v>-6</v>
      </c>
      <c r="T262" s="82">
        <f>IF(Consultas!M262="S",0,(IF(Consultas!P262="S",6,0)))</f>
        <v>0</v>
      </c>
      <c r="U262" s="82">
        <f>IF(Consultas!Q262&gt;97,9,IF(Consultas!Q262&gt;75,0,-7))</f>
        <v>-7</v>
      </c>
      <c r="V262" s="82">
        <f>IF(Consultas!W262='Parâmetros'!$E$1,1,-5)</f>
        <v>-5</v>
      </c>
      <c r="W262" s="82">
        <f>IF(Consultas!X262="S",3,-3)</f>
        <v>-3</v>
      </c>
      <c r="X262" s="82">
        <f>IF(Consultas!Y262="S",0,-7)</f>
        <v>-7</v>
      </c>
      <c r="Y262" s="82">
        <f>IF(Consultas!Z262='Parâmetros'!$E$1,2,-8)</f>
        <v>-8</v>
      </c>
      <c r="Z262" s="82">
        <f>IF(Consultas!AA262='Parâmetros'!$E$1,-15,1)</f>
        <v>1</v>
      </c>
      <c r="AA262" s="147" t="s">
        <v>140</v>
      </c>
      <c r="AB262" s="82" t="str">
        <f>IF(E262="NA","NA",IF(E262&gt;'Parâmetros'!$A$9,8,IF(E262&gt;'Parâmetros'!$A$8,4,IF(E262&gt;'Parâmetros'!$A$7,0,-6))))</f>
        <v>NA</v>
      </c>
      <c r="AC262" s="82">
        <f>IF(Consultas!AC262='Parâmetros'!$E$1,0,5)</f>
        <v>5</v>
      </c>
      <c r="AD262" s="82">
        <f>IF(Consultas!AH262='Parâmetros'!$D$1,-10,5)</f>
        <v>5</v>
      </c>
      <c r="AE262" s="82">
        <f>IF(Consultas!AI262&gt;(Consultas!F262*2),-10,0)</f>
        <v>0</v>
      </c>
      <c r="AF262" s="82" t="b">
        <f>IF(Consultas!AD262&gt;1,(IF(Consultas!AI262&gt;(Consultas!AD262),-20,4)))</f>
        <v>0</v>
      </c>
      <c r="AG262" s="82">
        <f>IF(Consultas!AG262='Parâmetros'!$E$1,0,-6)</f>
        <v>-6</v>
      </c>
      <c r="AH262" s="82">
        <f>IF(Consultas!AF262='Parâmetros'!$E$1,1,-5)</f>
        <v>-5</v>
      </c>
      <c r="AI262" s="82">
        <f>IF(Consultas!AJ262&gt;700,8,IF(Consultas!AJ262&gt;500,4,IF(Consultas!AJ262&gt;200,-4,IF(Consultas!AJ262&gt;1,-15,-20))))</f>
        <v>-20</v>
      </c>
      <c r="AJ262" s="82">
        <f>IF(Consultas!AD262='Parâmetros'!$E$10,0,IF(Consultas!AD262&gt;'Parâmetros'!$A$30,12,IF(Consultas!AD262&gt;'Parâmetros'!$A$31,6,IF(Consultas!AD262&gt;'Parâmetros'!$A$32,0,IF(Consultas!AD262&gt;'Parâmetros'!$A$33,0,IF(Consultas!AD262&gt;'Parâmetros'!$A$34,-3,IF(Consultas!AD262&gt;'Parâmetros'!$A$35,-7,-1)))))))</f>
        <v>-1</v>
      </c>
      <c r="AK262" s="82">
        <f>IF(Consultas!AO262='Parâmetros'!$D$1,3,-3)</f>
        <v>-3</v>
      </c>
      <c r="AL262" s="82">
        <f>IF(Consultas!AP262='Parâmetros'!$D$1,5,-3)</f>
        <v>-3</v>
      </c>
      <c r="AM262" s="82">
        <f>IF(Consultas!AL262="N",-6,0)</f>
        <v>0</v>
      </c>
      <c r="AN262" s="82">
        <f>IF(Consultas!AM262="N",-10,0)</f>
        <v>0</v>
      </c>
      <c r="AO262" s="82">
        <f>IF(Consultas!AN262="S",4,-2)</f>
        <v>-2</v>
      </c>
      <c r="AP262" s="39"/>
      <c r="AQ262" s="165" t="str">
        <f>IF(Consultas!F262&gt;1,(SUM(F262:AO262)),"N/A")</f>
        <v>N/A</v>
      </c>
      <c r="AR262" s="78">
        <f>IF((Consultas!AD262&gt;'Parâmetros'!$A$31),"X",AJ262+Y262+V262+AC262)</f>
        <v>-9</v>
      </c>
      <c r="AS262" s="78">
        <f>IF((Consultas!AD262&gt;'Parâmetros'!$A$31),"X",(H262+I262+J262+Q262+T262+Y262+Z262+AJ262+AN262))</f>
        <v>-23</v>
      </c>
      <c r="AT262" s="78" t="str">
        <f>IF((Consultas!AD262&lt;'Parâmetros'!$A$31),"X",(AD262+AC262+AB262))</f>
        <v>X</v>
      </c>
      <c r="AU262" s="78">
        <f t="shared" si="1"/>
        <v>-23</v>
      </c>
      <c r="AV262" s="82" t="str">
        <f>IF(AQ262="N/A","N/A",IF(AQ262&gt;5,'Parâmetros'!$A$15,(IF(AU262=AR262,'Parâmetros'!$A$17,IF(AU262=AS262,'Parâmetros'!$A$16,'Parâmetros'!$A$14)))))</f>
        <v>N/A</v>
      </c>
      <c r="AW262" s="86" t="str">
        <f>IF(AQ262="N/A","N/A",IF(AV262='Parâmetros'!$A$15,'Parâmetros'!$C$15,(IF(AV262='Parâmetros'!$A$17,'Parâmetros'!$C$17,IF(AV262='Parâmetros'!$A$16,'Parâmetros'!$C$16,IF(AV262='Parâmetros'!$A$14,'Parâmetros'!$C$12))))))</f>
        <v>N/A</v>
      </c>
      <c r="AX262" s="82" t="b">
        <f>IF(Consultas!F262&gt;1,(IF(Consultas!F262&gt;5000,"SOLICITAR PED COMPRA","N/A")))</f>
        <v>0</v>
      </c>
      <c r="AY262" s="167" t="str">
        <f>IF(AND(Consultas!M262&lt;&gt;"S", Consultas!H262="S"), "CHECAGEM REVERSA", "N/A")</f>
        <v>N/A</v>
      </c>
      <c r="AZ262" s="167" t="str">
        <f>IF(Consultas!U262="N","PRECISA CORRIGIR END DIVERGENTE","N/A")</f>
        <v>N/A</v>
      </c>
    </row>
    <row r="263" ht="12.0" customHeight="1">
      <c r="A263" s="39" t="s">
        <v>90</v>
      </c>
      <c r="B263" s="82" t="str">
        <f>Consultas!B263</f>
        <v/>
      </c>
      <c r="C263" s="82" t="str">
        <f>Consultas!D263</f>
        <v/>
      </c>
      <c r="D263" s="96" t="str">
        <f>Consultas!E263</f>
        <v/>
      </c>
      <c r="E263" s="104" t="str">
        <f>IF(Consultas!AB263&gt;0,YEAR('Parâmetros'!$B$1)-YEAR(Consultas!AB263),"NA")</f>
        <v>NA</v>
      </c>
      <c r="F263" s="82">
        <f>IF(Consultas!F263&gt;'Parâmetros'!$B$2,-8,0)</f>
        <v>0</v>
      </c>
      <c r="G263" s="82">
        <f>IF(Consultas!H263='Parâmetros'!$E$1,100,0)</f>
        <v>0</v>
      </c>
      <c r="H263" s="82">
        <f>IF(Consultas!I263='Parâmetros'!$E$1,-4,12)</f>
        <v>12</v>
      </c>
      <c r="I263" s="82">
        <f>IF(Consultas!J263='Parâmetros'!$E$1,1,-13)</f>
        <v>-13</v>
      </c>
      <c r="J263" s="82">
        <f>IF(Consultas!K263='Parâmetros'!$E$1,2,-5)</f>
        <v>-5</v>
      </c>
      <c r="K263" s="82" t="str">
        <f>IF(Consultas!L263='Parâmetros'!$D$1,"SOLIC CONTRATO DE ENTREGA","N/A")</f>
        <v>N/A</v>
      </c>
      <c r="L263" s="82">
        <f>IF(Consultas!R263='Parâmetros'!$E$1,1,-3)</f>
        <v>-3</v>
      </c>
      <c r="M263" s="82" t="b">
        <f>IF(Consultas!S263&gt;1,(IF(Consultas!S263='Parâmetros'!$E$1,-3,9)))</f>
        <v>0</v>
      </c>
      <c r="N263" s="82">
        <f>IF(Consultas!T263="S",23,0)</f>
        <v>0</v>
      </c>
      <c r="O263" s="82">
        <f>IF(Consultas!U263='Parâmetros'!$E$1,-3,3)</f>
        <v>3</v>
      </c>
      <c r="P263" s="82">
        <f>IF(Consultas!V263='Parâmetros'!$E$1,-100,2)</f>
        <v>2</v>
      </c>
      <c r="Q263" s="82">
        <f>IF(Consultas!M263='Parâmetros'!$D$1,2,-9)</f>
        <v>-9</v>
      </c>
      <c r="R263" s="82">
        <f>IF(Consultas!N263="RJ",-12,0)</f>
        <v>0</v>
      </c>
      <c r="S263" s="82">
        <f>IF(Consultas!O263="-",-3,IF(Consultas!O263=0,-6,IF(Consultas!O263=5,0,IF(Consultas!O263=10,6))))</f>
        <v>-6</v>
      </c>
      <c r="T263" s="82">
        <f>IF(Consultas!M263="S",0,(IF(Consultas!P263="S",6,0)))</f>
        <v>0</v>
      </c>
      <c r="U263" s="82">
        <f>IF(Consultas!Q263&gt;97,9,IF(Consultas!Q263&gt;75,0,-7))</f>
        <v>-7</v>
      </c>
      <c r="V263" s="82">
        <f>IF(Consultas!W263='Parâmetros'!$E$1,1,-5)</f>
        <v>-5</v>
      </c>
      <c r="W263" s="82">
        <f>IF(Consultas!X263="S",3,-3)</f>
        <v>-3</v>
      </c>
      <c r="X263" s="82">
        <f>IF(Consultas!Y263="S",0,-7)</f>
        <v>-7</v>
      </c>
      <c r="Y263" s="82">
        <f>IF(Consultas!Z263='Parâmetros'!$E$1,2,-8)</f>
        <v>-8</v>
      </c>
      <c r="Z263" s="82">
        <f>IF(Consultas!AA263='Parâmetros'!$E$1,-15,1)</f>
        <v>1</v>
      </c>
      <c r="AA263" s="147" t="s">
        <v>140</v>
      </c>
      <c r="AB263" s="82" t="str">
        <f>IF(E263="NA","NA",IF(E263&gt;'Parâmetros'!$A$9,8,IF(E263&gt;'Parâmetros'!$A$8,4,IF(E263&gt;'Parâmetros'!$A$7,0,-6))))</f>
        <v>NA</v>
      </c>
      <c r="AC263" s="82">
        <f>IF(Consultas!AC263='Parâmetros'!$E$1,0,5)</f>
        <v>5</v>
      </c>
      <c r="AD263" s="82">
        <f>IF(Consultas!AH263='Parâmetros'!$D$1,-10,5)</f>
        <v>5</v>
      </c>
      <c r="AE263" s="82">
        <f>IF(Consultas!AI263&gt;(Consultas!F263*2),-10,0)</f>
        <v>0</v>
      </c>
      <c r="AF263" s="82" t="b">
        <f>IF(Consultas!AD263&gt;1,(IF(Consultas!AI263&gt;(Consultas!AD263),-20,4)))</f>
        <v>0</v>
      </c>
      <c r="AG263" s="82">
        <f>IF(Consultas!AG263='Parâmetros'!$E$1,0,-6)</f>
        <v>-6</v>
      </c>
      <c r="AH263" s="82">
        <f>IF(Consultas!AF263='Parâmetros'!$E$1,1,-5)</f>
        <v>-5</v>
      </c>
      <c r="AI263" s="82">
        <f>IF(Consultas!AJ263&gt;700,8,IF(Consultas!AJ263&gt;500,4,IF(Consultas!AJ263&gt;200,-4,IF(Consultas!AJ263&gt;1,-15,-20))))</f>
        <v>-20</v>
      </c>
      <c r="AJ263" s="82">
        <f>IF(Consultas!AD263='Parâmetros'!$E$10,0,IF(Consultas!AD263&gt;'Parâmetros'!$A$30,12,IF(Consultas!AD263&gt;'Parâmetros'!$A$31,6,IF(Consultas!AD263&gt;'Parâmetros'!$A$32,0,IF(Consultas!AD263&gt;'Parâmetros'!$A$33,0,IF(Consultas!AD263&gt;'Parâmetros'!$A$34,-3,IF(Consultas!AD263&gt;'Parâmetros'!$A$35,-7,-1)))))))</f>
        <v>-1</v>
      </c>
      <c r="AK263" s="82">
        <f>IF(Consultas!AO263='Parâmetros'!$D$1,3,-3)</f>
        <v>-3</v>
      </c>
      <c r="AL263" s="82">
        <f>IF(Consultas!AP263='Parâmetros'!$D$1,5,-3)</f>
        <v>-3</v>
      </c>
      <c r="AM263" s="82">
        <f>IF(Consultas!AL263="N",-6,0)</f>
        <v>0</v>
      </c>
      <c r="AN263" s="82">
        <f>IF(Consultas!AM263="N",-10,0)</f>
        <v>0</v>
      </c>
      <c r="AO263" s="82">
        <f>IF(Consultas!AN263="S",4,-2)</f>
        <v>-2</v>
      </c>
      <c r="AP263" s="39"/>
      <c r="AQ263" s="165" t="str">
        <f>IF(Consultas!F263&gt;1,(SUM(F263:AO263)),"N/A")</f>
        <v>N/A</v>
      </c>
      <c r="AR263" s="78">
        <f>IF((Consultas!AD263&gt;'Parâmetros'!$A$31),"X",AJ263+Y263+V263+AC263)</f>
        <v>-9</v>
      </c>
      <c r="AS263" s="78">
        <f>IF((Consultas!AD263&gt;'Parâmetros'!$A$31),"X",(H263+I263+J263+Q263+T263+Y263+Z263+AJ263+AN263))</f>
        <v>-23</v>
      </c>
      <c r="AT263" s="78" t="str">
        <f>IF((Consultas!AD263&lt;'Parâmetros'!$A$31),"X",(AD263+AC263+AB263))</f>
        <v>X</v>
      </c>
      <c r="AU263" s="78">
        <f t="shared" si="1"/>
        <v>-23</v>
      </c>
      <c r="AV263" s="82" t="str">
        <f>IF(AQ263="N/A","N/A",IF(AQ263&gt;5,'Parâmetros'!$A$15,(IF(AU263=AR263,'Parâmetros'!$A$17,IF(AU263=AS263,'Parâmetros'!$A$16,'Parâmetros'!$A$14)))))</f>
        <v>N/A</v>
      </c>
      <c r="AW263" s="86" t="str">
        <f>IF(AQ263="N/A","N/A",IF(AV263='Parâmetros'!$A$15,'Parâmetros'!$C$15,(IF(AV263='Parâmetros'!$A$17,'Parâmetros'!$C$17,IF(AV263='Parâmetros'!$A$16,'Parâmetros'!$C$16,IF(AV263='Parâmetros'!$A$14,'Parâmetros'!$C$12))))))</f>
        <v>N/A</v>
      </c>
      <c r="AX263" s="82" t="b">
        <f>IF(Consultas!F263&gt;1,(IF(Consultas!F263&gt;5000,"SOLICITAR PED COMPRA","N/A")))</f>
        <v>0</v>
      </c>
      <c r="AY263" s="167" t="str">
        <f>IF(AND(Consultas!M263&lt;&gt;"S", Consultas!H263="S"), "CHECAGEM REVERSA", "N/A")</f>
        <v>N/A</v>
      </c>
      <c r="AZ263" s="167" t="str">
        <f>IF(Consultas!U263="N","PRECISA CORRIGIR END DIVERGENTE","N/A")</f>
        <v>N/A</v>
      </c>
    </row>
    <row r="264" ht="12.0" customHeight="1">
      <c r="A264" s="39" t="s">
        <v>90</v>
      </c>
      <c r="B264" s="82" t="str">
        <f>Consultas!B264</f>
        <v/>
      </c>
      <c r="C264" s="82" t="str">
        <f>Consultas!D264</f>
        <v/>
      </c>
      <c r="D264" s="96" t="str">
        <f>Consultas!E264</f>
        <v/>
      </c>
      <c r="E264" s="104" t="str">
        <f>IF(Consultas!AB264&gt;0,YEAR('Parâmetros'!$B$1)-YEAR(Consultas!AB264),"NA")</f>
        <v>NA</v>
      </c>
      <c r="F264" s="82">
        <f>IF(Consultas!F264&gt;'Parâmetros'!$B$2,-8,0)</f>
        <v>0</v>
      </c>
      <c r="G264" s="82">
        <f>IF(Consultas!H264='Parâmetros'!$E$1,100,0)</f>
        <v>0</v>
      </c>
      <c r="H264" s="82">
        <f>IF(Consultas!I264='Parâmetros'!$E$1,-4,12)</f>
        <v>12</v>
      </c>
      <c r="I264" s="82">
        <f>IF(Consultas!J264='Parâmetros'!$E$1,1,-13)</f>
        <v>-13</v>
      </c>
      <c r="J264" s="82">
        <f>IF(Consultas!K264='Parâmetros'!$E$1,2,-5)</f>
        <v>-5</v>
      </c>
      <c r="K264" s="82" t="str">
        <f>IF(Consultas!L264='Parâmetros'!$D$1,"SOLIC CONTRATO DE ENTREGA","N/A")</f>
        <v>N/A</v>
      </c>
      <c r="L264" s="82">
        <f>IF(Consultas!R264='Parâmetros'!$E$1,1,-3)</f>
        <v>-3</v>
      </c>
      <c r="M264" s="82" t="b">
        <f>IF(Consultas!S264&gt;1,(IF(Consultas!S264='Parâmetros'!$E$1,-3,9)))</f>
        <v>0</v>
      </c>
      <c r="N264" s="82">
        <f>IF(Consultas!T264="S",23,0)</f>
        <v>0</v>
      </c>
      <c r="O264" s="82">
        <f>IF(Consultas!U264='Parâmetros'!$E$1,-3,3)</f>
        <v>3</v>
      </c>
      <c r="P264" s="82">
        <f>IF(Consultas!V264='Parâmetros'!$E$1,-100,2)</f>
        <v>2</v>
      </c>
      <c r="Q264" s="82">
        <f>IF(Consultas!M264='Parâmetros'!$D$1,2,-9)</f>
        <v>-9</v>
      </c>
      <c r="R264" s="82">
        <f>IF(Consultas!N264="RJ",-12,0)</f>
        <v>0</v>
      </c>
      <c r="S264" s="82">
        <f>IF(Consultas!O264="-",-3,IF(Consultas!O264=0,-6,IF(Consultas!O264=5,0,IF(Consultas!O264=10,6))))</f>
        <v>-6</v>
      </c>
      <c r="T264" s="82">
        <f>IF(Consultas!M264="S",0,(IF(Consultas!P264="S",6,0)))</f>
        <v>0</v>
      </c>
      <c r="U264" s="82">
        <f>IF(Consultas!Q264&gt;97,9,IF(Consultas!Q264&gt;75,0,-7))</f>
        <v>-7</v>
      </c>
      <c r="V264" s="82">
        <f>IF(Consultas!W264='Parâmetros'!$E$1,1,-5)</f>
        <v>-5</v>
      </c>
      <c r="W264" s="82">
        <f>IF(Consultas!X264="S",3,-3)</f>
        <v>-3</v>
      </c>
      <c r="X264" s="82">
        <f>IF(Consultas!Y264="S",0,-7)</f>
        <v>-7</v>
      </c>
      <c r="Y264" s="82">
        <f>IF(Consultas!Z264='Parâmetros'!$E$1,2,-8)</f>
        <v>-8</v>
      </c>
      <c r="Z264" s="82">
        <f>IF(Consultas!AA264='Parâmetros'!$E$1,-15,1)</f>
        <v>1</v>
      </c>
      <c r="AA264" s="147" t="s">
        <v>140</v>
      </c>
      <c r="AB264" s="82" t="str">
        <f>IF(E264="NA","NA",IF(E264&gt;'Parâmetros'!$A$9,8,IF(E264&gt;'Parâmetros'!$A$8,4,IF(E264&gt;'Parâmetros'!$A$7,0,-6))))</f>
        <v>NA</v>
      </c>
      <c r="AC264" s="82">
        <f>IF(Consultas!AC264='Parâmetros'!$E$1,0,5)</f>
        <v>5</v>
      </c>
      <c r="AD264" s="82">
        <f>IF(Consultas!AH264='Parâmetros'!$D$1,-10,5)</f>
        <v>5</v>
      </c>
      <c r="AE264" s="82">
        <f>IF(Consultas!AI264&gt;(Consultas!F264*2),-10,0)</f>
        <v>0</v>
      </c>
      <c r="AF264" s="82" t="b">
        <f>IF(Consultas!AD264&gt;1,(IF(Consultas!AI264&gt;(Consultas!AD264),-20,4)))</f>
        <v>0</v>
      </c>
      <c r="AG264" s="82">
        <f>IF(Consultas!AG264='Parâmetros'!$E$1,0,-6)</f>
        <v>-6</v>
      </c>
      <c r="AH264" s="82">
        <f>IF(Consultas!AF264='Parâmetros'!$E$1,1,-5)</f>
        <v>-5</v>
      </c>
      <c r="AI264" s="82">
        <f>IF(Consultas!AJ264&gt;700,8,IF(Consultas!AJ264&gt;500,4,IF(Consultas!AJ264&gt;200,-4,IF(Consultas!AJ264&gt;1,-15,-20))))</f>
        <v>-20</v>
      </c>
      <c r="AJ264" s="82">
        <f>IF(Consultas!AD264='Parâmetros'!$E$10,0,IF(Consultas!AD264&gt;'Parâmetros'!$A$30,12,IF(Consultas!AD264&gt;'Parâmetros'!$A$31,6,IF(Consultas!AD264&gt;'Parâmetros'!$A$32,0,IF(Consultas!AD264&gt;'Parâmetros'!$A$33,0,IF(Consultas!AD264&gt;'Parâmetros'!$A$34,-3,IF(Consultas!AD264&gt;'Parâmetros'!$A$35,-7,-1)))))))</f>
        <v>-1</v>
      </c>
      <c r="AK264" s="82">
        <f>IF(Consultas!AO264='Parâmetros'!$D$1,3,-3)</f>
        <v>-3</v>
      </c>
      <c r="AL264" s="82">
        <f>IF(Consultas!AP264='Parâmetros'!$D$1,5,-3)</f>
        <v>-3</v>
      </c>
      <c r="AM264" s="82">
        <f>IF(Consultas!AL264="N",-6,0)</f>
        <v>0</v>
      </c>
      <c r="AN264" s="82">
        <f>IF(Consultas!AM264="N",-10,0)</f>
        <v>0</v>
      </c>
      <c r="AO264" s="82">
        <f>IF(Consultas!AN264="S",4,-2)</f>
        <v>-2</v>
      </c>
      <c r="AP264" s="39"/>
      <c r="AQ264" s="165" t="str">
        <f>IF(Consultas!F264&gt;1,(SUM(F264:AO264)),"N/A")</f>
        <v>N/A</v>
      </c>
      <c r="AR264" s="78">
        <f>IF((Consultas!AD264&gt;'Parâmetros'!$A$31),"X",AJ264+Y264+V264+AC264)</f>
        <v>-9</v>
      </c>
      <c r="AS264" s="78">
        <f>IF((Consultas!AD264&gt;'Parâmetros'!$A$31),"X",(H264+I264+J264+Q264+T264+Y264+Z264+AJ264+AN264))</f>
        <v>-23</v>
      </c>
      <c r="AT264" s="78" t="str">
        <f>IF((Consultas!AD264&lt;'Parâmetros'!$A$31),"X",(AD264+AC264+AB264))</f>
        <v>X</v>
      </c>
      <c r="AU264" s="78">
        <f t="shared" si="1"/>
        <v>-23</v>
      </c>
      <c r="AV264" s="82" t="str">
        <f>IF(AQ264="N/A","N/A",IF(AQ264&gt;5,'Parâmetros'!$A$15,(IF(AU264=AR264,'Parâmetros'!$A$17,IF(AU264=AS264,'Parâmetros'!$A$16,'Parâmetros'!$A$14)))))</f>
        <v>N/A</v>
      </c>
      <c r="AW264" s="86" t="str">
        <f>IF(AQ264="N/A","N/A",IF(AV264='Parâmetros'!$A$15,'Parâmetros'!$C$15,(IF(AV264='Parâmetros'!$A$17,'Parâmetros'!$C$17,IF(AV264='Parâmetros'!$A$16,'Parâmetros'!$C$16,IF(AV264='Parâmetros'!$A$14,'Parâmetros'!$C$12))))))</f>
        <v>N/A</v>
      </c>
      <c r="AX264" s="82" t="b">
        <f>IF(Consultas!F264&gt;1,(IF(Consultas!F264&gt;5000,"SOLICITAR PED COMPRA","N/A")))</f>
        <v>0</v>
      </c>
      <c r="AY264" s="167" t="str">
        <f>IF(AND(Consultas!M264&lt;&gt;"S", Consultas!H264="S"), "CHECAGEM REVERSA", "N/A")</f>
        <v>N/A</v>
      </c>
      <c r="AZ264" s="167" t="str">
        <f>IF(Consultas!U264="N","PRECISA CORRIGIR END DIVERGENTE","N/A")</f>
        <v>N/A</v>
      </c>
    </row>
    <row r="265" ht="12.0" customHeight="1">
      <c r="A265" s="39" t="s">
        <v>90</v>
      </c>
      <c r="B265" s="82" t="str">
        <f>Consultas!B265</f>
        <v/>
      </c>
      <c r="C265" s="82" t="str">
        <f>Consultas!D265</f>
        <v/>
      </c>
      <c r="D265" s="96" t="str">
        <f>Consultas!E265</f>
        <v/>
      </c>
      <c r="E265" s="104" t="str">
        <f>IF(Consultas!AB265&gt;0,YEAR('Parâmetros'!$B$1)-YEAR(Consultas!AB265),"NA")</f>
        <v>NA</v>
      </c>
      <c r="F265" s="82">
        <f>IF(Consultas!F265&gt;'Parâmetros'!$B$2,-8,0)</f>
        <v>0</v>
      </c>
      <c r="G265" s="82">
        <f>IF(Consultas!H265='Parâmetros'!$E$1,100,0)</f>
        <v>0</v>
      </c>
      <c r="H265" s="82">
        <f>IF(Consultas!I265='Parâmetros'!$E$1,-4,12)</f>
        <v>12</v>
      </c>
      <c r="I265" s="82">
        <f>IF(Consultas!J265='Parâmetros'!$E$1,1,-13)</f>
        <v>-13</v>
      </c>
      <c r="J265" s="82">
        <f>IF(Consultas!K265='Parâmetros'!$E$1,2,-5)</f>
        <v>-5</v>
      </c>
      <c r="K265" s="82" t="str">
        <f>IF(Consultas!L265='Parâmetros'!$D$1,"SOLIC CONTRATO DE ENTREGA","N/A")</f>
        <v>N/A</v>
      </c>
      <c r="L265" s="82">
        <f>IF(Consultas!R265='Parâmetros'!$E$1,1,-3)</f>
        <v>-3</v>
      </c>
      <c r="M265" s="82" t="b">
        <f>IF(Consultas!S265&gt;1,(IF(Consultas!S265='Parâmetros'!$E$1,-3,9)))</f>
        <v>0</v>
      </c>
      <c r="N265" s="82">
        <f>IF(Consultas!T265="S",23,0)</f>
        <v>0</v>
      </c>
      <c r="O265" s="82">
        <f>IF(Consultas!U265='Parâmetros'!$E$1,-3,3)</f>
        <v>3</v>
      </c>
      <c r="P265" s="82">
        <f>IF(Consultas!V265='Parâmetros'!$E$1,-100,2)</f>
        <v>2</v>
      </c>
      <c r="Q265" s="82">
        <f>IF(Consultas!M265='Parâmetros'!$D$1,2,-9)</f>
        <v>-9</v>
      </c>
      <c r="R265" s="82">
        <f>IF(Consultas!N265="RJ",-12,0)</f>
        <v>0</v>
      </c>
      <c r="S265" s="82">
        <f>IF(Consultas!O265="-",-3,IF(Consultas!O265=0,-6,IF(Consultas!O265=5,0,IF(Consultas!O265=10,6))))</f>
        <v>-6</v>
      </c>
      <c r="T265" s="82">
        <f>IF(Consultas!M265="S",0,(IF(Consultas!P265="S",6,0)))</f>
        <v>0</v>
      </c>
      <c r="U265" s="82">
        <f>IF(Consultas!Q265&gt;97,9,IF(Consultas!Q265&gt;75,0,-7))</f>
        <v>-7</v>
      </c>
      <c r="V265" s="82">
        <f>IF(Consultas!W265='Parâmetros'!$E$1,1,-5)</f>
        <v>-5</v>
      </c>
      <c r="W265" s="82">
        <f>IF(Consultas!X265="S",3,-3)</f>
        <v>-3</v>
      </c>
      <c r="X265" s="82">
        <f>IF(Consultas!Y265="S",0,-7)</f>
        <v>-7</v>
      </c>
      <c r="Y265" s="82">
        <f>IF(Consultas!Z265='Parâmetros'!$E$1,2,-8)</f>
        <v>-8</v>
      </c>
      <c r="Z265" s="82">
        <f>IF(Consultas!AA265='Parâmetros'!$E$1,-15,1)</f>
        <v>1</v>
      </c>
      <c r="AA265" s="147" t="s">
        <v>140</v>
      </c>
      <c r="AB265" s="82" t="str">
        <f>IF(E265="NA","NA",IF(E265&gt;'Parâmetros'!$A$9,8,IF(E265&gt;'Parâmetros'!$A$8,4,IF(E265&gt;'Parâmetros'!$A$7,0,-6))))</f>
        <v>NA</v>
      </c>
      <c r="AC265" s="82">
        <f>IF(Consultas!AC265='Parâmetros'!$E$1,0,5)</f>
        <v>5</v>
      </c>
      <c r="AD265" s="82">
        <f>IF(Consultas!AH265='Parâmetros'!$D$1,-10,5)</f>
        <v>5</v>
      </c>
      <c r="AE265" s="82">
        <f>IF(Consultas!AI265&gt;(Consultas!F265*2),-10,0)</f>
        <v>0</v>
      </c>
      <c r="AF265" s="82" t="b">
        <f>IF(Consultas!AD265&gt;1,(IF(Consultas!AI265&gt;(Consultas!AD265),-20,4)))</f>
        <v>0</v>
      </c>
      <c r="AG265" s="82">
        <f>IF(Consultas!AG265='Parâmetros'!$E$1,0,-6)</f>
        <v>-6</v>
      </c>
      <c r="AH265" s="82">
        <f>IF(Consultas!AF265='Parâmetros'!$E$1,1,-5)</f>
        <v>-5</v>
      </c>
      <c r="AI265" s="82">
        <f>IF(Consultas!AJ265&gt;700,8,IF(Consultas!AJ265&gt;500,4,IF(Consultas!AJ265&gt;200,-4,IF(Consultas!AJ265&gt;1,-15,-20))))</f>
        <v>-20</v>
      </c>
      <c r="AJ265" s="82">
        <f>IF(Consultas!AD265='Parâmetros'!$E$10,0,IF(Consultas!AD265&gt;'Parâmetros'!$A$30,12,IF(Consultas!AD265&gt;'Parâmetros'!$A$31,6,IF(Consultas!AD265&gt;'Parâmetros'!$A$32,0,IF(Consultas!AD265&gt;'Parâmetros'!$A$33,0,IF(Consultas!AD265&gt;'Parâmetros'!$A$34,-3,IF(Consultas!AD265&gt;'Parâmetros'!$A$35,-7,-1)))))))</f>
        <v>-1</v>
      </c>
      <c r="AK265" s="82">
        <f>IF(Consultas!AO265='Parâmetros'!$D$1,3,-3)</f>
        <v>-3</v>
      </c>
      <c r="AL265" s="82">
        <f>IF(Consultas!AP265='Parâmetros'!$D$1,5,-3)</f>
        <v>-3</v>
      </c>
      <c r="AM265" s="82">
        <f>IF(Consultas!AL265="N",-6,0)</f>
        <v>0</v>
      </c>
      <c r="AN265" s="82">
        <f>IF(Consultas!AM265="N",-10,0)</f>
        <v>0</v>
      </c>
      <c r="AO265" s="82">
        <f>IF(Consultas!AN265="S",4,-2)</f>
        <v>-2</v>
      </c>
      <c r="AP265" s="39"/>
      <c r="AQ265" s="165" t="str">
        <f>IF(Consultas!F265&gt;1,(SUM(F265:AO265)),"N/A")</f>
        <v>N/A</v>
      </c>
      <c r="AR265" s="78">
        <f>IF((Consultas!AD265&gt;'Parâmetros'!$A$31),"X",AJ265+Y265+V265+AC265)</f>
        <v>-9</v>
      </c>
      <c r="AS265" s="78">
        <f>IF((Consultas!AD265&gt;'Parâmetros'!$A$31),"X",(H265+I265+J265+Q265+T265+Y265+Z265+AJ265+AN265))</f>
        <v>-23</v>
      </c>
      <c r="AT265" s="78" t="str">
        <f>IF((Consultas!AD265&lt;'Parâmetros'!$A$31),"X",(AD265+AC265+AB265))</f>
        <v>X</v>
      </c>
      <c r="AU265" s="78">
        <f t="shared" si="1"/>
        <v>-23</v>
      </c>
      <c r="AV265" s="82" t="str">
        <f>IF(AQ265="N/A","N/A",IF(AQ265&gt;5,'Parâmetros'!$A$15,(IF(AU265=AR265,'Parâmetros'!$A$17,IF(AU265=AS265,'Parâmetros'!$A$16,'Parâmetros'!$A$14)))))</f>
        <v>N/A</v>
      </c>
      <c r="AW265" s="86" t="str">
        <f>IF(AQ265="N/A","N/A",IF(AV265='Parâmetros'!$A$15,'Parâmetros'!$C$15,(IF(AV265='Parâmetros'!$A$17,'Parâmetros'!$C$17,IF(AV265='Parâmetros'!$A$16,'Parâmetros'!$C$16,IF(AV265='Parâmetros'!$A$14,'Parâmetros'!$C$12))))))</f>
        <v>N/A</v>
      </c>
      <c r="AX265" s="82" t="b">
        <f>IF(Consultas!F265&gt;1,(IF(Consultas!F265&gt;5000,"SOLICITAR PED COMPRA","N/A")))</f>
        <v>0</v>
      </c>
      <c r="AY265" s="167" t="str">
        <f>IF(AND(Consultas!M265&lt;&gt;"S", Consultas!H265="S"), "CHECAGEM REVERSA", "N/A")</f>
        <v>N/A</v>
      </c>
      <c r="AZ265" s="167" t="str">
        <f>IF(Consultas!U265="N","PRECISA CORRIGIR END DIVERGENTE","N/A")</f>
        <v>N/A</v>
      </c>
    </row>
    <row r="266" ht="12.0" customHeight="1">
      <c r="A266" s="39" t="s">
        <v>90</v>
      </c>
      <c r="B266" s="82" t="str">
        <f>Consultas!B266</f>
        <v/>
      </c>
      <c r="C266" s="82" t="str">
        <f>Consultas!D266</f>
        <v/>
      </c>
      <c r="D266" s="96" t="str">
        <f>Consultas!E266</f>
        <v/>
      </c>
      <c r="E266" s="104" t="str">
        <f>IF(Consultas!AB266&gt;0,YEAR('Parâmetros'!$B$1)-YEAR(Consultas!AB266),"NA")</f>
        <v>NA</v>
      </c>
      <c r="F266" s="82">
        <f>IF(Consultas!F266&gt;'Parâmetros'!$B$2,-8,0)</f>
        <v>0</v>
      </c>
      <c r="G266" s="82">
        <f>IF(Consultas!H266='Parâmetros'!$E$1,100,0)</f>
        <v>0</v>
      </c>
      <c r="H266" s="82">
        <f>IF(Consultas!I266='Parâmetros'!$E$1,-4,12)</f>
        <v>12</v>
      </c>
      <c r="I266" s="82">
        <f>IF(Consultas!J266='Parâmetros'!$E$1,1,-13)</f>
        <v>-13</v>
      </c>
      <c r="J266" s="82">
        <f>IF(Consultas!K266='Parâmetros'!$E$1,2,-5)</f>
        <v>-5</v>
      </c>
      <c r="K266" s="82" t="str">
        <f>IF(Consultas!L266='Parâmetros'!$D$1,"SOLIC CONTRATO DE ENTREGA","N/A")</f>
        <v>N/A</v>
      </c>
      <c r="L266" s="82">
        <f>IF(Consultas!R266='Parâmetros'!$E$1,1,-3)</f>
        <v>-3</v>
      </c>
      <c r="M266" s="82" t="b">
        <f>IF(Consultas!S266&gt;1,(IF(Consultas!S266='Parâmetros'!$E$1,-3,9)))</f>
        <v>0</v>
      </c>
      <c r="N266" s="82">
        <f>IF(Consultas!T266="S",23,0)</f>
        <v>0</v>
      </c>
      <c r="O266" s="82">
        <f>IF(Consultas!U266='Parâmetros'!$E$1,-3,3)</f>
        <v>3</v>
      </c>
      <c r="P266" s="82">
        <f>IF(Consultas!V266='Parâmetros'!$E$1,-100,2)</f>
        <v>2</v>
      </c>
      <c r="Q266" s="82">
        <f>IF(Consultas!M266='Parâmetros'!$D$1,2,-9)</f>
        <v>-9</v>
      </c>
      <c r="R266" s="82">
        <f>IF(Consultas!N266="RJ",-12,0)</f>
        <v>0</v>
      </c>
      <c r="S266" s="82">
        <f>IF(Consultas!O266="-",-3,IF(Consultas!O266=0,-6,IF(Consultas!O266=5,0,IF(Consultas!O266=10,6))))</f>
        <v>-6</v>
      </c>
      <c r="T266" s="82">
        <f>IF(Consultas!M266="S",0,(IF(Consultas!P266="S",6,0)))</f>
        <v>0</v>
      </c>
      <c r="U266" s="82">
        <f>IF(Consultas!Q266&gt;97,9,IF(Consultas!Q266&gt;75,0,-7))</f>
        <v>-7</v>
      </c>
      <c r="V266" s="82">
        <f>IF(Consultas!W266='Parâmetros'!$E$1,1,-5)</f>
        <v>-5</v>
      </c>
      <c r="W266" s="82">
        <f>IF(Consultas!X266="S",3,-3)</f>
        <v>-3</v>
      </c>
      <c r="X266" s="82">
        <f>IF(Consultas!Y266="S",0,-7)</f>
        <v>-7</v>
      </c>
      <c r="Y266" s="82">
        <f>IF(Consultas!Z266='Parâmetros'!$E$1,2,-8)</f>
        <v>-8</v>
      </c>
      <c r="Z266" s="82">
        <f>IF(Consultas!AA266='Parâmetros'!$E$1,-15,1)</f>
        <v>1</v>
      </c>
      <c r="AA266" s="147" t="s">
        <v>140</v>
      </c>
      <c r="AB266" s="82" t="str">
        <f>IF(E266="NA","NA",IF(E266&gt;'Parâmetros'!$A$9,8,IF(E266&gt;'Parâmetros'!$A$8,4,IF(E266&gt;'Parâmetros'!$A$7,0,-6))))</f>
        <v>NA</v>
      </c>
      <c r="AC266" s="82">
        <f>IF(Consultas!AC266='Parâmetros'!$E$1,0,5)</f>
        <v>5</v>
      </c>
      <c r="AD266" s="82">
        <f>IF(Consultas!AH266='Parâmetros'!$D$1,-10,5)</f>
        <v>5</v>
      </c>
      <c r="AE266" s="82">
        <f>IF(Consultas!AI266&gt;(Consultas!F266*2),-10,0)</f>
        <v>0</v>
      </c>
      <c r="AF266" s="82" t="b">
        <f>IF(Consultas!AD266&gt;1,(IF(Consultas!AI266&gt;(Consultas!AD266),-20,4)))</f>
        <v>0</v>
      </c>
      <c r="AG266" s="82">
        <f>IF(Consultas!AG266='Parâmetros'!$E$1,0,-6)</f>
        <v>-6</v>
      </c>
      <c r="AH266" s="82">
        <f>IF(Consultas!AF266='Parâmetros'!$E$1,1,-5)</f>
        <v>-5</v>
      </c>
      <c r="AI266" s="82">
        <f>IF(Consultas!AJ266&gt;700,8,IF(Consultas!AJ266&gt;500,4,IF(Consultas!AJ266&gt;200,-4,IF(Consultas!AJ266&gt;1,-15,-20))))</f>
        <v>-20</v>
      </c>
      <c r="AJ266" s="82">
        <f>IF(Consultas!AD266='Parâmetros'!$E$10,0,IF(Consultas!AD266&gt;'Parâmetros'!$A$30,12,IF(Consultas!AD266&gt;'Parâmetros'!$A$31,6,IF(Consultas!AD266&gt;'Parâmetros'!$A$32,0,IF(Consultas!AD266&gt;'Parâmetros'!$A$33,0,IF(Consultas!AD266&gt;'Parâmetros'!$A$34,-3,IF(Consultas!AD266&gt;'Parâmetros'!$A$35,-7,-1)))))))</f>
        <v>-1</v>
      </c>
      <c r="AK266" s="82">
        <f>IF(Consultas!AO266='Parâmetros'!$D$1,3,-3)</f>
        <v>-3</v>
      </c>
      <c r="AL266" s="82">
        <f>IF(Consultas!AP266='Parâmetros'!$D$1,5,-3)</f>
        <v>-3</v>
      </c>
      <c r="AM266" s="82">
        <f>IF(Consultas!AL266="N",-6,0)</f>
        <v>0</v>
      </c>
      <c r="AN266" s="82">
        <f>IF(Consultas!AM266="N",-10,0)</f>
        <v>0</v>
      </c>
      <c r="AO266" s="82">
        <f>IF(Consultas!AN266="S",4,-2)</f>
        <v>-2</v>
      </c>
      <c r="AP266" s="39"/>
      <c r="AQ266" s="165" t="str">
        <f>IF(Consultas!F266&gt;1,(SUM(F266:AO266)),"N/A")</f>
        <v>N/A</v>
      </c>
      <c r="AR266" s="78">
        <f>IF((Consultas!AD266&gt;'Parâmetros'!$A$31),"X",AJ266+Y266+V266+AC266)</f>
        <v>-9</v>
      </c>
      <c r="AS266" s="78">
        <f>IF((Consultas!AD266&gt;'Parâmetros'!$A$31),"X",(H266+I266+J266+Q266+T266+Y266+Z266+AJ266+AN266))</f>
        <v>-23</v>
      </c>
      <c r="AT266" s="78" t="str">
        <f>IF((Consultas!AD266&lt;'Parâmetros'!$A$31),"X",(AD266+AC266+AB266))</f>
        <v>X</v>
      </c>
      <c r="AU266" s="78">
        <f t="shared" si="1"/>
        <v>-23</v>
      </c>
      <c r="AV266" s="82" t="str">
        <f>IF(AQ266="N/A","N/A",IF(AQ266&gt;5,'Parâmetros'!$A$15,(IF(AU266=AR266,'Parâmetros'!$A$17,IF(AU266=AS266,'Parâmetros'!$A$16,'Parâmetros'!$A$14)))))</f>
        <v>N/A</v>
      </c>
      <c r="AW266" s="86" t="str">
        <f>IF(AQ266="N/A","N/A",IF(AV266='Parâmetros'!$A$15,'Parâmetros'!$C$15,(IF(AV266='Parâmetros'!$A$17,'Parâmetros'!$C$17,IF(AV266='Parâmetros'!$A$16,'Parâmetros'!$C$16,IF(AV266='Parâmetros'!$A$14,'Parâmetros'!$C$12))))))</f>
        <v>N/A</v>
      </c>
      <c r="AX266" s="82" t="b">
        <f>IF(Consultas!F266&gt;1,(IF(Consultas!F266&gt;5000,"SOLICITAR PED COMPRA","N/A")))</f>
        <v>0</v>
      </c>
      <c r="AY266" s="167" t="str">
        <f>IF(AND(Consultas!M266&lt;&gt;"S", Consultas!H266="S"), "CHECAGEM REVERSA", "N/A")</f>
        <v>N/A</v>
      </c>
      <c r="AZ266" s="167" t="str">
        <f>IF(Consultas!U266="N","PRECISA CORRIGIR END DIVERGENTE","N/A")</f>
        <v>N/A</v>
      </c>
    </row>
    <row r="267" ht="12.0" customHeight="1">
      <c r="A267" s="39" t="s">
        <v>90</v>
      </c>
      <c r="B267" s="82" t="str">
        <f>Consultas!B267</f>
        <v/>
      </c>
      <c r="C267" s="82" t="str">
        <f>Consultas!D267</f>
        <v/>
      </c>
      <c r="D267" s="96" t="str">
        <f>Consultas!E267</f>
        <v/>
      </c>
      <c r="E267" s="104" t="str">
        <f>IF(Consultas!AB267&gt;0,YEAR('Parâmetros'!$B$1)-YEAR(Consultas!AB267),"NA")</f>
        <v>NA</v>
      </c>
      <c r="F267" s="82">
        <f>IF(Consultas!F267&gt;'Parâmetros'!$B$2,-8,0)</f>
        <v>0</v>
      </c>
      <c r="G267" s="82">
        <f>IF(Consultas!H267='Parâmetros'!$E$1,100,0)</f>
        <v>0</v>
      </c>
      <c r="H267" s="82">
        <f>IF(Consultas!I267='Parâmetros'!$E$1,-4,12)</f>
        <v>12</v>
      </c>
      <c r="I267" s="82">
        <f>IF(Consultas!J267='Parâmetros'!$E$1,1,-13)</f>
        <v>-13</v>
      </c>
      <c r="J267" s="82">
        <f>IF(Consultas!K267='Parâmetros'!$E$1,2,-5)</f>
        <v>-5</v>
      </c>
      <c r="K267" s="82" t="str">
        <f>IF(Consultas!L267='Parâmetros'!$D$1,"SOLIC CONTRATO DE ENTREGA","N/A")</f>
        <v>N/A</v>
      </c>
      <c r="L267" s="82">
        <f>IF(Consultas!R267='Parâmetros'!$E$1,1,-3)</f>
        <v>-3</v>
      </c>
      <c r="M267" s="82" t="b">
        <f>IF(Consultas!S267&gt;1,(IF(Consultas!S267='Parâmetros'!$E$1,-3,9)))</f>
        <v>0</v>
      </c>
      <c r="N267" s="82">
        <f>IF(Consultas!T267="S",23,0)</f>
        <v>0</v>
      </c>
      <c r="O267" s="82">
        <f>IF(Consultas!U267='Parâmetros'!$E$1,-3,3)</f>
        <v>3</v>
      </c>
      <c r="P267" s="82">
        <f>IF(Consultas!V267='Parâmetros'!$E$1,-100,2)</f>
        <v>2</v>
      </c>
      <c r="Q267" s="82">
        <f>IF(Consultas!M267='Parâmetros'!$D$1,2,-9)</f>
        <v>-9</v>
      </c>
      <c r="R267" s="82">
        <f>IF(Consultas!N267="RJ",-12,0)</f>
        <v>0</v>
      </c>
      <c r="S267" s="82">
        <f>IF(Consultas!O267="-",-3,IF(Consultas!O267=0,-6,IF(Consultas!O267=5,0,IF(Consultas!O267=10,6))))</f>
        <v>-6</v>
      </c>
      <c r="T267" s="82">
        <f>IF(Consultas!M267="S",0,(IF(Consultas!P267="S",6,0)))</f>
        <v>0</v>
      </c>
      <c r="U267" s="82">
        <f>IF(Consultas!Q267&gt;97,9,IF(Consultas!Q267&gt;75,0,-7))</f>
        <v>-7</v>
      </c>
      <c r="V267" s="82">
        <f>IF(Consultas!W267='Parâmetros'!$E$1,1,-5)</f>
        <v>-5</v>
      </c>
      <c r="W267" s="82">
        <f>IF(Consultas!X267="S",3,-3)</f>
        <v>-3</v>
      </c>
      <c r="X267" s="82">
        <f>IF(Consultas!Y267="S",0,-7)</f>
        <v>-7</v>
      </c>
      <c r="Y267" s="82">
        <f>IF(Consultas!Z267='Parâmetros'!$E$1,2,-8)</f>
        <v>-8</v>
      </c>
      <c r="Z267" s="82">
        <f>IF(Consultas!AA267='Parâmetros'!$E$1,-15,1)</f>
        <v>1</v>
      </c>
      <c r="AA267" s="147" t="s">
        <v>140</v>
      </c>
      <c r="AB267" s="82" t="str">
        <f>IF(E267="NA","NA",IF(E267&gt;'Parâmetros'!$A$9,8,IF(E267&gt;'Parâmetros'!$A$8,4,IF(E267&gt;'Parâmetros'!$A$7,0,-6))))</f>
        <v>NA</v>
      </c>
      <c r="AC267" s="82">
        <f>IF(Consultas!AC267='Parâmetros'!$E$1,0,5)</f>
        <v>5</v>
      </c>
      <c r="AD267" s="82">
        <f>IF(Consultas!AH267='Parâmetros'!$D$1,-10,5)</f>
        <v>5</v>
      </c>
      <c r="AE267" s="82">
        <f>IF(Consultas!AI267&gt;(Consultas!F267*2),-10,0)</f>
        <v>0</v>
      </c>
      <c r="AF267" s="82" t="b">
        <f>IF(Consultas!AD267&gt;1,(IF(Consultas!AI267&gt;(Consultas!AD267),-20,4)))</f>
        <v>0</v>
      </c>
      <c r="AG267" s="82">
        <f>IF(Consultas!AG267='Parâmetros'!$E$1,0,-6)</f>
        <v>-6</v>
      </c>
      <c r="AH267" s="82">
        <f>IF(Consultas!AF267='Parâmetros'!$E$1,1,-5)</f>
        <v>-5</v>
      </c>
      <c r="AI267" s="82">
        <f>IF(Consultas!AJ267&gt;700,8,IF(Consultas!AJ267&gt;500,4,IF(Consultas!AJ267&gt;200,-4,IF(Consultas!AJ267&gt;1,-15,-20))))</f>
        <v>-20</v>
      </c>
      <c r="AJ267" s="82">
        <f>IF(Consultas!AD267='Parâmetros'!$E$10,0,IF(Consultas!AD267&gt;'Parâmetros'!$A$30,12,IF(Consultas!AD267&gt;'Parâmetros'!$A$31,6,IF(Consultas!AD267&gt;'Parâmetros'!$A$32,0,IF(Consultas!AD267&gt;'Parâmetros'!$A$33,0,IF(Consultas!AD267&gt;'Parâmetros'!$A$34,-3,IF(Consultas!AD267&gt;'Parâmetros'!$A$35,-7,-1)))))))</f>
        <v>-1</v>
      </c>
      <c r="AK267" s="82">
        <f>IF(Consultas!AO267='Parâmetros'!$D$1,3,-3)</f>
        <v>-3</v>
      </c>
      <c r="AL267" s="82">
        <f>IF(Consultas!AP267='Parâmetros'!$D$1,5,-3)</f>
        <v>-3</v>
      </c>
      <c r="AM267" s="82">
        <f>IF(Consultas!AL267="N",-6,0)</f>
        <v>0</v>
      </c>
      <c r="AN267" s="82">
        <f>IF(Consultas!AM267="N",-10,0)</f>
        <v>0</v>
      </c>
      <c r="AO267" s="82">
        <f>IF(Consultas!AN267="S",4,-2)</f>
        <v>-2</v>
      </c>
      <c r="AP267" s="39"/>
      <c r="AQ267" s="165" t="str">
        <f>IF(Consultas!F267&gt;1,(SUM(F267:AO267)),"N/A")</f>
        <v>N/A</v>
      </c>
      <c r="AR267" s="78">
        <f>IF((Consultas!AD267&gt;'Parâmetros'!$A$31),"X",AJ267+Y267+V267+AC267)</f>
        <v>-9</v>
      </c>
      <c r="AS267" s="78">
        <f>IF((Consultas!AD267&gt;'Parâmetros'!$A$31),"X",(H267+I267+J267+Q267+T267+Y267+Z267+AJ267+AN267))</f>
        <v>-23</v>
      </c>
      <c r="AT267" s="78" t="str">
        <f>IF((Consultas!AD267&lt;'Parâmetros'!$A$31),"X",(AD267+AC267+AB267))</f>
        <v>X</v>
      </c>
      <c r="AU267" s="78">
        <f t="shared" si="1"/>
        <v>-23</v>
      </c>
      <c r="AV267" s="82" t="str">
        <f>IF(AQ267="N/A","N/A",IF(AQ267&gt;5,'Parâmetros'!$A$15,(IF(AU267=AR267,'Parâmetros'!$A$17,IF(AU267=AS267,'Parâmetros'!$A$16,'Parâmetros'!$A$14)))))</f>
        <v>N/A</v>
      </c>
      <c r="AW267" s="86" t="str">
        <f>IF(AQ267="N/A","N/A",IF(AV267='Parâmetros'!$A$15,'Parâmetros'!$C$15,(IF(AV267='Parâmetros'!$A$17,'Parâmetros'!$C$17,IF(AV267='Parâmetros'!$A$16,'Parâmetros'!$C$16,IF(AV267='Parâmetros'!$A$14,'Parâmetros'!$C$12))))))</f>
        <v>N/A</v>
      </c>
      <c r="AX267" s="82" t="b">
        <f>IF(Consultas!F267&gt;1,(IF(Consultas!F267&gt;5000,"SOLICITAR PED COMPRA","N/A")))</f>
        <v>0</v>
      </c>
      <c r="AY267" s="167" t="str">
        <f>IF(AND(Consultas!M267&lt;&gt;"S", Consultas!H267="S"), "CHECAGEM REVERSA", "N/A")</f>
        <v>N/A</v>
      </c>
      <c r="AZ267" s="167" t="str">
        <f>IF(Consultas!U267="N","PRECISA CORRIGIR END DIVERGENTE","N/A")</f>
        <v>N/A</v>
      </c>
    </row>
    <row r="268" ht="12.0" customHeight="1">
      <c r="A268" s="39" t="s">
        <v>90</v>
      </c>
      <c r="B268" s="82" t="str">
        <f>Consultas!B268</f>
        <v/>
      </c>
      <c r="C268" s="82" t="str">
        <f>Consultas!D268</f>
        <v/>
      </c>
      <c r="D268" s="96" t="str">
        <f>Consultas!E268</f>
        <v/>
      </c>
      <c r="E268" s="104" t="str">
        <f>IF(Consultas!AB268&gt;0,YEAR('Parâmetros'!$B$1)-YEAR(Consultas!AB268),"NA")</f>
        <v>NA</v>
      </c>
      <c r="F268" s="82">
        <f>IF(Consultas!F268&gt;'Parâmetros'!$B$2,-8,0)</f>
        <v>0</v>
      </c>
      <c r="G268" s="82">
        <f>IF(Consultas!H268='Parâmetros'!$E$1,100,0)</f>
        <v>0</v>
      </c>
      <c r="H268" s="82">
        <f>IF(Consultas!I268='Parâmetros'!$E$1,-4,12)</f>
        <v>12</v>
      </c>
      <c r="I268" s="82">
        <f>IF(Consultas!J268='Parâmetros'!$E$1,1,-13)</f>
        <v>-13</v>
      </c>
      <c r="J268" s="82">
        <f>IF(Consultas!K268='Parâmetros'!$E$1,2,-5)</f>
        <v>-5</v>
      </c>
      <c r="K268" s="82" t="str">
        <f>IF(Consultas!L268='Parâmetros'!$D$1,"SOLIC CONTRATO DE ENTREGA","N/A")</f>
        <v>N/A</v>
      </c>
      <c r="L268" s="82">
        <f>IF(Consultas!R268='Parâmetros'!$E$1,1,-3)</f>
        <v>-3</v>
      </c>
      <c r="M268" s="82" t="b">
        <f>IF(Consultas!S268&gt;1,(IF(Consultas!S268='Parâmetros'!$E$1,-3,9)))</f>
        <v>0</v>
      </c>
      <c r="N268" s="82">
        <f>IF(Consultas!T268="S",23,0)</f>
        <v>0</v>
      </c>
      <c r="O268" s="82">
        <f>IF(Consultas!U268='Parâmetros'!$E$1,-3,3)</f>
        <v>3</v>
      </c>
      <c r="P268" s="82">
        <f>IF(Consultas!V268='Parâmetros'!$E$1,-100,2)</f>
        <v>2</v>
      </c>
      <c r="Q268" s="82">
        <f>IF(Consultas!M268='Parâmetros'!$D$1,2,-9)</f>
        <v>-9</v>
      </c>
      <c r="R268" s="82">
        <f>IF(Consultas!N268="RJ",-12,0)</f>
        <v>0</v>
      </c>
      <c r="S268" s="82">
        <f>IF(Consultas!O268="-",-3,IF(Consultas!O268=0,-6,IF(Consultas!O268=5,0,IF(Consultas!O268=10,6))))</f>
        <v>-6</v>
      </c>
      <c r="T268" s="82">
        <f>IF(Consultas!M268="S",0,(IF(Consultas!P268="S",6,0)))</f>
        <v>0</v>
      </c>
      <c r="U268" s="82">
        <f>IF(Consultas!Q268&gt;97,9,IF(Consultas!Q268&gt;75,0,-7))</f>
        <v>-7</v>
      </c>
      <c r="V268" s="82">
        <f>IF(Consultas!W268='Parâmetros'!$E$1,1,-5)</f>
        <v>-5</v>
      </c>
      <c r="W268" s="82">
        <f>IF(Consultas!X268="S",3,-3)</f>
        <v>-3</v>
      </c>
      <c r="X268" s="82">
        <f>IF(Consultas!Y268="S",0,-7)</f>
        <v>-7</v>
      </c>
      <c r="Y268" s="82">
        <f>IF(Consultas!Z268='Parâmetros'!$E$1,2,-8)</f>
        <v>-8</v>
      </c>
      <c r="Z268" s="82">
        <f>IF(Consultas!AA268='Parâmetros'!$E$1,-15,1)</f>
        <v>1</v>
      </c>
      <c r="AA268" s="147" t="s">
        <v>140</v>
      </c>
      <c r="AB268" s="82" t="str">
        <f>IF(E268="NA","NA",IF(E268&gt;'Parâmetros'!$A$9,8,IF(E268&gt;'Parâmetros'!$A$8,4,IF(E268&gt;'Parâmetros'!$A$7,0,-6))))</f>
        <v>NA</v>
      </c>
      <c r="AC268" s="82">
        <f>IF(Consultas!AC268='Parâmetros'!$E$1,0,5)</f>
        <v>5</v>
      </c>
      <c r="AD268" s="82">
        <f>IF(Consultas!AH268='Parâmetros'!$D$1,-10,5)</f>
        <v>5</v>
      </c>
      <c r="AE268" s="82">
        <f>IF(Consultas!AI268&gt;(Consultas!F268*2),-10,0)</f>
        <v>0</v>
      </c>
      <c r="AF268" s="82" t="b">
        <f>IF(Consultas!AD268&gt;1,(IF(Consultas!AI268&gt;(Consultas!AD268),-20,4)))</f>
        <v>0</v>
      </c>
      <c r="AG268" s="82">
        <f>IF(Consultas!AG268='Parâmetros'!$E$1,0,-6)</f>
        <v>-6</v>
      </c>
      <c r="AH268" s="82">
        <f>IF(Consultas!AF268='Parâmetros'!$E$1,1,-5)</f>
        <v>-5</v>
      </c>
      <c r="AI268" s="82">
        <f>IF(Consultas!AJ268&gt;700,8,IF(Consultas!AJ268&gt;500,4,IF(Consultas!AJ268&gt;200,-4,IF(Consultas!AJ268&gt;1,-15,-20))))</f>
        <v>-20</v>
      </c>
      <c r="AJ268" s="82">
        <f>IF(Consultas!AD268='Parâmetros'!$E$10,0,IF(Consultas!AD268&gt;'Parâmetros'!$A$30,12,IF(Consultas!AD268&gt;'Parâmetros'!$A$31,6,IF(Consultas!AD268&gt;'Parâmetros'!$A$32,0,IF(Consultas!AD268&gt;'Parâmetros'!$A$33,0,IF(Consultas!AD268&gt;'Parâmetros'!$A$34,-3,IF(Consultas!AD268&gt;'Parâmetros'!$A$35,-7,-1)))))))</f>
        <v>-1</v>
      </c>
      <c r="AK268" s="82">
        <f>IF(Consultas!AO268='Parâmetros'!$D$1,3,-3)</f>
        <v>-3</v>
      </c>
      <c r="AL268" s="82">
        <f>IF(Consultas!AP268='Parâmetros'!$D$1,5,-3)</f>
        <v>-3</v>
      </c>
      <c r="AM268" s="82">
        <f>IF(Consultas!AL268="N",-6,0)</f>
        <v>0</v>
      </c>
      <c r="AN268" s="82">
        <f>IF(Consultas!AM268="N",-10,0)</f>
        <v>0</v>
      </c>
      <c r="AO268" s="82">
        <f>IF(Consultas!AN268="S",4,-2)</f>
        <v>-2</v>
      </c>
      <c r="AP268" s="39"/>
      <c r="AQ268" s="165" t="str">
        <f>IF(Consultas!F268&gt;1,(SUM(F268:AO268)),"N/A")</f>
        <v>N/A</v>
      </c>
      <c r="AR268" s="78">
        <f>IF((Consultas!AD268&gt;'Parâmetros'!$A$31),"X",AJ268+Y268+V268+AC268)</f>
        <v>-9</v>
      </c>
      <c r="AS268" s="78">
        <f>IF((Consultas!AD268&gt;'Parâmetros'!$A$31),"X",(H268+I268+J268+Q268+T268+Y268+Z268+AJ268+AN268))</f>
        <v>-23</v>
      </c>
      <c r="AT268" s="78" t="str">
        <f>IF((Consultas!AD268&lt;'Parâmetros'!$A$31),"X",(AD268+AC268+AB268))</f>
        <v>X</v>
      </c>
      <c r="AU268" s="78">
        <f t="shared" si="1"/>
        <v>-23</v>
      </c>
      <c r="AV268" s="82" t="str">
        <f>IF(AQ268="N/A","N/A",IF(AQ268&gt;5,'Parâmetros'!$A$15,(IF(AU268=AR268,'Parâmetros'!$A$17,IF(AU268=AS268,'Parâmetros'!$A$16,'Parâmetros'!$A$14)))))</f>
        <v>N/A</v>
      </c>
      <c r="AW268" s="86" t="str">
        <f>IF(AQ268="N/A","N/A",IF(AV268='Parâmetros'!$A$15,'Parâmetros'!$C$15,(IF(AV268='Parâmetros'!$A$17,'Parâmetros'!$C$17,IF(AV268='Parâmetros'!$A$16,'Parâmetros'!$C$16,IF(AV268='Parâmetros'!$A$14,'Parâmetros'!$C$12))))))</f>
        <v>N/A</v>
      </c>
      <c r="AX268" s="82" t="b">
        <f>IF(Consultas!F268&gt;1,(IF(Consultas!F268&gt;5000,"SOLICITAR PED COMPRA","N/A")))</f>
        <v>0</v>
      </c>
      <c r="AY268" s="167" t="str">
        <f>IF(AND(Consultas!M268&lt;&gt;"S", Consultas!H268="S"), "CHECAGEM REVERSA", "N/A")</f>
        <v>N/A</v>
      </c>
      <c r="AZ268" s="167" t="str">
        <f>IF(Consultas!U268="N","PRECISA CORRIGIR END DIVERGENTE","N/A")</f>
        <v>N/A</v>
      </c>
    </row>
    <row r="269" ht="12.0" customHeight="1">
      <c r="A269" s="39" t="s">
        <v>90</v>
      </c>
      <c r="B269" s="82" t="str">
        <f>Consultas!B269</f>
        <v/>
      </c>
      <c r="C269" s="82" t="str">
        <f>Consultas!D269</f>
        <v/>
      </c>
      <c r="D269" s="96" t="str">
        <f>Consultas!E269</f>
        <v/>
      </c>
      <c r="E269" s="104" t="str">
        <f>IF(Consultas!AB269&gt;0,YEAR('Parâmetros'!$B$1)-YEAR(Consultas!AB269),"NA")</f>
        <v>NA</v>
      </c>
      <c r="F269" s="82">
        <f>IF(Consultas!F269&gt;'Parâmetros'!$B$2,-8,0)</f>
        <v>0</v>
      </c>
      <c r="G269" s="82">
        <f>IF(Consultas!H269='Parâmetros'!$E$1,100,0)</f>
        <v>0</v>
      </c>
      <c r="H269" s="82">
        <f>IF(Consultas!I269='Parâmetros'!$E$1,-4,12)</f>
        <v>12</v>
      </c>
      <c r="I269" s="82">
        <f>IF(Consultas!J269='Parâmetros'!$E$1,1,-13)</f>
        <v>-13</v>
      </c>
      <c r="J269" s="82">
        <f>IF(Consultas!K269='Parâmetros'!$E$1,2,-5)</f>
        <v>-5</v>
      </c>
      <c r="K269" s="82" t="str">
        <f>IF(Consultas!L269='Parâmetros'!$D$1,"SOLIC CONTRATO DE ENTREGA","N/A")</f>
        <v>N/A</v>
      </c>
      <c r="L269" s="82">
        <f>IF(Consultas!R269='Parâmetros'!$E$1,1,-3)</f>
        <v>-3</v>
      </c>
      <c r="M269" s="82" t="b">
        <f>IF(Consultas!S269&gt;1,(IF(Consultas!S269='Parâmetros'!$E$1,-3,9)))</f>
        <v>0</v>
      </c>
      <c r="N269" s="82">
        <f>IF(Consultas!T269="S",23,0)</f>
        <v>0</v>
      </c>
      <c r="O269" s="82">
        <f>IF(Consultas!U269='Parâmetros'!$E$1,-3,3)</f>
        <v>3</v>
      </c>
      <c r="P269" s="82">
        <f>IF(Consultas!V269='Parâmetros'!$E$1,-100,2)</f>
        <v>2</v>
      </c>
      <c r="Q269" s="82">
        <f>IF(Consultas!M269='Parâmetros'!$D$1,2,-9)</f>
        <v>-9</v>
      </c>
      <c r="R269" s="82">
        <f>IF(Consultas!N269="RJ",-12,0)</f>
        <v>0</v>
      </c>
      <c r="S269" s="82">
        <f>IF(Consultas!O269="-",-3,IF(Consultas!O269=0,-6,IF(Consultas!O269=5,0,IF(Consultas!O269=10,6))))</f>
        <v>-6</v>
      </c>
      <c r="T269" s="82">
        <f>IF(Consultas!M269="S",0,(IF(Consultas!P269="S",6,0)))</f>
        <v>0</v>
      </c>
      <c r="U269" s="82">
        <f>IF(Consultas!Q269&gt;97,9,IF(Consultas!Q269&gt;75,0,-7))</f>
        <v>-7</v>
      </c>
      <c r="V269" s="82">
        <f>IF(Consultas!W269='Parâmetros'!$E$1,1,-5)</f>
        <v>-5</v>
      </c>
      <c r="W269" s="82">
        <f>IF(Consultas!X269="S",3,-3)</f>
        <v>-3</v>
      </c>
      <c r="X269" s="82">
        <f>IF(Consultas!Y269="S",0,-7)</f>
        <v>-7</v>
      </c>
      <c r="Y269" s="82">
        <f>IF(Consultas!Z269='Parâmetros'!$E$1,2,-8)</f>
        <v>-8</v>
      </c>
      <c r="Z269" s="82">
        <f>IF(Consultas!AA269='Parâmetros'!$E$1,-15,1)</f>
        <v>1</v>
      </c>
      <c r="AA269" s="147" t="s">
        <v>140</v>
      </c>
      <c r="AB269" s="82" t="str">
        <f>IF(E269="NA","NA",IF(E269&gt;'Parâmetros'!$A$9,8,IF(E269&gt;'Parâmetros'!$A$8,4,IF(E269&gt;'Parâmetros'!$A$7,0,-6))))</f>
        <v>NA</v>
      </c>
      <c r="AC269" s="82">
        <f>IF(Consultas!AC269='Parâmetros'!$E$1,0,5)</f>
        <v>5</v>
      </c>
      <c r="AD269" s="82">
        <f>IF(Consultas!AH269='Parâmetros'!$D$1,-10,5)</f>
        <v>5</v>
      </c>
      <c r="AE269" s="82">
        <f>IF(Consultas!AI269&gt;(Consultas!F269*2),-10,0)</f>
        <v>0</v>
      </c>
      <c r="AF269" s="82" t="b">
        <f>IF(Consultas!AD269&gt;1,(IF(Consultas!AI269&gt;(Consultas!AD269),-20,4)))</f>
        <v>0</v>
      </c>
      <c r="AG269" s="82">
        <f>IF(Consultas!AG269='Parâmetros'!$E$1,0,-6)</f>
        <v>-6</v>
      </c>
      <c r="AH269" s="82">
        <f>IF(Consultas!AF269='Parâmetros'!$E$1,1,-5)</f>
        <v>-5</v>
      </c>
      <c r="AI269" s="82">
        <f>IF(Consultas!AJ269&gt;700,8,IF(Consultas!AJ269&gt;500,4,IF(Consultas!AJ269&gt;200,-4,IF(Consultas!AJ269&gt;1,-15,-20))))</f>
        <v>-20</v>
      </c>
      <c r="AJ269" s="82">
        <f>IF(Consultas!AD269='Parâmetros'!$E$10,0,IF(Consultas!AD269&gt;'Parâmetros'!$A$30,12,IF(Consultas!AD269&gt;'Parâmetros'!$A$31,6,IF(Consultas!AD269&gt;'Parâmetros'!$A$32,0,IF(Consultas!AD269&gt;'Parâmetros'!$A$33,0,IF(Consultas!AD269&gt;'Parâmetros'!$A$34,-3,IF(Consultas!AD269&gt;'Parâmetros'!$A$35,-7,-1)))))))</f>
        <v>-1</v>
      </c>
      <c r="AK269" s="82">
        <f>IF(Consultas!AO269='Parâmetros'!$D$1,3,-3)</f>
        <v>-3</v>
      </c>
      <c r="AL269" s="82">
        <f>IF(Consultas!AP269='Parâmetros'!$D$1,5,-3)</f>
        <v>-3</v>
      </c>
      <c r="AM269" s="82">
        <f>IF(Consultas!AL269="N",-6,0)</f>
        <v>0</v>
      </c>
      <c r="AN269" s="82">
        <f>IF(Consultas!AM269="N",-10,0)</f>
        <v>0</v>
      </c>
      <c r="AO269" s="82">
        <f>IF(Consultas!AN269="S",4,-2)</f>
        <v>-2</v>
      </c>
      <c r="AP269" s="39"/>
      <c r="AQ269" s="165" t="str">
        <f>IF(Consultas!F269&gt;1,(SUM(F269:AO269)),"N/A")</f>
        <v>N/A</v>
      </c>
      <c r="AR269" s="78">
        <f>IF((Consultas!AD269&gt;'Parâmetros'!$A$31),"X",AJ269+Y269+V269+AC269)</f>
        <v>-9</v>
      </c>
      <c r="AS269" s="78">
        <f>IF((Consultas!AD269&gt;'Parâmetros'!$A$31),"X",(H269+I269+J269+Q269+T269+Y269+Z269+AJ269+AN269))</f>
        <v>-23</v>
      </c>
      <c r="AT269" s="78" t="str">
        <f>IF((Consultas!AD269&lt;'Parâmetros'!$A$31),"X",(AD269+AC269+AB269))</f>
        <v>X</v>
      </c>
      <c r="AU269" s="78">
        <f t="shared" si="1"/>
        <v>-23</v>
      </c>
      <c r="AV269" s="82" t="str">
        <f>IF(AQ269="N/A","N/A",IF(AQ269&gt;5,'Parâmetros'!$A$15,(IF(AU269=AR269,'Parâmetros'!$A$17,IF(AU269=AS269,'Parâmetros'!$A$16,'Parâmetros'!$A$14)))))</f>
        <v>N/A</v>
      </c>
      <c r="AW269" s="86" t="str">
        <f>IF(AQ269="N/A","N/A",IF(AV269='Parâmetros'!$A$15,'Parâmetros'!$C$15,(IF(AV269='Parâmetros'!$A$17,'Parâmetros'!$C$17,IF(AV269='Parâmetros'!$A$16,'Parâmetros'!$C$16,IF(AV269='Parâmetros'!$A$14,'Parâmetros'!$C$12))))))</f>
        <v>N/A</v>
      </c>
      <c r="AX269" s="82" t="b">
        <f>IF(Consultas!F269&gt;1,(IF(Consultas!F269&gt;5000,"SOLICITAR PED COMPRA","N/A")))</f>
        <v>0</v>
      </c>
      <c r="AY269" s="167" t="str">
        <f>IF(AND(Consultas!M269&lt;&gt;"S", Consultas!H269="S"), "CHECAGEM REVERSA", "N/A")</f>
        <v>N/A</v>
      </c>
      <c r="AZ269" s="167" t="str">
        <f>IF(Consultas!U269="N","PRECISA CORRIGIR END DIVERGENTE","N/A")</f>
        <v>N/A</v>
      </c>
    </row>
    <row r="270" ht="12.0" customHeight="1">
      <c r="A270" s="39" t="s">
        <v>90</v>
      </c>
      <c r="B270" s="82" t="str">
        <f>Consultas!B270</f>
        <v/>
      </c>
      <c r="C270" s="82" t="str">
        <f>Consultas!D270</f>
        <v/>
      </c>
      <c r="D270" s="96" t="str">
        <f>Consultas!E270</f>
        <v/>
      </c>
      <c r="E270" s="104" t="str">
        <f>IF(Consultas!AB270&gt;0,YEAR('Parâmetros'!$B$1)-YEAR(Consultas!AB270),"NA")</f>
        <v>NA</v>
      </c>
      <c r="F270" s="82">
        <f>IF(Consultas!F270&gt;'Parâmetros'!$B$2,-8,0)</f>
        <v>0</v>
      </c>
      <c r="G270" s="82">
        <f>IF(Consultas!H270='Parâmetros'!$E$1,100,0)</f>
        <v>0</v>
      </c>
      <c r="H270" s="82">
        <f>IF(Consultas!I270='Parâmetros'!$E$1,-4,12)</f>
        <v>12</v>
      </c>
      <c r="I270" s="82">
        <f>IF(Consultas!J270='Parâmetros'!$E$1,1,-13)</f>
        <v>-13</v>
      </c>
      <c r="J270" s="82">
        <f>IF(Consultas!K270='Parâmetros'!$E$1,2,-5)</f>
        <v>-5</v>
      </c>
      <c r="K270" s="82" t="str">
        <f>IF(Consultas!L270='Parâmetros'!$D$1,"SOLIC CONTRATO DE ENTREGA","N/A")</f>
        <v>N/A</v>
      </c>
      <c r="L270" s="82">
        <f>IF(Consultas!R270='Parâmetros'!$E$1,1,-3)</f>
        <v>-3</v>
      </c>
      <c r="M270" s="82" t="b">
        <f>IF(Consultas!S270&gt;1,(IF(Consultas!S270='Parâmetros'!$E$1,-3,9)))</f>
        <v>0</v>
      </c>
      <c r="N270" s="82">
        <f>IF(Consultas!T270="S",23,0)</f>
        <v>0</v>
      </c>
      <c r="O270" s="82">
        <f>IF(Consultas!U270='Parâmetros'!$E$1,-3,3)</f>
        <v>3</v>
      </c>
      <c r="P270" s="82">
        <f>IF(Consultas!V270='Parâmetros'!$E$1,-100,2)</f>
        <v>2</v>
      </c>
      <c r="Q270" s="82">
        <f>IF(Consultas!M270='Parâmetros'!$D$1,2,-9)</f>
        <v>-9</v>
      </c>
      <c r="R270" s="82">
        <f>IF(Consultas!N270="RJ",-12,0)</f>
        <v>0</v>
      </c>
      <c r="S270" s="82">
        <f>IF(Consultas!O270="-",-3,IF(Consultas!O270=0,-6,IF(Consultas!O270=5,0,IF(Consultas!O270=10,6))))</f>
        <v>-6</v>
      </c>
      <c r="T270" s="82">
        <f>IF(Consultas!M270="S",0,(IF(Consultas!P270="S",6,0)))</f>
        <v>0</v>
      </c>
      <c r="U270" s="82">
        <f>IF(Consultas!Q270&gt;97,9,IF(Consultas!Q270&gt;75,0,-7))</f>
        <v>-7</v>
      </c>
      <c r="V270" s="82">
        <f>IF(Consultas!W270='Parâmetros'!$E$1,1,-5)</f>
        <v>-5</v>
      </c>
      <c r="W270" s="82">
        <f>IF(Consultas!X270="S",3,-3)</f>
        <v>-3</v>
      </c>
      <c r="X270" s="82">
        <f>IF(Consultas!Y270="S",0,-7)</f>
        <v>-7</v>
      </c>
      <c r="Y270" s="82">
        <f>IF(Consultas!Z270='Parâmetros'!$E$1,2,-8)</f>
        <v>-8</v>
      </c>
      <c r="Z270" s="82">
        <f>IF(Consultas!AA270='Parâmetros'!$E$1,-15,1)</f>
        <v>1</v>
      </c>
      <c r="AA270" s="147" t="s">
        <v>140</v>
      </c>
      <c r="AB270" s="82" t="str">
        <f>IF(E270="NA","NA",IF(E270&gt;'Parâmetros'!$A$9,8,IF(E270&gt;'Parâmetros'!$A$8,4,IF(E270&gt;'Parâmetros'!$A$7,0,-6))))</f>
        <v>NA</v>
      </c>
      <c r="AC270" s="82">
        <f>IF(Consultas!AC270='Parâmetros'!$E$1,0,5)</f>
        <v>5</v>
      </c>
      <c r="AD270" s="82">
        <f>IF(Consultas!AH270='Parâmetros'!$D$1,-10,5)</f>
        <v>5</v>
      </c>
      <c r="AE270" s="82">
        <f>IF(Consultas!AI270&gt;(Consultas!F270*2),-10,0)</f>
        <v>0</v>
      </c>
      <c r="AF270" s="82" t="b">
        <f>IF(Consultas!AD270&gt;1,(IF(Consultas!AI270&gt;(Consultas!AD270),-20,4)))</f>
        <v>0</v>
      </c>
      <c r="AG270" s="82">
        <f>IF(Consultas!AG270='Parâmetros'!$E$1,0,-6)</f>
        <v>-6</v>
      </c>
      <c r="AH270" s="82">
        <f>IF(Consultas!AF270='Parâmetros'!$E$1,1,-5)</f>
        <v>-5</v>
      </c>
      <c r="AI270" s="82">
        <f>IF(Consultas!AJ270&gt;700,8,IF(Consultas!AJ270&gt;500,4,IF(Consultas!AJ270&gt;200,-4,IF(Consultas!AJ270&gt;1,-15,-20))))</f>
        <v>-20</v>
      </c>
      <c r="AJ270" s="82">
        <f>IF(Consultas!AD270='Parâmetros'!$E$10,0,IF(Consultas!AD270&gt;'Parâmetros'!$A$30,12,IF(Consultas!AD270&gt;'Parâmetros'!$A$31,6,IF(Consultas!AD270&gt;'Parâmetros'!$A$32,0,IF(Consultas!AD270&gt;'Parâmetros'!$A$33,0,IF(Consultas!AD270&gt;'Parâmetros'!$A$34,-3,IF(Consultas!AD270&gt;'Parâmetros'!$A$35,-7,-1)))))))</f>
        <v>-1</v>
      </c>
      <c r="AK270" s="82">
        <f>IF(Consultas!AO270='Parâmetros'!$D$1,3,-3)</f>
        <v>-3</v>
      </c>
      <c r="AL270" s="82">
        <f>IF(Consultas!AP270='Parâmetros'!$D$1,5,-3)</f>
        <v>-3</v>
      </c>
      <c r="AM270" s="82">
        <f>IF(Consultas!AL270="N",-6,0)</f>
        <v>0</v>
      </c>
      <c r="AN270" s="82">
        <f>IF(Consultas!AM270="N",-10,0)</f>
        <v>0</v>
      </c>
      <c r="AO270" s="82">
        <f>IF(Consultas!AN270="S",4,-2)</f>
        <v>-2</v>
      </c>
      <c r="AP270" s="39"/>
      <c r="AQ270" s="165" t="str">
        <f>IF(Consultas!F270&gt;1,(SUM(F270:AO270)),"N/A")</f>
        <v>N/A</v>
      </c>
      <c r="AR270" s="78">
        <f>IF((Consultas!AD270&gt;'Parâmetros'!$A$31),"X",AJ270+Y270+V270+AC270)</f>
        <v>-9</v>
      </c>
      <c r="AS270" s="78">
        <f>IF((Consultas!AD270&gt;'Parâmetros'!$A$31),"X",(H270+I270+J270+Q270+T270+Y270+Z270+AJ270+AN270))</f>
        <v>-23</v>
      </c>
      <c r="AT270" s="78" t="str">
        <f>IF((Consultas!AD270&lt;'Parâmetros'!$A$31),"X",(AD270+AC270+AB270))</f>
        <v>X</v>
      </c>
      <c r="AU270" s="78">
        <f t="shared" si="1"/>
        <v>-23</v>
      </c>
      <c r="AV270" s="82" t="str">
        <f>IF(AQ270="N/A","N/A",IF(AQ270&gt;5,'Parâmetros'!$A$15,(IF(AU270=AR270,'Parâmetros'!$A$17,IF(AU270=AS270,'Parâmetros'!$A$16,'Parâmetros'!$A$14)))))</f>
        <v>N/A</v>
      </c>
      <c r="AW270" s="86" t="str">
        <f>IF(AQ270="N/A","N/A",IF(AV270='Parâmetros'!$A$15,'Parâmetros'!$C$15,(IF(AV270='Parâmetros'!$A$17,'Parâmetros'!$C$17,IF(AV270='Parâmetros'!$A$16,'Parâmetros'!$C$16,IF(AV270='Parâmetros'!$A$14,'Parâmetros'!$C$12))))))</f>
        <v>N/A</v>
      </c>
      <c r="AX270" s="82" t="b">
        <f>IF(Consultas!F270&gt;1,(IF(Consultas!F270&gt;5000,"SOLICITAR PED COMPRA","N/A")))</f>
        <v>0</v>
      </c>
      <c r="AY270" s="167" t="str">
        <f>IF(AND(Consultas!M270&lt;&gt;"S", Consultas!H270="S"), "CHECAGEM REVERSA", "N/A")</f>
        <v>N/A</v>
      </c>
      <c r="AZ270" s="167" t="str">
        <f>IF(Consultas!U270="N","PRECISA CORRIGIR END DIVERGENTE","N/A")</f>
        <v>N/A</v>
      </c>
    </row>
    <row r="271" ht="12.0" customHeight="1">
      <c r="A271" s="39" t="s">
        <v>90</v>
      </c>
      <c r="B271" s="82" t="str">
        <f>Consultas!B271</f>
        <v/>
      </c>
      <c r="C271" s="82" t="str">
        <f>Consultas!D271</f>
        <v/>
      </c>
      <c r="D271" s="96" t="str">
        <f>Consultas!E271</f>
        <v/>
      </c>
      <c r="E271" s="104" t="str">
        <f>IF(Consultas!AB271&gt;0,YEAR('Parâmetros'!$B$1)-YEAR(Consultas!AB271),"NA")</f>
        <v>NA</v>
      </c>
      <c r="F271" s="82">
        <f>IF(Consultas!F271&gt;'Parâmetros'!$B$2,-8,0)</f>
        <v>0</v>
      </c>
      <c r="G271" s="82">
        <f>IF(Consultas!H271='Parâmetros'!$E$1,100,0)</f>
        <v>0</v>
      </c>
      <c r="H271" s="82">
        <f>IF(Consultas!I271='Parâmetros'!$E$1,-4,12)</f>
        <v>12</v>
      </c>
      <c r="I271" s="82">
        <f>IF(Consultas!J271='Parâmetros'!$E$1,1,-13)</f>
        <v>-13</v>
      </c>
      <c r="J271" s="82">
        <f>IF(Consultas!K271='Parâmetros'!$E$1,2,-5)</f>
        <v>-5</v>
      </c>
      <c r="K271" s="82" t="str">
        <f>IF(Consultas!L271='Parâmetros'!$D$1,"SOLIC CONTRATO DE ENTREGA","N/A")</f>
        <v>N/A</v>
      </c>
      <c r="L271" s="82">
        <f>IF(Consultas!R271='Parâmetros'!$E$1,1,-3)</f>
        <v>-3</v>
      </c>
      <c r="M271" s="82" t="b">
        <f>IF(Consultas!S271&gt;1,(IF(Consultas!S271='Parâmetros'!$E$1,-3,9)))</f>
        <v>0</v>
      </c>
      <c r="N271" s="82">
        <f>IF(Consultas!T271="S",23,0)</f>
        <v>0</v>
      </c>
      <c r="O271" s="82">
        <f>IF(Consultas!U271='Parâmetros'!$E$1,-3,3)</f>
        <v>3</v>
      </c>
      <c r="P271" s="82">
        <f>IF(Consultas!V271='Parâmetros'!$E$1,-100,2)</f>
        <v>2</v>
      </c>
      <c r="Q271" s="82">
        <f>IF(Consultas!M271='Parâmetros'!$D$1,2,-9)</f>
        <v>-9</v>
      </c>
      <c r="R271" s="82">
        <f>IF(Consultas!N271="RJ",-12,0)</f>
        <v>0</v>
      </c>
      <c r="S271" s="82">
        <f>IF(Consultas!O271="-",-3,IF(Consultas!O271=0,-6,IF(Consultas!O271=5,0,IF(Consultas!O271=10,6))))</f>
        <v>-6</v>
      </c>
      <c r="T271" s="82">
        <f>IF(Consultas!M271="S",0,(IF(Consultas!P271="S",6,0)))</f>
        <v>0</v>
      </c>
      <c r="U271" s="82">
        <f>IF(Consultas!Q271&gt;97,9,IF(Consultas!Q271&gt;75,0,-7))</f>
        <v>-7</v>
      </c>
      <c r="V271" s="82">
        <f>IF(Consultas!W271='Parâmetros'!$E$1,1,-5)</f>
        <v>-5</v>
      </c>
      <c r="W271" s="82">
        <f>IF(Consultas!X271="S",3,-3)</f>
        <v>-3</v>
      </c>
      <c r="X271" s="82">
        <f>IF(Consultas!Y271="S",0,-7)</f>
        <v>-7</v>
      </c>
      <c r="Y271" s="82">
        <f>IF(Consultas!Z271='Parâmetros'!$E$1,2,-8)</f>
        <v>-8</v>
      </c>
      <c r="Z271" s="82">
        <f>IF(Consultas!AA271='Parâmetros'!$E$1,-15,1)</f>
        <v>1</v>
      </c>
      <c r="AA271" s="147" t="s">
        <v>140</v>
      </c>
      <c r="AB271" s="82" t="str">
        <f>IF(E271="NA","NA",IF(E271&gt;'Parâmetros'!$A$9,8,IF(E271&gt;'Parâmetros'!$A$8,4,IF(E271&gt;'Parâmetros'!$A$7,0,-6))))</f>
        <v>NA</v>
      </c>
      <c r="AC271" s="82">
        <f>IF(Consultas!AC271='Parâmetros'!$E$1,0,5)</f>
        <v>5</v>
      </c>
      <c r="AD271" s="82">
        <f>IF(Consultas!AH271='Parâmetros'!$D$1,-10,5)</f>
        <v>5</v>
      </c>
      <c r="AE271" s="82">
        <f>IF(Consultas!AI271&gt;(Consultas!F271*2),-10,0)</f>
        <v>0</v>
      </c>
      <c r="AF271" s="82" t="b">
        <f>IF(Consultas!AD271&gt;1,(IF(Consultas!AI271&gt;(Consultas!AD271),-20,4)))</f>
        <v>0</v>
      </c>
      <c r="AG271" s="82">
        <f>IF(Consultas!AG271='Parâmetros'!$E$1,0,-6)</f>
        <v>-6</v>
      </c>
      <c r="AH271" s="82">
        <f>IF(Consultas!AF271='Parâmetros'!$E$1,1,-5)</f>
        <v>-5</v>
      </c>
      <c r="AI271" s="82">
        <f>IF(Consultas!AJ271&gt;700,8,IF(Consultas!AJ271&gt;500,4,IF(Consultas!AJ271&gt;200,-4,IF(Consultas!AJ271&gt;1,-15,-20))))</f>
        <v>-20</v>
      </c>
      <c r="AJ271" s="82">
        <f>IF(Consultas!AD271='Parâmetros'!$E$10,0,IF(Consultas!AD271&gt;'Parâmetros'!$A$30,12,IF(Consultas!AD271&gt;'Parâmetros'!$A$31,6,IF(Consultas!AD271&gt;'Parâmetros'!$A$32,0,IF(Consultas!AD271&gt;'Parâmetros'!$A$33,0,IF(Consultas!AD271&gt;'Parâmetros'!$A$34,-3,IF(Consultas!AD271&gt;'Parâmetros'!$A$35,-7,-1)))))))</f>
        <v>-1</v>
      </c>
      <c r="AK271" s="82">
        <f>IF(Consultas!AO271='Parâmetros'!$D$1,3,-3)</f>
        <v>-3</v>
      </c>
      <c r="AL271" s="82">
        <f>IF(Consultas!AP271='Parâmetros'!$D$1,5,-3)</f>
        <v>-3</v>
      </c>
      <c r="AM271" s="82">
        <f>IF(Consultas!AL271="N",-6,0)</f>
        <v>0</v>
      </c>
      <c r="AN271" s="82">
        <f>IF(Consultas!AM271="N",-10,0)</f>
        <v>0</v>
      </c>
      <c r="AO271" s="82">
        <f>IF(Consultas!AN271="S",4,-2)</f>
        <v>-2</v>
      </c>
      <c r="AP271" s="39"/>
      <c r="AQ271" s="165" t="str">
        <f>IF(Consultas!F271&gt;1,(SUM(F271:AO271)),"N/A")</f>
        <v>N/A</v>
      </c>
      <c r="AR271" s="78">
        <f>IF((Consultas!AD271&gt;'Parâmetros'!$A$31),"X",AJ271+Y271+V271+AC271)</f>
        <v>-9</v>
      </c>
      <c r="AS271" s="78">
        <f>IF((Consultas!AD271&gt;'Parâmetros'!$A$31),"X",(H271+I271+J271+Q271+T271+Y271+Z271+AJ271+AN271))</f>
        <v>-23</v>
      </c>
      <c r="AT271" s="78" t="str">
        <f>IF((Consultas!AD271&lt;'Parâmetros'!$A$31),"X",(AD271+AC271+AB271))</f>
        <v>X</v>
      </c>
      <c r="AU271" s="78">
        <f t="shared" si="1"/>
        <v>-23</v>
      </c>
      <c r="AV271" s="82" t="str">
        <f>IF(AQ271="N/A","N/A",IF(AQ271&gt;5,'Parâmetros'!$A$15,(IF(AU271=AR271,'Parâmetros'!$A$17,IF(AU271=AS271,'Parâmetros'!$A$16,'Parâmetros'!$A$14)))))</f>
        <v>N/A</v>
      </c>
      <c r="AW271" s="86" t="str">
        <f>IF(AQ271="N/A","N/A",IF(AV271='Parâmetros'!$A$15,'Parâmetros'!$C$15,(IF(AV271='Parâmetros'!$A$17,'Parâmetros'!$C$17,IF(AV271='Parâmetros'!$A$16,'Parâmetros'!$C$16,IF(AV271='Parâmetros'!$A$14,'Parâmetros'!$C$12))))))</f>
        <v>N/A</v>
      </c>
      <c r="AX271" s="82" t="b">
        <f>IF(Consultas!F271&gt;1,(IF(Consultas!F271&gt;5000,"SOLICITAR PED COMPRA","N/A")))</f>
        <v>0</v>
      </c>
      <c r="AY271" s="167" t="str">
        <f>IF(AND(Consultas!M271&lt;&gt;"S", Consultas!H271="S"), "CHECAGEM REVERSA", "N/A")</f>
        <v>N/A</v>
      </c>
      <c r="AZ271" s="167" t="str">
        <f>IF(Consultas!U271="N","PRECISA CORRIGIR END DIVERGENTE","N/A")</f>
        <v>N/A</v>
      </c>
    </row>
    <row r="272" ht="12.0" customHeight="1">
      <c r="A272" s="39" t="s">
        <v>90</v>
      </c>
      <c r="B272" s="82" t="str">
        <f>Consultas!B272</f>
        <v/>
      </c>
      <c r="C272" s="82" t="str">
        <f>Consultas!D272</f>
        <v/>
      </c>
      <c r="D272" s="96" t="str">
        <f>Consultas!E272</f>
        <v/>
      </c>
      <c r="E272" s="104" t="str">
        <f>IF(Consultas!AB272&gt;0,YEAR('Parâmetros'!$B$1)-YEAR(Consultas!AB272),"NA")</f>
        <v>NA</v>
      </c>
      <c r="F272" s="82">
        <f>IF(Consultas!F272&gt;'Parâmetros'!$B$2,-8,0)</f>
        <v>0</v>
      </c>
      <c r="G272" s="82">
        <f>IF(Consultas!H272='Parâmetros'!$E$1,100,0)</f>
        <v>0</v>
      </c>
      <c r="H272" s="82">
        <f>IF(Consultas!I272='Parâmetros'!$E$1,-4,12)</f>
        <v>12</v>
      </c>
      <c r="I272" s="82">
        <f>IF(Consultas!J272='Parâmetros'!$E$1,1,-13)</f>
        <v>-13</v>
      </c>
      <c r="J272" s="82">
        <f>IF(Consultas!K272='Parâmetros'!$E$1,2,-5)</f>
        <v>-5</v>
      </c>
      <c r="K272" s="82" t="str">
        <f>IF(Consultas!L272='Parâmetros'!$D$1,"SOLIC CONTRATO DE ENTREGA","N/A")</f>
        <v>N/A</v>
      </c>
      <c r="L272" s="82">
        <f>IF(Consultas!R272='Parâmetros'!$E$1,1,-3)</f>
        <v>-3</v>
      </c>
      <c r="M272" s="82" t="b">
        <f>IF(Consultas!S272&gt;1,(IF(Consultas!S272='Parâmetros'!$E$1,-3,9)))</f>
        <v>0</v>
      </c>
      <c r="N272" s="82">
        <f>IF(Consultas!T272="S",23,0)</f>
        <v>0</v>
      </c>
      <c r="O272" s="82">
        <f>IF(Consultas!U272='Parâmetros'!$E$1,-3,3)</f>
        <v>3</v>
      </c>
      <c r="P272" s="82">
        <f>IF(Consultas!V272='Parâmetros'!$E$1,-100,2)</f>
        <v>2</v>
      </c>
      <c r="Q272" s="82">
        <f>IF(Consultas!M272='Parâmetros'!$D$1,2,-9)</f>
        <v>-9</v>
      </c>
      <c r="R272" s="82">
        <f>IF(Consultas!N272="RJ",-12,0)</f>
        <v>0</v>
      </c>
      <c r="S272" s="82">
        <f>IF(Consultas!O272="-",-3,IF(Consultas!O272=0,-6,IF(Consultas!O272=5,0,IF(Consultas!O272=10,6))))</f>
        <v>-6</v>
      </c>
      <c r="T272" s="82">
        <f>IF(Consultas!M272="S",0,(IF(Consultas!P272="S",6,0)))</f>
        <v>0</v>
      </c>
      <c r="U272" s="82">
        <f>IF(Consultas!Q272&gt;97,9,IF(Consultas!Q272&gt;75,0,-7))</f>
        <v>-7</v>
      </c>
      <c r="V272" s="82">
        <f>IF(Consultas!W272='Parâmetros'!$E$1,1,-5)</f>
        <v>-5</v>
      </c>
      <c r="W272" s="82">
        <f>IF(Consultas!X272="S",3,-3)</f>
        <v>-3</v>
      </c>
      <c r="X272" s="82">
        <f>IF(Consultas!Y272="S",0,-7)</f>
        <v>-7</v>
      </c>
      <c r="Y272" s="82">
        <f>IF(Consultas!Z272='Parâmetros'!$E$1,2,-8)</f>
        <v>-8</v>
      </c>
      <c r="Z272" s="82">
        <f>IF(Consultas!AA272='Parâmetros'!$E$1,-15,1)</f>
        <v>1</v>
      </c>
      <c r="AA272" s="147" t="s">
        <v>140</v>
      </c>
      <c r="AB272" s="82" t="str">
        <f>IF(E272="NA","NA",IF(E272&gt;'Parâmetros'!$A$9,8,IF(E272&gt;'Parâmetros'!$A$8,4,IF(E272&gt;'Parâmetros'!$A$7,0,-6))))</f>
        <v>NA</v>
      </c>
      <c r="AC272" s="82">
        <f>IF(Consultas!AC272='Parâmetros'!$E$1,0,5)</f>
        <v>5</v>
      </c>
      <c r="AD272" s="82">
        <f>IF(Consultas!AH272='Parâmetros'!$D$1,-10,5)</f>
        <v>5</v>
      </c>
      <c r="AE272" s="82">
        <f>IF(Consultas!AI272&gt;(Consultas!F272*2),-10,0)</f>
        <v>0</v>
      </c>
      <c r="AF272" s="82" t="b">
        <f>IF(Consultas!AD272&gt;1,(IF(Consultas!AI272&gt;(Consultas!AD272),-20,4)))</f>
        <v>0</v>
      </c>
      <c r="AG272" s="82">
        <f>IF(Consultas!AG272='Parâmetros'!$E$1,0,-6)</f>
        <v>-6</v>
      </c>
      <c r="AH272" s="82">
        <f>IF(Consultas!AF272='Parâmetros'!$E$1,1,-5)</f>
        <v>-5</v>
      </c>
      <c r="AI272" s="82">
        <f>IF(Consultas!AJ272&gt;700,8,IF(Consultas!AJ272&gt;500,4,IF(Consultas!AJ272&gt;200,-4,IF(Consultas!AJ272&gt;1,-15,-20))))</f>
        <v>-20</v>
      </c>
      <c r="AJ272" s="82">
        <f>IF(Consultas!AD272='Parâmetros'!$E$10,0,IF(Consultas!AD272&gt;'Parâmetros'!$A$30,12,IF(Consultas!AD272&gt;'Parâmetros'!$A$31,6,IF(Consultas!AD272&gt;'Parâmetros'!$A$32,0,IF(Consultas!AD272&gt;'Parâmetros'!$A$33,0,IF(Consultas!AD272&gt;'Parâmetros'!$A$34,-3,IF(Consultas!AD272&gt;'Parâmetros'!$A$35,-7,-1)))))))</f>
        <v>-1</v>
      </c>
      <c r="AK272" s="82">
        <f>IF(Consultas!AO272='Parâmetros'!$D$1,3,-3)</f>
        <v>-3</v>
      </c>
      <c r="AL272" s="82">
        <f>IF(Consultas!AP272='Parâmetros'!$D$1,5,-3)</f>
        <v>-3</v>
      </c>
      <c r="AM272" s="82">
        <f>IF(Consultas!AL272="N",-6,0)</f>
        <v>0</v>
      </c>
      <c r="AN272" s="82">
        <f>IF(Consultas!AM272="N",-10,0)</f>
        <v>0</v>
      </c>
      <c r="AO272" s="82">
        <f>IF(Consultas!AN272="S",4,-2)</f>
        <v>-2</v>
      </c>
      <c r="AP272" s="39"/>
      <c r="AQ272" s="165" t="str">
        <f>IF(Consultas!F272&gt;1,(SUM(F272:AO272)),"N/A")</f>
        <v>N/A</v>
      </c>
      <c r="AR272" s="78">
        <f>IF((Consultas!AD272&gt;'Parâmetros'!$A$31),"X",AJ272+Y272+V272+AC272)</f>
        <v>-9</v>
      </c>
      <c r="AS272" s="78">
        <f>IF((Consultas!AD272&gt;'Parâmetros'!$A$31),"X",(H272+I272+J272+Q272+T272+Y272+Z272+AJ272+AN272))</f>
        <v>-23</v>
      </c>
      <c r="AT272" s="78" t="str">
        <f>IF((Consultas!AD272&lt;'Parâmetros'!$A$31),"X",(AD272+AC272+AB272))</f>
        <v>X</v>
      </c>
      <c r="AU272" s="78">
        <f t="shared" si="1"/>
        <v>-23</v>
      </c>
      <c r="AV272" s="82" t="str">
        <f>IF(AQ272="N/A","N/A",IF(AQ272&gt;5,'Parâmetros'!$A$15,(IF(AU272=AR272,'Parâmetros'!$A$17,IF(AU272=AS272,'Parâmetros'!$A$16,'Parâmetros'!$A$14)))))</f>
        <v>N/A</v>
      </c>
      <c r="AW272" s="86" t="str">
        <f>IF(AQ272="N/A","N/A",IF(AV272='Parâmetros'!$A$15,'Parâmetros'!$C$15,(IF(AV272='Parâmetros'!$A$17,'Parâmetros'!$C$17,IF(AV272='Parâmetros'!$A$16,'Parâmetros'!$C$16,IF(AV272='Parâmetros'!$A$14,'Parâmetros'!$C$12))))))</f>
        <v>N/A</v>
      </c>
      <c r="AX272" s="82" t="b">
        <f>IF(Consultas!F272&gt;1,(IF(Consultas!F272&gt;5000,"SOLICITAR PED COMPRA","N/A")))</f>
        <v>0</v>
      </c>
      <c r="AY272" s="167" t="str">
        <f>IF(AND(Consultas!M272&lt;&gt;"S", Consultas!H272="S"), "CHECAGEM REVERSA", "N/A")</f>
        <v>N/A</v>
      </c>
      <c r="AZ272" s="167" t="str">
        <f>IF(Consultas!U272="N","PRECISA CORRIGIR END DIVERGENTE","N/A")</f>
        <v>N/A</v>
      </c>
    </row>
    <row r="273" ht="12.0" customHeight="1">
      <c r="A273" s="39" t="s">
        <v>90</v>
      </c>
      <c r="B273" s="82" t="str">
        <f>Consultas!B273</f>
        <v/>
      </c>
      <c r="C273" s="82" t="str">
        <f>Consultas!D273</f>
        <v/>
      </c>
      <c r="D273" s="96" t="str">
        <f>Consultas!E273</f>
        <v/>
      </c>
      <c r="E273" s="104" t="str">
        <f>IF(Consultas!AB273&gt;0,YEAR('Parâmetros'!$B$1)-YEAR(Consultas!AB273),"NA")</f>
        <v>NA</v>
      </c>
      <c r="F273" s="82">
        <f>IF(Consultas!F273&gt;'Parâmetros'!$B$2,-8,0)</f>
        <v>0</v>
      </c>
      <c r="G273" s="82">
        <f>IF(Consultas!H273='Parâmetros'!$E$1,100,0)</f>
        <v>0</v>
      </c>
      <c r="H273" s="82">
        <f>IF(Consultas!I273='Parâmetros'!$E$1,-4,12)</f>
        <v>12</v>
      </c>
      <c r="I273" s="82">
        <f>IF(Consultas!J273='Parâmetros'!$E$1,1,-13)</f>
        <v>-13</v>
      </c>
      <c r="J273" s="82">
        <f>IF(Consultas!K273='Parâmetros'!$E$1,2,-5)</f>
        <v>-5</v>
      </c>
      <c r="K273" s="82" t="str">
        <f>IF(Consultas!L273='Parâmetros'!$D$1,"SOLIC CONTRATO DE ENTREGA","N/A")</f>
        <v>N/A</v>
      </c>
      <c r="L273" s="82">
        <f>IF(Consultas!R273='Parâmetros'!$E$1,1,-3)</f>
        <v>-3</v>
      </c>
      <c r="M273" s="82" t="b">
        <f>IF(Consultas!S273&gt;1,(IF(Consultas!S273='Parâmetros'!$E$1,-3,9)))</f>
        <v>0</v>
      </c>
      <c r="N273" s="82">
        <f>IF(Consultas!T273="S",23,0)</f>
        <v>0</v>
      </c>
      <c r="O273" s="82">
        <f>IF(Consultas!U273='Parâmetros'!$E$1,-3,3)</f>
        <v>3</v>
      </c>
      <c r="P273" s="82">
        <f>IF(Consultas!V273='Parâmetros'!$E$1,-100,2)</f>
        <v>2</v>
      </c>
      <c r="Q273" s="82">
        <f>IF(Consultas!M273='Parâmetros'!$D$1,2,-9)</f>
        <v>-9</v>
      </c>
      <c r="R273" s="82">
        <f>IF(Consultas!N273="RJ",-12,0)</f>
        <v>0</v>
      </c>
      <c r="S273" s="82">
        <f>IF(Consultas!O273="-",-3,IF(Consultas!O273=0,-6,IF(Consultas!O273=5,0,IF(Consultas!O273=10,6))))</f>
        <v>-6</v>
      </c>
      <c r="T273" s="82">
        <f>IF(Consultas!M273="S",0,(IF(Consultas!P273="S",6,0)))</f>
        <v>0</v>
      </c>
      <c r="U273" s="82">
        <f>IF(Consultas!Q273&gt;97,9,IF(Consultas!Q273&gt;75,0,-7))</f>
        <v>-7</v>
      </c>
      <c r="V273" s="82">
        <f>IF(Consultas!W273='Parâmetros'!$E$1,1,-5)</f>
        <v>-5</v>
      </c>
      <c r="W273" s="82">
        <f>IF(Consultas!X273="S",3,-3)</f>
        <v>-3</v>
      </c>
      <c r="X273" s="82">
        <f>IF(Consultas!Y273="S",0,-7)</f>
        <v>-7</v>
      </c>
      <c r="Y273" s="82">
        <f>IF(Consultas!Z273='Parâmetros'!$E$1,2,-8)</f>
        <v>-8</v>
      </c>
      <c r="Z273" s="82">
        <f>IF(Consultas!AA273='Parâmetros'!$E$1,-15,1)</f>
        <v>1</v>
      </c>
      <c r="AA273" s="147" t="s">
        <v>140</v>
      </c>
      <c r="AB273" s="82" t="str">
        <f>IF(E273="NA","NA",IF(E273&gt;'Parâmetros'!$A$9,8,IF(E273&gt;'Parâmetros'!$A$8,4,IF(E273&gt;'Parâmetros'!$A$7,0,-6))))</f>
        <v>NA</v>
      </c>
      <c r="AC273" s="82">
        <f>IF(Consultas!AC273='Parâmetros'!$E$1,0,5)</f>
        <v>5</v>
      </c>
      <c r="AD273" s="82">
        <f>IF(Consultas!AH273='Parâmetros'!$D$1,-10,5)</f>
        <v>5</v>
      </c>
      <c r="AE273" s="82">
        <f>IF(Consultas!AI273&gt;(Consultas!F273*2),-10,0)</f>
        <v>0</v>
      </c>
      <c r="AF273" s="82" t="b">
        <f>IF(Consultas!AD273&gt;1,(IF(Consultas!AI273&gt;(Consultas!AD273),-20,4)))</f>
        <v>0</v>
      </c>
      <c r="AG273" s="82">
        <f>IF(Consultas!AG273='Parâmetros'!$E$1,0,-6)</f>
        <v>-6</v>
      </c>
      <c r="AH273" s="82">
        <f>IF(Consultas!AF273='Parâmetros'!$E$1,1,-5)</f>
        <v>-5</v>
      </c>
      <c r="AI273" s="82">
        <f>IF(Consultas!AJ273&gt;700,8,IF(Consultas!AJ273&gt;500,4,IF(Consultas!AJ273&gt;200,-4,IF(Consultas!AJ273&gt;1,-15,-20))))</f>
        <v>-20</v>
      </c>
      <c r="AJ273" s="82">
        <f>IF(Consultas!AD273='Parâmetros'!$E$10,0,IF(Consultas!AD273&gt;'Parâmetros'!$A$30,12,IF(Consultas!AD273&gt;'Parâmetros'!$A$31,6,IF(Consultas!AD273&gt;'Parâmetros'!$A$32,0,IF(Consultas!AD273&gt;'Parâmetros'!$A$33,0,IF(Consultas!AD273&gt;'Parâmetros'!$A$34,-3,IF(Consultas!AD273&gt;'Parâmetros'!$A$35,-7,-1)))))))</f>
        <v>-1</v>
      </c>
      <c r="AK273" s="82">
        <f>IF(Consultas!AO273='Parâmetros'!$D$1,3,-3)</f>
        <v>-3</v>
      </c>
      <c r="AL273" s="82">
        <f>IF(Consultas!AP273='Parâmetros'!$D$1,5,-3)</f>
        <v>-3</v>
      </c>
      <c r="AM273" s="82">
        <f>IF(Consultas!AL273="N",-6,0)</f>
        <v>0</v>
      </c>
      <c r="AN273" s="82">
        <f>IF(Consultas!AM273="N",-10,0)</f>
        <v>0</v>
      </c>
      <c r="AO273" s="82">
        <f>IF(Consultas!AN273="S",4,-2)</f>
        <v>-2</v>
      </c>
      <c r="AP273" s="39"/>
      <c r="AQ273" s="165" t="str">
        <f>IF(Consultas!F273&gt;1,(SUM(F273:AO273)),"N/A")</f>
        <v>N/A</v>
      </c>
      <c r="AR273" s="78">
        <f>IF((Consultas!AD273&gt;'Parâmetros'!$A$31),"X",AJ273+Y273+V273+AC273)</f>
        <v>-9</v>
      </c>
      <c r="AS273" s="78">
        <f>IF((Consultas!AD273&gt;'Parâmetros'!$A$31),"X",(H273+I273+J273+Q273+T273+Y273+Z273+AJ273+AN273))</f>
        <v>-23</v>
      </c>
      <c r="AT273" s="78" t="str">
        <f>IF((Consultas!AD273&lt;'Parâmetros'!$A$31),"X",(AD273+AC273+AB273))</f>
        <v>X</v>
      </c>
      <c r="AU273" s="78">
        <f t="shared" si="1"/>
        <v>-23</v>
      </c>
      <c r="AV273" s="82" t="str">
        <f>IF(AQ273="N/A","N/A",IF(AQ273&gt;5,'Parâmetros'!$A$15,(IF(AU273=AR273,'Parâmetros'!$A$17,IF(AU273=AS273,'Parâmetros'!$A$16,'Parâmetros'!$A$14)))))</f>
        <v>N/A</v>
      </c>
      <c r="AW273" s="86" t="str">
        <f>IF(AQ273="N/A","N/A",IF(AV273='Parâmetros'!$A$15,'Parâmetros'!$C$15,(IF(AV273='Parâmetros'!$A$17,'Parâmetros'!$C$17,IF(AV273='Parâmetros'!$A$16,'Parâmetros'!$C$16,IF(AV273='Parâmetros'!$A$14,'Parâmetros'!$C$12))))))</f>
        <v>N/A</v>
      </c>
      <c r="AX273" s="82" t="b">
        <f>IF(Consultas!F273&gt;1,(IF(Consultas!F273&gt;5000,"SOLICITAR PED COMPRA","N/A")))</f>
        <v>0</v>
      </c>
      <c r="AY273" s="167" t="str">
        <f>IF(AND(Consultas!M273&lt;&gt;"S", Consultas!H273="S"), "CHECAGEM REVERSA", "N/A")</f>
        <v>N/A</v>
      </c>
      <c r="AZ273" s="167" t="str">
        <f>IF(Consultas!U273="N","PRECISA CORRIGIR END DIVERGENTE","N/A")</f>
        <v>N/A</v>
      </c>
    </row>
    <row r="274" ht="12.0" customHeight="1">
      <c r="A274" s="39" t="s">
        <v>90</v>
      </c>
      <c r="B274" s="82" t="str">
        <f>Consultas!B274</f>
        <v/>
      </c>
      <c r="C274" s="82" t="str">
        <f>Consultas!D274</f>
        <v/>
      </c>
      <c r="D274" s="96" t="str">
        <f>Consultas!E274</f>
        <v/>
      </c>
      <c r="E274" s="104" t="str">
        <f>IF(Consultas!AB274&gt;0,YEAR('Parâmetros'!$B$1)-YEAR(Consultas!AB274),"NA")</f>
        <v>NA</v>
      </c>
      <c r="F274" s="82">
        <f>IF(Consultas!F274&gt;'Parâmetros'!$B$2,-8,0)</f>
        <v>0</v>
      </c>
      <c r="G274" s="82">
        <f>IF(Consultas!H274='Parâmetros'!$E$1,100,0)</f>
        <v>0</v>
      </c>
      <c r="H274" s="82">
        <f>IF(Consultas!I274='Parâmetros'!$E$1,-4,12)</f>
        <v>12</v>
      </c>
      <c r="I274" s="82">
        <f>IF(Consultas!J274='Parâmetros'!$E$1,1,-13)</f>
        <v>-13</v>
      </c>
      <c r="J274" s="82">
        <f>IF(Consultas!K274='Parâmetros'!$E$1,2,-5)</f>
        <v>-5</v>
      </c>
      <c r="K274" s="82" t="str">
        <f>IF(Consultas!L274='Parâmetros'!$D$1,"SOLIC CONTRATO DE ENTREGA","N/A")</f>
        <v>N/A</v>
      </c>
      <c r="L274" s="82">
        <f>IF(Consultas!R274='Parâmetros'!$E$1,1,-3)</f>
        <v>-3</v>
      </c>
      <c r="M274" s="82" t="b">
        <f>IF(Consultas!S274&gt;1,(IF(Consultas!S274='Parâmetros'!$E$1,-3,9)))</f>
        <v>0</v>
      </c>
      <c r="N274" s="82">
        <f>IF(Consultas!T274="S",23,0)</f>
        <v>0</v>
      </c>
      <c r="O274" s="82">
        <f>IF(Consultas!U274='Parâmetros'!$E$1,-3,3)</f>
        <v>3</v>
      </c>
      <c r="P274" s="82">
        <f>IF(Consultas!V274='Parâmetros'!$E$1,-100,2)</f>
        <v>2</v>
      </c>
      <c r="Q274" s="82">
        <f>IF(Consultas!M274='Parâmetros'!$D$1,2,-9)</f>
        <v>-9</v>
      </c>
      <c r="R274" s="82">
        <f>IF(Consultas!N274="RJ",-12,0)</f>
        <v>0</v>
      </c>
      <c r="S274" s="82">
        <f>IF(Consultas!O274="-",-3,IF(Consultas!O274=0,-6,IF(Consultas!O274=5,0,IF(Consultas!O274=10,6))))</f>
        <v>-6</v>
      </c>
      <c r="T274" s="82">
        <f>IF(Consultas!M274="S",0,(IF(Consultas!P274="S",6,0)))</f>
        <v>0</v>
      </c>
      <c r="U274" s="82">
        <f>IF(Consultas!Q274&gt;97,9,IF(Consultas!Q274&gt;75,0,-7))</f>
        <v>-7</v>
      </c>
      <c r="V274" s="82">
        <f>IF(Consultas!W274='Parâmetros'!$E$1,1,-5)</f>
        <v>-5</v>
      </c>
      <c r="W274" s="82">
        <f>IF(Consultas!X274="S",3,-3)</f>
        <v>-3</v>
      </c>
      <c r="X274" s="82">
        <f>IF(Consultas!Y274="S",0,-7)</f>
        <v>-7</v>
      </c>
      <c r="Y274" s="82">
        <f>IF(Consultas!Z274='Parâmetros'!$E$1,2,-8)</f>
        <v>-8</v>
      </c>
      <c r="Z274" s="82">
        <f>IF(Consultas!AA274='Parâmetros'!$E$1,-15,1)</f>
        <v>1</v>
      </c>
      <c r="AA274" s="147" t="s">
        <v>140</v>
      </c>
      <c r="AB274" s="82" t="str">
        <f>IF(E274="NA","NA",IF(E274&gt;'Parâmetros'!$A$9,8,IF(E274&gt;'Parâmetros'!$A$8,4,IF(E274&gt;'Parâmetros'!$A$7,0,-6))))</f>
        <v>NA</v>
      </c>
      <c r="AC274" s="82">
        <f>IF(Consultas!AC274='Parâmetros'!$E$1,0,5)</f>
        <v>5</v>
      </c>
      <c r="AD274" s="82">
        <f>IF(Consultas!AH274='Parâmetros'!$D$1,-10,5)</f>
        <v>5</v>
      </c>
      <c r="AE274" s="82">
        <f>IF(Consultas!AI274&gt;(Consultas!F274*2),-10,0)</f>
        <v>0</v>
      </c>
      <c r="AF274" s="82" t="b">
        <f>IF(Consultas!AD274&gt;1,(IF(Consultas!AI274&gt;(Consultas!AD274),-20,4)))</f>
        <v>0</v>
      </c>
      <c r="AG274" s="82">
        <f>IF(Consultas!AG274='Parâmetros'!$E$1,0,-6)</f>
        <v>-6</v>
      </c>
      <c r="AH274" s="82">
        <f>IF(Consultas!AF274='Parâmetros'!$E$1,1,-5)</f>
        <v>-5</v>
      </c>
      <c r="AI274" s="82">
        <f>IF(Consultas!AJ274&gt;700,8,IF(Consultas!AJ274&gt;500,4,IF(Consultas!AJ274&gt;200,-4,IF(Consultas!AJ274&gt;1,-15,-20))))</f>
        <v>-20</v>
      </c>
      <c r="AJ274" s="82">
        <f>IF(Consultas!AD274='Parâmetros'!$E$10,0,IF(Consultas!AD274&gt;'Parâmetros'!$A$30,12,IF(Consultas!AD274&gt;'Parâmetros'!$A$31,6,IF(Consultas!AD274&gt;'Parâmetros'!$A$32,0,IF(Consultas!AD274&gt;'Parâmetros'!$A$33,0,IF(Consultas!AD274&gt;'Parâmetros'!$A$34,-3,IF(Consultas!AD274&gt;'Parâmetros'!$A$35,-7,-1)))))))</f>
        <v>-1</v>
      </c>
      <c r="AK274" s="82">
        <f>IF(Consultas!AO274='Parâmetros'!$D$1,3,-3)</f>
        <v>-3</v>
      </c>
      <c r="AL274" s="82">
        <f>IF(Consultas!AP274='Parâmetros'!$D$1,5,-3)</f>
        <v>-3</v>
      </c>
      <c r="AM274" s="82">
        <f>IF(Consultas!AL274="N",-6,0)</f>
        <v>0</v>
      </c>
      <c r="AN274" s="82">
        <f>IF(Consultas!AM274="N",-10,0)</f>
        <v>0</v>
      </c>
      <c r="AO274" s="82">
        <f>IF(Consultas!AN274="S",4,-2)</f>
        <v>-2</v>
      </c>
      <c r="AP274" s="39"/>
      <c r="AQ274" s="165" t="str">
        <f>IF(Consultas!F274&gt;1,(SUM(F274:AO274)),"N/A")</f>
        <v>N/A</v>
      </c>
      <c r="AR274" s="78">
        <f>IF((Consultas!AD274&gt;'Parâmetros'!$A$31),"X",AJ274+Y274+V274+AC274)</f>
        <v>-9</v>
      </c>
      <c r="AS274" s="78">
        <f>IF((Consultas!AD274&gt;'Parâmetros'!$A$31),"X",(H274+I274+J274+Q274+T274+Y274+Z274+AJ274+AN274))</f>
        <v>-23</v>
      </c>
      <c r="AT274" s="78" t="str">
        <f>IF((Consultas!AD274&lt;'Parâmetros'!$A$31),"X",(AD274+AC274+AB274))</f>
        <v>X</v>
      </c>
      <c r="AU274" s="78">
        <f t="shared" si="1"/>
        <v>-23</v>
      </c>
      <c r="AV274" s="82" t="str">
        <f>IF(AQ274="N/A","N/A",IF(AQ274&gt;5,'Parâmetros'!$A$15,(IF(AU274=AR274,'Parâmetros'!$A$17,IF(AU274=AS274,'Parâmetros'!$A$16,'Parâmetros'!$A$14)))))</f>
        <v>N/A</v>
      </c>
      <c r="AW274" s="86" t="str">
        <f>IF(AQ274="N/A","N/A",IF(AV274='Parâmetros'!$A$15,'Parâmetros'!$C$15,(IF(AV274='Parâmetros'!$A$17,'Parâmetros'!$C$17,IF(AV274='Parâmetros'!$A$16,'Parâmetros'!$C$16,IF(AV274='Parâmetros'!$A$14,'Parâmetros'!$C$12))))))</f>
        <v>N/A</v>
      </c>
      <c r="AX274" s="82" t="b">
        <f>IF(Consultas!F274&gt;1,(IF(Consultas!F274&gt;5000,"SOLICITAR PED COMPRA","N/A")))</f>
        <v>0</v>
      </c>
      <c r="AY274" s="167" t="str">
        <f>IF(AND(Consultas!M274&lt;&gt;"S", Consultas!H274="S"), "CHECAGEM REVERSA", "N/A")</f>
        <v>N/A</v>
      </c>
      <c r="AZ274" s="167" t="str">
        <f>IF(Consultas!U274="N","PRECISA CORRIGIR END DIVERGENTE","N/A")</f>
        <v>N/A</v>
      </c>
    </row>
    <row r="275" ht="12.0" customHeight="1">
      <c r="A275" s="39" t="s">
        <v>90</v>
      </c>
      <c r="B275" s="82" t="str">
        <f>Consultas!B275</f>
        <v/>
      </c>
      <c r="C275" s="82" t="str">
        <f>Consultas!D275</f>
        <v/>
      </c>
      <c r="D275" s="96" t="str">
        <f>Consultas!E275</f>
        <v/>
      </c>
      <c r="E275" s="104" t="str">
        <f>IF(Consultas!AB275&gt;0,YEAR('Parâmetros'!$B$1)-YEAR(Consultas!AB275),"NA")</f>
        <v>NA</v>
      </c>
      <c r="F275" s="82">
        <f>IF(Consultas!F275&gt;'Parâmetros'!$B$2,-8,0)</f>
        <v>0</v>
      </c>
      <c r="G275" s="82">
        <f>IF(Consultas!H275='Parâmetros'!$E$1,100,0)</f>
        <v>0</v>
      </c>
      <c r="H275" s="82">
        <f>IF(Consultas!I275='Parâmetros'!$E$1,-4,12)</f>
        <v>12</v>
      </c>
      <c r="I275" s="82">
        <f>IF(Consultas!J275='Parâmetros'!$E$1,1,-13)</f>
        <v>-13</v>
      </c>
      <c r="J275" s="82">
        <f>IF(Consultas!K275='Parâmetros'!$E$1,2,-5)</f>
        <v>-5</v>
      </c>
      <c r="K275" s="82" t="str">
        <f>IF(Consultas!L275='Parâmetros'!$D$1,"SOLIC CONTRATO DE ENTREGA","N/A")</f>
        <v>N/A</v>
      </c>
      <c r="L275" s="82">
        <f>IF(Consultas!R275='Parâmetros'!$E$1,1,-3)</f>
        <v>-3</v>
      </c>
      <c r="M275" s="82" t="b">
        <f>IF(Consultas!S275&gt;1,(IF(Consultas!S275='Parâmetros'!$E$1,-3,9)))</f>
        <v>0</v>
      </c>
      <c r="N275" s="82">
        <f>IF(Consultas!T275="S",23,0)</f>
        <v>0</v>
      </c>
      <c r="O275" s="82">
        <f>IF(Consultas!U275='Parâmetros'!$E$1,-3,3)</f>
        <v>3</v>
      </c>
      <c r="P275" s="82">
        <f>IF(Consultas!V275='Parâmetros'!$E$1,-100,2)</f>
        <v>2</v>
      </c>
      <c r="Q275" s="82">
        <f>IF(Consultas!M275='Parâmetros'!$D$1,2,-9)</f>
        <v>-9</v>
      </c>
      <c r="R275" s="82">
        <f>IF(Consultas!N275="RJ",-12,0)</f>
        <v>0</v>
      </c>
      <c r="S275" s="82">
        <f>IF(Consultas!O275="-",-3,IF(Consultas!O275=0,-6,IF(Consultas!O275=5,0,IF(Consultas!O275=10,6))))</f>
        <v>-6</v>
      </c>
      <c r="T275" s="82">
        <f>IF(Consultas!M275="S",0,(IF(Consultas!P275="S",6,0)))</f>
        <v>0</v>
      </c>
      <c r="U275" s="82">
        <f>IF(Consultas!Q275&gt;97,9,IF(Consultas!Q275&gt;75,0,-7))</f>
        <v>-7</v>
      </c>
      <c r="V275" s="82">
        <f>IF(Consultas!W275='Parâmetros'!$E$1,1,-5)</f>
        <v>-5</v>
      </c>
      <c r="W275" s="82">
        <f>IF(Consultas!X275="S",3,-3)</f>
        <v>-3</v>
      </c>
      <c r="X275" s="82">
        <f>IF(Consultas!Y275="S",0,-7)</f>
        <v>-7</v>
      </c>
      <c r="Y275" s="82">
        <f>IF(Consultas!Z275='Parâmetros'!$E$1,2,-8)</f>
        <v>-8</v>
      </c>
      <c r="Z275" s="82">
        <f>IF(Consultas!AA275='Parâmetros'!$E$1,-15,1)</f>
        <v>1</v>
      </c>
      <c r="AA275" s="147" t="s">
        <v>140</v>
      </c>
      <c r="AB275" s="82" t="str">
        <f>IF(E275="NA","NA",IF(E275&gt;'Parâmetros'!$A$9,8,IF(E275&gt;'Parâmetros'!$A$8,4,IF(E275&gt;'Parâmetros'!$A$7,0,-6))))</f>
        <v>NA</v>
      </c>
      <c r="AC275" s="82">
        <f>IF(Consultas!AC275='Parâmetros'!$E$1,0,5)</f>
        <v>5</v>
      </c>
      <c r="AD275" s="82">
        <f>IF(Consultas!AH275='Parâmetros'!$D$1,-10,5)</f>
        <v>5</v>
      </c>
      <c r="AE275" s="82">
        <f>IF(Consultas!AI275&gt;(Consultas!F275*2),-10,0)</f>
        <v>0</v>
      </c>
      <c r="AF275" s="82" t="b">
        <f>IF(Consultas!AD275&gt;1,(IF(Consultas!AI275&gt;(Consultas!AD275),-20,4)))</f>
        <v>0</v>
      </c>
      <c r="AG275" s="82">
        <f>IF(Consultas!AG275='Parâmetros'!$E$1,0,-6)</f>
        <v>-6</v>
      </c>
      <c r="AH275" s="82">
        <f>IF(Consultas!AF275='Parâmetros'!$E$1,1,-5)</f>
        <v>-5</v>
      </c>
      <c r="AI275" s="82">
        <f>IF(Consultas!AJ275&gt;700,8,IF(Consultas!AJ275&gt;500,4,IF(Consultas!AJ275&gt;200,-4,IF(Consultas!AJ275&gt;1,-15,-20))))</f>
        <v>-20</v>
      </c>
      <c r="AJ275" s="82">
        <f>IF(Consultas!AD275='Parâmetros'!$E$10,0,IF(Consultas!AD275&gt;'Parâmetros'!$A$30,12,IF(Consultas!AD275&gt;'Parâmetros'!$A$31,6,IF(Consultas!AD275&gt;'Parâmetros'!$A$32,0,IF(Consultas!AD275&gt;'Parâmetros'!$A$33,0,IF(Consultas!AD275&gt;'Parâmetros'!$A$34,-3,IF(Consultas!AD275&gt;'Parâmetros'!$A$35,-7,-1)))))))</f>
        <v>-1</v>
      </c>
      <c r="AK275" s="82">
        <f>IF(Consultas!AO275='Parâmetros'!$D$1,3,-3)</f>
        <v>-3</v>
      </c>
      <c r="AL275" s="82">
        <f>IF(Consultas!AP275='Parâmetros'!$D$1,5,-3)</f>
        <v>-3</v>
      </c>
      <c r="AM275" s="82">
        <f>IF(Consultas!AL275="N",-6,0)</f>
        <v>0</v>
      </c>
      <c r="AN275" s="82">
        <f>IF(Consultas!AM275="N",-10,0)</f>
        <v>0</v>
      </c>
      <c r="AO275" s="82">
        <f>IF(Consultas!AN275="S",4,-2)</f>
        <v>-2</v>
      </c>
      <c r="AP275" s="39"/>
      <c r="AQ275" s="165" t="str">
        <f>IF(Consultas!F275&gt;1,(SUM(F275:AO275)),"N/A")</f>
        <v>N/A</v>
      </c>
      <c r="AR275" s="78">
        <f>IF((Consultas!AD275&gt;'Parâmetros'!$A$31),"X",AJ275+Y275+V275+AC275)</f>
        <v>-9</v>
      </c>
      <c r="AS275" s="78">
        <f>IF((Consultas!AD275&gt;'Parâmetros'!$A$31),"X",(H275+I275+J275+Q275+T275+Y275+Z275+AJ275+AN275))</f>
        <v>-23</v>
      </c>
      <c r="AT275" s="78" t="str">
        <f>IF((Consultas!AD275&lt;'Parâmetros'!$A$31),"X",(AD275+AC275+AB275))</f>
        <v>X</v>
      </c>
      <c r="AU275" s="78">
        <f t="shared" si="1"/>
        <v>-23</v>
      </c>
      <c r="AV275" s="82" t="str">
        <f>IF(AQ275="N/A","N/A",IF(AQ275&gt;5,'Parâmetros'!$A$15,(IF(AU275=AR275,'Parâmetros'!$A$17,IF(AU275=AS275,'Parâmetros'!$A$16,'Parâmetros'!$A$14)))))</f>
        <v>N/A</v>
      </c>
      <c r="AW275" s="86" t="str">
        <f>IF(AQ275="N/A","N/A",IF(AV275='Parâmetros'!$A$15,'Parâmetros'!$C$15,(IF(AV275='Parâmetros'!$A$17,'Parâmetros'!$C$17,IF(AV275='Parâmetros'!$A$16,'Parâmetros'!$C$16,IF(AV275='Parâmetros'!$A$14,'Parâmetros'!$C$12))))))</f>
        <v>N/A</v>
      </c>
      <c r="AX275" s="82" t="b">
        <f>IF(Consultas!F275&gt;1,(IF(Consultas!F275&gt;5000,"SOLICITAR PED COMPRA","N/A")))</f>
        <v>0</v>
      </c>
      <c r="AY275" s="167" t="str">
        <f>IF(AND(Consultas!M275&lt;&gt;"S", Consultas!H275="S"), "CHECAGEM REVERSA", "N/A")</f>
        <v>N/A</v>
      </c>
      <c r="AZ275" s="167" t="str">
        <f>IF(Consultas!U275="N","PRECISA CORRIGIR END DIVERGENTE","N/A")</f>
        <v>N/A</v>
      </c>
    </row>
    <row r="276" ht="12.0" customHeight="1">
      <c r="A276" s="39" t="s">
        <v>90</v>
      </c>
      <c r="B276" s="82" t="str">
        <f>Consultas!B276</f>
        <v/>
      </c>
      <c r="C276" s="82" t="str">
        <f>Consultas!D276</f>
        <v/>
      </c>
      <c r="D276" s="96" t="str">
        <f>Consultas!E276</f>
        <v/>
      </c>
      <c r="E276" s="104" t="str">
        <f>IF(Consultas!AB276&gt;0,YEAR('Parâmetros'!$B$1)-YEAR(Consultas!AB276),"NA")</f>
        <v>NA</v>
      </c>
      <c r="F276" s="82">
        <f>IF(Consultas!F276&gt;'Parâmetros'!$B$2,-8,0)</f>
        <v>0</v>
      </c>
      <c r="G276" s="82">
        <f>IF(Consultas!H276='Parâmetros'!$E$1,100,0)</f>
        <v>0</v>
      </c>
      <c r="H276" s="82">
        <f>IF(Consultas!I276='Parâmetros'!$E$1,-4,12)</f>
        <v>12</v>
      </c>
      <c r="I276" s="82">
        <f>IF(Consultas!J276='Parâmetros'!$E$1,1,-13)</f>
        <v>-13</v>
      </c>
      <c r="J276" s="82">
        <f>IF(Consultas!K276='Parâmetros'!$E$1,2,-5)</f>
        <v>-5</v>
      </c>
      <c r="K276" s="82" t="str">
        <f>IF(Consultas!L276='Parâmetros'!$D$1,"SOLIC CONTRATO DE ENTREGA","N/A")</f>
        <v>N/A</v>
      </c>
      <c r="L276" s="82">
        <f>IF(Consultas!R276='Parâmetros'!$E$1,1,-3)</f>
        <v>-3</v>
      </c>
      <c r="M276" s="82" t="b">
        <f>IF(Consultas!S276&gt;1,(IF(Consultas!S276='Parâmetros'!$E$1,-3,9)))</f>
        <v>0</v>
      </c>
      <c r="N276" s="82">
        <f>IF(Consultas!T276="S",23,0)</f>
        <v>0</v>
      </c>
      <c r="O276" s="82">
        <f>IF(Consultas!U276='Parâmetros'!$E$1,-3,3)</f>
        <v>3</v>
      </c>
      <c r="P276" s="82">
        <f>IF(Consultas!V276='Parâmetros'!$E$1,-100,2)</f>
        <v>2</v>
      </c>
      <c r="Q276" s="82">
        <f>IF(Consultas!M276='Parâmetros'!$D$1,2,-9)</f>
        <v>-9</v>
      </c>
      <c r="R276" s="82">
        <f>IF(Consultas!N276="RJ",-12,0)</f>
        <v>0</v>
      </c>
      <c r="S276" s="82">
        <f>IF(Consultas!O276="-",-3,IF(Consultas!O276=0,-6,IF(Consultas!O276=5,0,IF(Consultas!O276=10,6))))</f>
        <v>-6</v>
      </c>
      <c r="T276" s="82">
        <f>IF(Consultas!M276="S",0,(IF(Consultas!P276="S",6,0)))</f>
        <v>0</v>
      </c>
      <c r="U276" s="82">
        <f>IF(Consultas!Q276&gt;97,9,IF(Consultas!Q276&gt;75,0,-7))</f>
        <v>-7</v>
      </c>
      <c r="V276" s="82">
        <f>IF(Consultas!W276='Parâmetros'!$E$1,1,-5)</f>
        <v>-5</v>
      </c>
      <c r="W276" s="82">
        <f>IF(Consultas!X276="S",3,-3)</f>
        <v>-3</v>
      </c>
      <c r="X276" s="82">
        <f>IF(Consultas!Y276="S",0,-7)</f>
        <v>-7</v>
      </c>
      <c r="Y276" s="82">
        <f>IF(Consultas!Z276='Parâmetros'!$E$1,2,-8)</f>
        <v>-8</v>
      </c>
      <c r="Z276" s="82">
        <f>IF(Consultas!AA276='Parâmetros'!$E$1,-15,1)</f>
        <v>1</v>
      </c>
      <c r="AA276" s="147" t="s">
        <v>140</v>
      </c>
      <c r="AB276" s="82" t="str">
        <f>IF(E276="NA","NA",IF(E276&gt;'Parâmetros'!$A$9,8,IF(E276&gt;'Parâmetros'!$A$8,4,IF(E276&gt;'Parâmetros'!$A$7,0,-6))))</f>
        <v>NA</v>
      </c>
      <c r="AC276" s="82">
        <f>IF(Consultas!AC276='Parâmetros'!$E$1,0,5)</f>
        <v>5</v>
      </c>
      <c r="AD276" s="82">
        <f>IF(Consultas!AH276='Parâmetros'!$D$1,-10,5)</f>
        <v>5</v>
      </c>
      <c r="AE276" s="82">
        <f>IF(Consultas!AI276&gt;(Consultas!F276*2),-10,0)</f>
        <v>0</v>
      </c>
      <c r="AF276" s="82" t="b">
        <f>IF(Consultas!AD276&gt;1,(IF(Consultas!AI276&gt;(Consultas!AD276),-20,4)))</f>
        <v>0</v>
      </c>
      <c r="AG276" s="82">
        <f>IF(Consultas!AG276='Parâmetros'!$E$1,0,-6)</f>
        <v>-6</v>
      </c>
      <c r="AH276" s="82">
        <f>IF(Consultas!AF276='Parâmetros'!$E$1,1,-5)</f>
        <v>-5</v>
      </c>
      <c r="AI276" s="82">
        <f>IF(Consultas!AJ276&gt;700,8,IF(Consultas!AJ276&gt;500,4,IF(Consultas!AJ276&gt;200,-4,IF(Consultas!AJ276&gt;1,-15,-20))))</f>
        <v>-20</v>
      </c>
      <c r="AJ276" s="82">
        <f>IF(Consultas!AD276='Parâmetros'!$E$10,0,IF(Consultas!AD276&gt;'Parâmetros'!$A$30,12,IF(Consultas!AD276&gt;'Parâmetros'!$A$31,6,IF(Consultas!AD276&gt;'Parâmetros'!$A$32,0,IF(Consultas!AD276&gt;'Parâmetros'!$A$33,0,IF(Consultas!AD276&gt;'Parâmetros'!$A$34,-3,IF(Consultas!AD276&gt;'Parâmetros'!$A$35,-7,-1)))))))</f>
        <v>-1</v>
      </c>
      <c r="AK276" s="82">
        <f>IF(Consultas!AO276='Parâmetros'!$D$1,3,-3)</f>
        <v>-3</v>
      </c>
      <c r="AL276" s="82">
        <f>IF(Consultas!AP276='Parâmetros'!$D$1,5,-3)</f>
        <v>-3</v>
      </c>
      <c r="AM276" s="82">
        <f>IF(Consultas!AL276="N",-6,0)</f>
        <v>0</v>
      </c>
      <c r="AN276" s="82">
        <f>IF(Consultas!AM276="N",-10,0)</f>
        <v>0</v>
      </c>
      <c r="AO276" s="82">
        <f>IF(Consultas!AN276="S",4,-2)</f>
        <v>-2</v>
      </c>
      <c r="AP276" s="39"/>
      <c r="AQ276" s="165" t="str">
        <f>IF(Consultas!F276&gt;1,(SUM(F276:AO276)),"N/A")</f>
        <v>N/A</v>
      </c>
      <c r="AR276" s="78">
        <f>IF((Consultas!AD276&gt;'Parâmetros'!$A$31),"X",AJ276+Y276+V276+AC276)</f>
        <v>-9</v>
      </c>
      <c r="AS276" s="78">
        <f>IF((Consultas!AD276&gt;'Parâmetros'!$A$31),"X",(H276+I276+J276+Q276+T276+Y276+Z276+AJ276+AN276))</f>
        <v>-23</v>
      </c>
      <c r="AT276" s="78" t="str">
        <f>IF((Consultas!AD276&lt;'Parâmetros'!$A$31),"X",(AD276+AC276+AB276))</f>
        <v>X</v>
      </c>
      <c r="AU276" s="78">
        <f t="shared" si="1"/>
        <v>-23</v>
      </c>
      <c r="AV276" s="82" t="str">
        <f>IF(AQ276="N/A","N/A",IF(AQ276&gt;5,'Parâmetros'!$A$15,(IF(AU276=AR276,'Parâmetros'!$A$17,IF(AU276=AS276,'Parâmetros'!$A$16,'Parâmetros'!$A$14)))))</f>
        <v>N/A</v>
      </c>
      <c r="AW276" s="86" t="str">
        <f>IF(AQ276="N/A","N/A",IF(AV276='Parâmetros'!$A$15,'Parâmetros'!$C$15,(IF(AV276='Parâmetros'!$A$17,'Parâmetros'!$C$17,IF(AV276='Parâmetros'!$A$16,'Parâmetros'!$C$16,IF(AV276='Parâmetros'!$A$14,'Parâmetros'!$C$12))))))</f>
        <v>N/A</v>
      </c>
      <c r="AX276" s="82" t="b">
        <f>IF(Consultas!F276&gt;1,(IF(Consultas!F276&gt;5000,"SOLICITAR PED COMPRA","N/A")))</f>
        <v>0</v>
      </c>
      <c r="AY276" s="167" t="str">
        <f>IF(AND(Consultas!M276&lt;&gt;"S", Consultas!H276="S"), "CHECAGEM REVERSA", "N/A")</f>
        <v>N/A</v>
      </c>
      <c r="AZ276" s="167" t="str">
        <f>IF(Consultas!U276="N","PRECISA CORRIGIR END DIVERGENTE","N/A")</f>
        <v>N/A</v>
      </c>
    </row>
    <row r="277" ht="12.0" customHeight="1">
      <c r="A277" s="39" t="s">
        <v>90</v>
      </c>
      <c r="B277" s="82" t="str">
        <f>Consultas!B277</f>
        <v/>
      </c>
      <c r="C277" s="82" t="str">
        <f>Consultas!D277</f>
        <v/>
      </c>
      <c r="D277" s="96" t="str">
        <f>Consultas!E277</f>
        <v/>
      </c>
      <c r="E277" s="104" t="str">
        <f>IF(Consultas!AB277&gt;0,YEAR('Parâmetros'!$B$1)-YEAR(Consultas!AB277),"NA")</f>
        <v>NA</v>
      </c>
      <c r="F277" s="82">
        <f>IF(Consultas!F277&gt;'Parâmetros'!$B$2,-8,0)</f>
        <v>0</v>
      </c>
      <c r="G277" s="82">
        <f>IF(Consultas!H277='Parâmetros'!$E$1,100,0)</f>
        <v>0</v>
      </c>
      <c r="H277" s="82">
        <f>IF(Consultas!I277='Parâmetros'!$E$1,-4,12)</f>
        <v>12</v>
      </c>
      <c r="I277" s="82">
        <f>IF(Consultas!J277='Parâmetros'!$E$1,1,-13)</f>
        <v>-13</v>
      </c>
      <c r="J277" s="82">
        <f>IF(Consultas!K277='Parâmetros'!$E$1,2,-5)</f>
        <v>-5</v>
      </c>
      <c r="K277" s="82" t="str">
        <f>IF(Consultas!L277='Parâmetros'!$D$1,"SOLIC CONTRATO DE ENTREGA","N/A")</f>
        <v>N/A</v>
      </c>
      <c r="L277" s="82">
        <f>IF(Consultas!R277='Parâmetros'!$E$1,1,-3)</f>
        <v>-3</v>
      </c>
      <c r="M277" s="82" t="b">
        <f>IF(Consultas!S277&gt;1,(IF(Consultas!S277='Parâmetros'!$E$1,-3,9)))</f>
        <v>0</v>
      </c>
      <c r="N277" s="82">
        <f>IF(Consultas!T277="S",23,0)</f>
        <v>0</v>
      </c>
      <c r="O277" s="82">
        <f>IF(Consultas!U277='Parâmetros'!$E$1,-3,3)</f>
        <v>3</v>
      </c>
      <c r="P277" s="82">
        <f>IF(Consultas!V277='Parâmetros'!$E$1,-100,2)</f>
        <v>2</v>
      </c>
      <c r="Q277" s="82">
        <f>IF(Consultas!M277='Parâmetros'!$D$1,2,-9)</f>
        <v>-9</v>
      </c>
      <c r="R277" s="82">
        <f>IF(Consultas!N277="RJ",-12,0)</f>
        <v>0</v>
      </c>
      <c r="S277" s="82">
        <f>IF(Consultas!O277="-",-3,IF(Consultas!O277=0,-6,IF(Consultas!O277=5,0,IF(Consultas!O277=10,6))))</f>
        <v>-6</v>
      </c>
      <c r="T277" s="82">
        <f>IF(Consultas!M277="S",0,(IF(Consultas!P277="S",6,0)))</f>
        <v>0</v>
      </c>
      <c r="U277" s="82">
        <f>IF(Consultas!Q277&gt;97,9,IF(Consultas!Q277&gt;75,0,-7))</f>
        <v>-7</v>
      </c>
      <c r="V277" s="82">
        <f>IF(Consultas!W277='Parâmetros'!$E$1,1,-5)</f>
        <v>-5</v>
      </c>
      <c r="W277" s="82">
        <f>IF(Consultas!X277="S",3,-3)</f>
        <v>-3</v>
      </c>
      <c r="X277" s="82">
        <f>IF(Consultas!Y277="S",0,-7)</f>
        <v>-7</v>
      </c>
      <c r="Y277" s="82">
        <f>IF(Consultas!Z277='Parâmetros'!$E$1,2,-8)</f>
        <v>-8</v>
      </c>
      <c r="Z277" s="82">
        <f>IF(Consultas!AA277='Parâmetros'!$E$1,-15,1)</f>
        <v>1</v>
      </c>
      <c r="AA277" s="147" t="s">
        <v>140</v>
      </c>
      <c r="AB277" s="82" t="str">
        <f>IF(E277="NA","NA",IF(E277&gt;'Parâmetros'!$A$9,8,IF(E277&gt;'Parâmetros'!$A$8,4,IF(E277&gt;'Parâmetros'!$A$7,0,-6))))</f>
        <v>NA</v>
      </c>
      <c r="AC277" s="82">
        <f>IF(Consultas!AC277='Parâmetros'!$E$1,0,5)</f>
        <v>5</v>
      </c>
      <c r="AD277" s="82">
        <f>IF(Consultas!AH277='Parâmetros'!$D$1,-10,5)</f>
        <v>5</v>
      </c>
      <c r="AE277" s="82">
        <f>IF(Consultas!AI277&gt;(Consultas!F277*2),-10,0)</f>
        <v>0</v>
      </c>
      <c r="AF277" s="82" t="b">
        <f>IF(Consultas!AD277&gt;1,(IF(Consultas!AI277&gt;(Consultas!AD277),-20,4)))</f>
        <v>0</v>
      </c>
      <c r="AG277" s="82">
        <f>IF(Consultas!AG277='Parâmetros'!$E$1,0,-6)</f>
        <v>-6</v>
      </c>
      <c r="AH277" s="82">
        <f>IF(Consultas!AF277='Parâmetros'!$E$1,1,-5)</f>
        <v>-5</v>
      </c>
      <c r="AI277" s="82">
        <f>IF(Consultas!AJ277&gt;700,8,IF(Consultas!AJ277&gt;500,4,IF(Consultas!AJ277&gt;200,-4,IF(Consultas!AJ277&gt;1,-15,-20))))</f>
        <v>-20</v>
      </c>
      <c r="AJ277" s="82">
        <f>IF(Consultas!AD277='Parâmetros'!$E$10,0,IF(Consultas!AD277&gt;'Parâmetros'!$A$30,12,IF(Consultas!AD277&gt;'Parâmetros'!$A$31,6,IF(Consultas!AD277&gt;'Parâmetros'!$A$32,0,IF(Consultas!AD277&gt;'Parâmetros'!$A$33,0,IF(Consultas!AD277&gt;'Parâmetros'!$A$34,-3,IF(Consultas!AD277&gt;'Parâmetros'!$A$35,-7,-1)))))))</f>
        <v>-1</v>
      </c>
      <c r="AK277" s="82">
        <f>IF(Consultas!AO277='Parâmetros'!$D$1,3,-3)</f>
        <v>-3</v>
      </c>
      <c r="AL277" s="82">
        <f>IF(Consultas!AP277='Parâmetros'!$D$1,5,-3)</f>
        <v>-3</v>
      </c>
      <c r="AM277" s="82">
        <f>IF(Consultas!AL277="N",-6,0)</f>
        <v>0</v>
      </c>
      <c r="AN277" s="82">
        <f>IF(Consultas!AM277="N",-10,0)</f>
        <v>0</v>
      </c>
      <c r="AO277" s="82">
        <f>IF(Consultas!AN277="S",4,-2)</f>
        <v>-2</v>
      </c>
      <c r="AP277" s="39"/>
      <c r="AQ277" s="165" t="str">
        <f>IF(Consultas!F277&gt;1,(SUM(F277:AO277)),"N/A")</f>
        <v>N/A</v>
      </c>
      <c r="AR277" s="78">
        <f>IF((Consultas!AD277&gt;'Parâmetros'!$A$31),"X",AJ277+Y277+V277+AC277)</f>
        <v>-9</v>
      </c>
      <c r="AS277" s="78">
        <f>IF((Consultas!AD277&gt;'Parâmetros'!$A$31),"X",(H277+I277+J277+Q277+T277+Y277+Z277+AJ277+AN277))</f>
        <v>-23</v>
      </c>
      <c r="AT277" s="78" t="str">
        <f>IF((Consultas!AD277&lt;'Parâmetros'!$A$31),"X",(AD277+AC277+AB277))</f>
        <v>X</v>
      </c>
      <c r="AU277" s="78">
        <f t="shared" si="1"/>
        <v>-23</v>
      </c>
      <c r="AV277" s="82" t="str">
        <f>IF(AQ277="N/A","N/A",IF(AQ277&gt;5,'Parâmetros'!$A$15,(IF(AU277=AR277,'Parâmetros'!$A$17,IF(AU277=AS277,'Parâmetros'!$A$16,'Parâmetros'!$A$14)))))</f>
        <v>N/A</v>
      </c>
      <c r="AW277" s="86" t="str">
        <f>IF(AQ277="N/A","N/A",IF(AV277='Parâmetros'!$A$15,'Parâmetros'!$C$15,(IF(AV277='Parâmetros'!$A$17,'Parâmetros'!$C$17,IF(AV277='Parâmetros'!$A$16,'Parâmetros'!$C$16,IF(AV277='Parâmetros'!$A$14,'Parâmetros'!$C$12))))))</f>
        <v>N/A</v>
      </c>
      <c r="AX277" s="82" t="b">
        <f>IF(Consultas!F277&gt;1,(IF(Consultas!F277&gt;5000,"SOLICITAR PED COMPRA","N/A")))</f>
        <v>0</v>
      </c>
      <c r="AY277" s="167" t="str">
        <f>IF(AND(Consultas!M277&lt;&gt;"S", Consultas!H277="S"), "CHECAGEM REVERSA", "N/A")</f>
        <v>N/A</v>
      </c>
      <c r="AZ277" s="167" t="str">
        <f>IF(Consultas!U277="N","PRECISA CORRIGIR END DIVERGENTE","N/A")</f>
        <v>N/A</v>
      </c>
    </row>
    <row r="278" ht="12.0" customHeight="1">
      <c r="A278" s="39" t="s">
        <v>90</v>
      </c>
      <c r="B278" s="82" t="str">
        <f>Consultas!B278</f>
        <v/>
      </c>
      <c r="C278" s="82" t="str">
        <f>Consultas!D278</f>
        <v/>
      </c>
      <c r="D278" s="96" t="str">
        <f>Consultas!E278</f>
        <v/>
      </c>
      <c r="E278" s="104" t="str">
        <f>IF(Consultas!AB278&gt;0,YEAR('Parâmetros'!$B$1)-YEAR(Consultas!AB278),"NA")</f>
        <v>NA</v>
      </c>
      <c r="F278" s="82">
        <f>IF(Consultas!F278&gt;'Parâmetros'!$B$2,-8,0)</f>
        <v>0</v>
      </c>
      <c r="G278" s="82">
        <f>IF(Consultas!H278='Parâmetros'!$E$1,100,0)</f>
        <v>0</v>
      </c>
      <c r="H278" s="82">
        <f>IF(Consultas!I278='Parâmetros'!$E$1,-4,12)</f>
        <v>12</v>
      </c>
      <c r="I278" s="82">
        <f>IF(Consultas!J278='Parâmetros'!$E$1,1,-13)</f>
        <v>-13</v>
      </c>
      <c r="J278" s="82">
        <f>IF(Consultas!K278='Parâmetros'!$E$1,2,-5)</f>
        <v>-5</v>
      </c>
      <c r="K278" s="82" t="str">
        <f>IF(Consultas!L278='Parâmetros'!$D$1,"SOLIC CONTRATO DE ENTREGA","N/A")</f>
        <v>N/A</v>
      </c>
      <c r="L278" s="82">
        <f>IF(Consultas!R278='Parâmetros'!$E$1,1,-3)</f>
        <v>-3</v>
      </c>
      <c r="M278" s="82" t="b">
        <f>IF(Consultas!S278&gt;1,(IF(Consultas!S278='Parâmetros'!$E$1,-3,9)))</f>
        <v>0</v>
      </c>
      <c r="N278" s="82">
        <f>IF(Consultas!T278="S",23,0)</f>
        <v>0</v>
      </c>
      <c r="O278" s="82">
        <f>IF(Consultas!U278='Parâmetros'!$E$1,-3,3)</f>
        <v>3</v>
      </c>
      <c r="P278" s="82">
        <f>IF(Consultas!V278='Parâmetros'!$E$1,-100,2)</f>
        <v>2</v>
      </c>
      <c r="Q278" s="82">
        <f>IF(Consultas!M278='Parâmetros'!$D$1,2,-9)</f>
        <v>-9</v>
      </c>
      <c r="R278" s="82">
        <f>IF(Consultas!N278="RJ",-12,0)</f>
        <v>0</v>
      </c>
      <c r="S278" s="82">
        <f>IF(Consultas!O278="-",-3,IF(Consultas!O278=0,-6,IF(Consultas!O278=5,0,IF(Consultas!O278=10,6))))</f>
        <v>-6</v>
      </c>
      <c r="T278" s="82">
        <f>IF(Consultas!M278="S",0,(IF(Consultas!P278="S",6,0)))</f>
        <v>0</v>
      </c>
      <c r="U278" s="82">
        <f>IF(Consultas!Q278&gt;97,9,IF(Consultas!Q278&gt;75,0,-7))</f>
        <v>-7</v>
      </c>
      <c r="V278" s="82">
        <f>IF(Consultas!W278='Parâmetros'!$E$1,1,-5)</f>
        <v>-5</v>
      </c>
      <c r="W278" s="82">
        <f>IF(Consultas!X278="S",3,-3)</f>
        <v>-3</v>
      </c>
      <c r="X278" s="82">
        <f>IF(Consultas!Y278="S",0,-7)</f>
        <v>-7</v>
      </c>
      <c r="Y278" s="82">
        <f>IF(Consultas!Z278='Parâmetros'!$E$1,2,-8)</f>
        <v>-8</v>
      </c>
      <c r="Z278" s="82">
        <f>IF(Consultas!AA278='Parâmetros'!$E$1,-15,1)</f>
        <v>1</v>
      </c>
      <c r="AA278" s="147" t="s">
        <v>140</v>
      </c>
      <c r="AB278" s="82" t="str">
        <f>IF(E278="NA","NA",IF(E278&gt;'Parâmetros'!$A$9,8,IF(E278&gt;'Parâmetros'!$A$8,4,IF(E278&gt;'Parâmetros'!$A$7,0,-6))))</f>
        <v>NA</v>
      </c>
      <c r="AC278" s="82">
        <f>IF(Consultas!AC278='Parâmetros'!$E$1,0,5)</f>
        <v>5</v>
      </c>
      <c r="AD278" s="82">
        <f>IF(Consultas!AH278='Parâmetros'!$D$1,-10,5)</f>
        <v>5</v>
      </c>
      <c r="AE278" s="82">
        <f>IF(Consultas!AI278&gt;(Consultas!F278*2),-10,0)</f>
        <v>0</v>
      </c>
      <c r="AF278" s="82" t="b">
        <f>IF(Consultas!AD278&gt;1,(IF(Consultas!AI278&gt;(Consultas!AD278),-20,4)))</f>
        <v>0</v>
      </c>
      <c r="AG278" s="82">
        <f>IF(Consultas!AG278='Parâmetros'!$E$1,0,-6)</f>
        <v>-6</v>
      </c>
      <c r="AH278" s="82">
        <f>IF(Consultas!AF278='Parâmetros'!$E$1,1,-5)</f>
        <v>-5</v>
      </c>
      <c r="AI278" s="82">
        <f>IF(Consultas!AJ278&gt;700,8,IF(Consultas!AJ278&gt;500,4,IF(Consultas!AJ278&gt;200,-4,IF(Consultas!AJ278&gt;1,-15,-20))))</f>
        <v>-20</v>
      </c>
      <c r="AJ278" s="82">
        <f>IF(Consultas!AD278='Parâmetros'!$E$10,0,IF(Consultas!AD278&gt;'Parâmetros'!$A$30,12,IF(Consultas!AD278&gt;'Parâmetros'!$A$31,6,IF(Consultas!AD278&gt;'Parâmetros'!$A$32,0,IF(Consultas!AD278&gt;'Parâmetros'!$A$33,0,IF(Consultas!AD278&gt;'Parâmetros'!$A$34,-3,IF(Consultas!AD278&gt;'Parâmetros'!$A$35,-7,-1)))))))</f>
        <v>-1</v>
      </c>
      <c r="AK278" s="82">
        <f>IF(Consultas!AO278='Parâmetros'!$D$1,3,-3)</f>
        <v>-3</v>
      </c>
      <c r="AL278" s="82">
        <f>IF(Consultas!AP278='Parâmetros'!$D$1,5,-3)</f>
        <v>-3</v>
      </c>
      <c r="AM278" s="82">
        <f>IF(Consultas!AL278="N",-6,0)</f>
        <v>0</v>
      </c>
      <c r="AN278" s="82">
        <f>IF(Consultas!AM278="N",-10,0)</f>
        <v>0</v>
      </c>
      <c r="AO278" s="82">
        <f>IF(Consultas!AN278="S",4,-2)</f>
        <v>-2</v>
      </c>
      <c r="AP278" s="39"/>
      <c r="AQ278" s="165" t="str">
        <f>IF(Consultas!F278&gt;1,(SUM(F278:AO278)),"N/A")</f>
        <v>N/A</v>
      </c>
      <c r="AR278" s="78">
        <f>IF((Consultas!AD278&gt;'Parâmetros'!$A$31),"X",AJ278+Y278+V278+AC278)</f>
        <v>-9</v>
      </c>
      <c r="AS278" s="78">
        <f>IF((Consultas!AD278&gt;'Parâmetros'!$A$31),"X",(H278+I278+J278+Q278+T278+Y278+Z278+AJ278+AN278))</f>
        <v>-23</v>
      </c>
      <c r="AT278" s="78" t="str">
        <f>IF((Consultas!AD278&lt;'Parâmetros'!$A$31),"X",(AD278+AC278+AB278))</f>
        <v>X</v>
      </c>
      <c r="AU278" s="78">
        <f t="shared" si="1"/>
        <v>-23</v>
      </c>
      <c r="AV278" s="82" t="str">
        <f>IF(AQ278="N/A","N/A",IF(AQ278&gt;5,'Parâmetros'!$A$15,(IF(AU278=AR278,'Parâmetros'!$A$17,IF(AU278=AS278,'Parâmetros'!$A$16,'Parâmetros'!$A$14)))))</f>
        <v>N/A</v>
      </c>
      <c r="AW278" s="86" t="str">
        <f>IF(AQ278="N/A","N/A",IF(AV278='Parâmetros'!$A$15,'Parâmetros'!$C$15,(IF(AV278='Parâmetros'!$A$17,'Parâmetros'!$C$17,IF(AV278='Parâmetros'!$A$16,'Parâmetros'!$C$16,IF(AV278='Parâmetros'!$A$14,'Parâmetros'!$C$12))))))</f>
        <v>N/A</v>
      </c>
      <c r="AX278" s="82" t="b">
        <f>IF(Consultas!F278&gt;1,(IF(Consultas!F278&gt;5000,"SOLICITAR PED COMPRA","N/A")))</f>
        <v>0</v>
      </c>
      <c r="AY278" s="167" t="str">
        <f>IF(AND(Consultas!M278&lt;&gt;"S", Consultas!H278="S"), "CHECAGEM REVERSA", "N/A")</f>
        <v>N/A</v>
      </c>
      <c r="AZ278" s="167" t="str">
        <f>IF(Consultas!U278="N","PRECISA CORRIGIR END DIVERGENTE","N/A")</f>
        <v>N/A</v>
      </c>
    </row>
    <row r="279" ht="12.0" customHeight="1">
      <c r="A279" s="39" t="s">
        <v>90</v>
      </c>
      <c r="B279" s="82" t="str">
        <f>Consultas!B279</f>
        <v/>
      </c>
      <c r="C279" s="82" t="str">
        <f>Consultas!D279</f>
        <v/>
      </c>
      <c r="D279" s="96" t="str">
        <f>Consultas!E279</f>
        <v/>
      </c>
      <c r="E279" s="104" t="str">
        <f>IF(Consultas!AB279&gt;0,YEAR('Parâmetros'!$B$1)-YEAR(Consultas!AB279),"NA")</f>
        <v>NA</v>
      </c>
      <c r="F279" s="82">
        <f>IF(Consultas!F279&gt;'Parâmetros'!$B$2,-8,0)</f>
        <v>0</v>
      </c>
      <c r="G279" s="82">
        <f>IF(Consultas!H279='Parâmetros'!$E$1,100,0)</f>
        <v>0</v>
      </c>
      <c r="H279" s="82">
        <f>IF(Consultas!I279='Parâmetros'!$E$1,-4,12)</f>
        <v>12</v>
      </c>
      <c r="I279" s="82">
        <f>IF(Consultas!J279='Parâmetros'!$E$1,1,-13)</f>
        <v>-13</v>
      </c>
      <c r="J279" s="82">
        <f>IF(Consultas!K279='Parâmetros'!$E$1,2,-5)</f>
        <v>-5</v>
      </c>
      <c r="K279" s="82" t="str">
        <f>IF(Consultas!L279='Parâmetros'!$D$1,"SOLIC CONTRATO DE ENTREGA","N/A")</f>
        <v>N/A</v>
      </c>
      <c r="L279" s="82">
        <f>IF(Consultas!R279='Parâmetros'!$E$1,1,-3)</f>
        <v>-3</v>
      </c>
      <c r="M279" s="82" t="b">
        <f>IF(Consultas!S279&gt;1,(IF(Consultas!S279='Parâmetros'!$E$1,-3,9)))</f>
        <v>0</v>
      </c>
      <c r="N279" s="82">
        <f>IF(Consultas!T279="S",23,0)</f>
        <v>0</v>
      </c>
      <c r="O279" s="82">
        <f>IF(Consultas!U279='Parâmetros'!$E$1,-3,3)</f>
        <v>3</v>
      </c>
      <c r="P279" s="82">
        <f>IF(Consultas!V279='Parâmetros'!$E$1,-100,2)</f>
        <v>2</v>
      </c>
      <c r="Q279" s="82">
        <f>IF(Consultas!M279='Parâmetros'!$D$1,2,-9)</f>
        <v>-9</v>
      </c>
      <c r="R279" s="82">
        <f>IF(Consultas!N279="RJ",-12,0)</f>
        <v>0</v>
      </c>
      <c r="S279" s="82">
        <f>IF(Consultas!O279="-",-3,IF(Consultas!O279=0,-6,IF(Consultas!O279=5,0,IF(Consultas!O279=10,6))))</f>
        <v>-6</v>
      </c>
      <c r="T279" s="82">
        <f>IF(Consultas!M279="S",0,(IF(Consultas!P279="S",6,0)))</f>
        <v>0</v>
      </c>
      <c r="U279" s="82">
        <f>IF(Consultas!Q279&gt;97,9,IF(Consultas!Q279&gt;75,0,-7))</f>
        <v>-7</v>
      </c>
      <c r="V279" s="82">
        <f>IF(Consultas!W279='Parâmetros'!$E$1,1,-5)</f>
        <v>-5</v>
      </c>
      <c r="W279" s="82">
        <f>IF(Consultas!X279="S",3,-3)</f>
        <v>-3</v>
      </c>
      <c r="X279" s="82">
        <f>IF(Consultas!Y279="S",0,-7)</f>
        <v>-7</v>
      </c>
      <c r="Y279" s="82">
        <f>IF(Consultas!Z279='Parâmetros'!$E$1,2,-8)</f>
        <v>-8</v>
      </c>
      <c r="Z279" s="82">
        <f>IF(Consultas!AA279='Parâmetros'!$E$1,-15,1)</f>
        <v>1</v>
      </c>
      <c r="AA279" s="147" t="s">
        <v>140</v>
      </c>
      <c r="AB279" s="82" t="str">
        <f>IF(E279="NA","NA",IF(E279&gt;'Parâmetros'!$A$9,8,IF(E279&gt;'Parâmetros'!$A$8,4,IF(E279&gt;'Parâmetros'!$A$7,0,-6))))</f>
        <v>NA</v>
      </c>
      <c r="AC279" s="82">
        <f>IF(Consultas!AC279='Parâmetros'!$E$1,0,5)</f>
        <v>5</v>
      </c>
      <c r="AD279" s="82">
        <f>IF(Consultas!AH279='Parâmetros'!$D$1,-10,5)</f>
        <v>5</v>
      </c>
      <c r="AE279" s="82">
        <f>IF(Consultas!AI279&gt;(Consultas!F279*2),-10,0)</f>
        <v>0</v>
      </c>
      <c r="AF279" s="82" t="b">
        <f>IF(Consultas!AD279&gt;1,(IF(Consultas!AI279&gt;(Consultas!AD279),-20,4)))</f>
        <v>0</v>
      </c>
      <c r="AG279" s="82">
        <f>IF(Consultas!AG279='Parâmetros'!$E$1,0,-6)</f>
        <v>-6</v>
      </c>
      <c r="AH279" s="82">
        <f>IF(Consultas!AF279='Parâmetros'!$E$1,1,-5)</f>
        <v>-5</v>
      </c>
      <c r="AI279" s="82">
        <f>IF(Consultas!AJ279&gt;700,8,IF(Consultas!AJ279&gt;500,4,IF(Consultas!AJ279&gt;200,-4,IF(Consultas!AJ279&gt;1,-15,-20))))</f>
        <v>-20</v>
      </c>
      <c r="AJ279" s="82">
        <f>IF(Consultas!AD279='Parâmetros'!$E$10,0,IF(Consultas!AD279&gt;'Parâmetros'!$A$30,12,IF(Consultas!AD279&gt;'Parâmetros'!$A$31,6,IF(Consultas!AD279&gt;'Parâmetros'!$A$32,0,IF(Consultas!AD279&gt;'Parâmetros'!$A$33,0,IF(Consultas!AD279&gt;'Parâmetros'!$A$34,-3,IF(Consultas!AD279&gt;'Parâmetros'!$A$35,-7,-1)))))))</f>
        <v>-1</v>
      </c>
      <c r="AK279" s="82">
        <f>IF(Consultas!AO279='Parâmetros'!$D$1,3,-3)</f>
        <v>-3</v>
      </c>
      <c r="AL279" s="82">
        <f>IF(Consultas!AP279='Parâmetros'!$D$1,5,-3)</f>
        <v>-3</v>
      </c>
      <c r="AM279" s="82">
        <f>IF(Consultas!AL279="N",-6,0)</f>
        <v>0</v>
      </c>
      <c r="AN279" s="82">
        <f>IF(Consultas!AM279="N",-10,0)</f>
        <v>0</v>
      </c>
      <c r="AO279" s="82">
        <f>IF(Consultas!AN279="S",4,-2)</f>
        <v>-2</v>
      </c>
      <c r="AP279" s="39"/>
      <c r="AQ279" s="165" t="str">
        <f>IF(Consultas!F279&gt;1,(SUM(F279:AO279)),"N/A")</f>
        <v>N/A</v>
      </c>
      <c r="AR279" s="78">
        <f>IF((Consultas!AD279&gt;'Parâmetros'!$A$31),"X",AJ279+Y279+V279+AC279)</f>
        <v>-9</v>
      </c>
      <c r="AS279" s="78">
        <f>IF((Consultas!AD279&gt;'Parâmetros'!$A$31),"X",(H279+I279+J279+Q279+T279+Y279+Z279+AJ279+AN279))</f>
        <v>-23</v>
      </c>
      <c r="AT279" s="78" t="str">
        <f>IF((Consultas!AD279&lt;'Parâmetros'!$A$31),"X",(AD279+AC279+AB279))</f>
        <v>X</v>
      </c>
      <c r="AU279" s="78">
        <f t="shared" si="1"/>
        <v>-23</v>
      </c>
      <c r="AV279" s="82" t="str">
        <f>IF(AQ279="N/A","N/A",IF(AQ279&gt;5,'Parâmetros'!$A$15,(IF(AU279=AR279,'Parâmetros'!$A$17,IF(AU279=AS279,'Parâmetros'!$A$16,'Parâmetros'!$A$14)))))</f>
        <v>N/A</v>
      </c>
      <c r="AW279" s="86" t="str">
        <f>IF(AQ279="N/A","N/A",IF(AV279='Parâmetros'!$A$15,'Parâmetros'!$C$15,(IF(AV279='Parâmetros'!$A$17,'Parâmetros'!$C$17,IF(AV279='Parâmetros'!$A$16,'Parâmetros'!$C$16,IF(AV279='Parâmetros'!$A$14,'Parâmetros'!$C$12))))))</f>
        <v>N/A</v>
      </c>
      <c r="AX279" s="82" t="b">
        <f>IF(Consultas!F279&gt;1,(IF(Consultas!F279&gt;5000,"SOLICITAR PED COMPRA","N/A")))</f>
        <v>0</v>
      </c>
      <c r="AY279" s="167" t="str">
        <f>IF(AND(Consultas!M279&lt;&gt;"S", Consultas!H279="S"), "CHECAGEM REVERSA", "N/A")</f>
        <v>N/A</v>
      </c>
      <c r="AZ279" s="167" t="str">
        <f>IF(Consultas!U279="N","PRECISA CORRIGIR END DIVERGENTE","N/A")</f>
        <v>N/A</v>
      </c>
    </row>
    <row r="280" ht="12.0" customHeight="1">
      <c r="A280" s="39" t="s">
        <v>90</v>
      </c>
      <c r="B280" s="82" t="str">
        <f>Consultas!B280</f>
        <v/>
      </c>
      <c r="C280" s="82" t="str">
        <f>Consultas!D280</f>
        <v/>
      </c>
      <c r="D280" s="96" t="str">
        <f>Consultas!E280</f>
        <v/>
      </c>
      <c r="E280" s="104" t="str">
        <f>IF(Consultas!AB280&gt;0,YEAR('Parâmetros'!$B$1)-YEAR(Consultas!AB280),"NA")</f>
        <v>NA</v>
      </c>
      <c r="F280" s="82">
        <f>IF(Consultas!F280&gt;'Parâmetros'!$B$2,-8,0)</f>
        <v>0</v>
      </c>
      <c r="G280" s="82">
        <f>IF(Consultas!H280='Parâmetros'!$E$1,100,0)</f>
        <v>0</v>
      </c>
      <c r="H280" s="82">
        <f>IF(Consultas!I280='Parâmetros'!$E$1,-4,12)</f>
        <v>12</v>
      </c>
      <c r="I280" s="82">
        <f>IF(Consultas!J280='Parâmetros'!$E$1,1,-13)</f>
        <v>-13</v>
      </c>
      <c r="J280" s="82">
        <f>IF(Consultas!K280='Parâmetros'!$E$1,2,-5)</f>
        <v>-5</v>
      </c>
      <c r="K280" s="82" t="str">
        <f>IF(Consultas!L280='Parâmetros'!$D$1,"SOLIC CONTRATO DE ENTREGA","N/A")</f>
        <v>N/A</v>
      </c>
      <c r="L280" s="82">
        <f>IF(Consultas!R280='Parâmetros'!$E$1,1,-3)</f>
        <v>-3</v>
      </c>
      <c r="M280" s="82" t="b">
        <f>IF(Consultas!S280&gt;1,(IF(Consultas!S280='Parâmetros'!$E$1,-3,9)))</f>
        <v>0</v>
      </c>
      <c r="N280" s="82">
        <f>IF(Consultas!T280="S",23,0)</f>
        <v>0</v>
      </c>
      <c r="O280" s="82">
        <f>IF(Consultas!U280='Parâmetros'!$E$1,-3,3)</f>
        <v>3</v>
      </c>
      <c r="P280" s="82">
        <f>IF(Consultas!V280='Parâmetros'!$E$1,-100,2)</f>
        <v>2</v>
      </c>
      <c r="Q280" s="82">
        <f>IF(Consultas!M280='Parâmetros'!$D$1,2,-9)</f>
        <v>-9</v>
      </c>
      <c r="R280" s="82">
        <f>IF(Consultas!N280="RJ",-12,0)</f>
        <v>0</v>
      </c>
      <c r="S280" s="82">
        <f>IF(Consultas!O280="-",-3,IF(Consultas!O280=0,-6,IF(Consultas!O280=5,0,IF(Consultas!O280=10,6))))</f>
        <v>-6</v>
      </c>
      <c r="T280" s="82">
        <f>IF(Consultas!M280="S",0,(IF(Consultas!P280="S",6,0)))</f>
        <v>0</v>
      </c>
      <c r="U280" s="82">
        <f>IF(Consultas!Q280&gt;97,9,IF(Consultas!Q280&gt;75,0,-7))</f>
        <v>-7</v>
      </c>
      <c r="V280" s="82">
        <f>IF(Consultas!W280='Parâmetros'!$E$1,1,-5)</f>
        <v>-5</v>
      </c>
      <c r="W280" s="82">
        <f>IF(Consultas!X280="S",3,-3)</f>
        <v>-3</v>
      </c>
      <c r="X280" s="82">
        <f>IF(Consultas!Y280="S",0,-7)</f>
        <v>-7</v>
      </c>
      <c r="Y280" s="82">
        <f>IF(Consultas!Z280='Parâmetros'!$E$1,2,-8)</f>
        <v>-8</v>
      </c>
      <c r="Z280" s="82">
        <f>IF(Consultas!AA280='Parâmetros'!$E$1,-15,1)</f>
        <v>1</v>
      </c>
      <c r="AA280" s="147" t="s">
        <v>140</v>
      </c>
      <c r="AB280" s="82" t="str">
        <f>IF(E280="NA","NA",IF(E280&gt;'Parâmetros'!$A$9,8,IF(E280&gt;'Parâmetros'!$A$8,4,IF(E280&gt;'Parâmetros'!$A$7,0,-6))))</f>
        <v>NA</v>
      </c>
      <c r="AC280" s="82">
        <f>IF(Consultas!AC280='Parâmetros'!$E$1,0,5)</f>
        <v>5</v>
      </c>
      <c r="AD280" s="82">
        <f>IF(Consultas!AH280='Parâmetros'!$D$1,-10,5)</f>
        <v>5</v>
      </c>
      <c r="AE280" s="82">
        <f>IF(Consultas!AI280&gt;(Consultas!F280*2),-10,0)</f>
        <v>0</v>
      </c>
      <c r="AF280" s="82" t="b">
        <f>IF(Consultas!AD280&gt;1,(IF(Consultas!AI280&gt;(Consultas!AD280),-20,4)))</f>
        <v>0</v>
      </c>
      <c r="AG280" s="82">
        <f>IF(Consultas!AG280='Parâmetros'!$E$1,0,-6)</f>
        <v>-6</v>
      </c>
      <c r="AH280" s="82">
        <f>IF(Consultas!AF280='Parâmetros'!$E$1,1,-5)</f>
        <v>-5</v>
      </c>
      <c r="AI280" s="82">
        <f>IF(Consultas!AJ280&gt;700,8,IF(Consultas!AJ280&gt;500,4,IF(Consultas!AJ280&gt;200,-4,IF(Consultas!AJ280&gt;1,-15,-20))))</f>
        <v>-20</v>
      </c>
      <c r="AJ280" s="82">
        <f>IF(Consultas!AD280='Parâmetros'!$E$10,0,IF(Consultas!AD280&gt;'Parâmetros'!$A$30,12,IF(Consultas!AD280&gt;'Parâmetros'!$A$31,6,IF(Consultas!AD280&gt;'Parâmetros'!$A$32,0,IF(Consultas!AD280&gt;'Parâmetros'!$A$33,0,IF(Consultas!AD280&gt;'Parâmetros'!$A$34,-3,IF(Consultas!AD280&gt;'Parâmetros'!$A$35,-7,-1)))))))</f>
        <v>-1</v>
      </c>
      <c r="AK280" s="82">
        <f>IF(Consultas!AO280='Parâmetros'!$D$1,3,-3)</f>
        <v>-3</v>
      </c>
      <c r="AL280" s="82">
        <f>IF(Consultas!AP280='Parâmetros'!$D$1,5,-3)</f>
        <v>-3</v>
      </c>
      <c r="AM280" s="82">
        <f>IF(Consultas!AL280="N",-6,0)</f>
        <v>0</v>
      </c>
      <c r="AN280" s="82">
        <f>IF(Consultas!AM280="N",-10,0)</f>
        <v>0</v>
      </c>
      <c r="AO280" s="82">
        <f>IF(Consultas!AN280="S",4,-2)</f>
        <v>-2</v>
      </c>
      <c r="AP280" s="39"/>
      <c r="AQ280" s="165" t="str">
        <f>IF(Consultas!F280&gt;1,(SUM(F280:AO280)),"N/A")</f>
        <v>N/A</v>
      </c>
      <c r="AR280" s="78">
        <f>IF((Consultas!AD280&gt;'Parâmetros'!$A$31),"X",AJ280+Y280+V280+AC280)</f>
        <v>-9</v>
      </c>
      <c r="AS280" s="78">
        <f>IF((Consultas!AD280&gt;'Parâmetros'!$A$31),"X",(H280+I280+J280+Q280+T280+Y280+Z280+AJ280+AN280))</f>
        <v>-23</v>
      </c>
      <c r="AT280" s="78" t="str">
        <f>IF((Consultas!AD280&lt;'Parâmetros'!$A$31),"X",(AD280+AC280+AB280))</f>
        <v>X</v>
      </c>
      <c r="AU280" s="78">
        <f t="shared" si="1"/>
        <v>-23</v>
      </c>
      <c r="AV280" s="82" t="str">
        <f>IF(AQ280="N/A","N/A",IF(AQ280&gt;5,'Parâmetros'!$A$15,(IF(AU280=AR280,'Parâmetros'!$A$17,IF(AU280=AS280,'Parâmetros'!$A$16,'Parâmetros'!$A$14)))))</f>
        <v>N/A</v>
      </c>
      <c r="AW280" s="86" t="str">
        <f>IF(AQ280="N/A","N/A",IF(AV280='Parâmetros'!$A$15,'Parâmetros'!$C$15,(IF(AV280='Parâmetros'!$A$17,'Parâmetros'!$C$17,IF(AV280='Parâmetros'!$A$16,'Parâmetros'!$C$16,IF(AV280='Parâmetros'!$A$14,'Parâmetros'!$C$12))))))</f>
        <v>N/A</v>
      </c>
      <c r="AX280" s="82" t="b">
        <f>IF(Consultas!F280&gt;1,(IF(Consultas!F280&gt;5000,"SOLICITAR PED COMPRA","N/A")))</f>
        <v>0</v>
      </c>
      <c r="AY280" s="167" t="str">
        <f>IF(AND(Consultas!M280&lt;&gt;"S", Consultas!H280="S"), "CHECAGEM REVERSA", "N/A")</f>
        <v>N/A</v>
      </c>
      <c r="AZ280" s="167" t="str">
        <f>IF(Consultas!U280="N","PRECISA CORRIGIR END DIVERGENTE","N/A")</f>
        <v>N/A</v>
      </c>
    </row>
    <row r="281" ht="12.0" customHeight="1">
      <c r="A281" s="39" t="s">
        <v>90</v>
      </c>
      <c r="B281" s="82" t="str">
        <f>Consultas!B281</f>
        <v/>
      </c>
      <c r="C281" s="82" t="str">
        <f>Consultas!D281</f>
        <v/>
      </c>
      <c r="D281" s="96" t="str">
        <f>Consultas!E281</f>
        <v/>
      </c>
      <c r="E281" s="104" t="str">
        <f>IF(Consultas!AB281&gt;0,YEAR('Parâmetros'!$B$1)-YEAR(Consultas!AB281),"NA")</f>
        <v>NA</v>
      </c>
      <c r="F281" s="82">
        <f>IF(Consultas!F281&gt;'Parâmetros'!$B$2,-8,0)</f>
        <v>0</v>
      </c>
      <c r="G281" s="82">
        <f>IF(Consultas!H281='Parâmetros'!$E$1,100,0)</f>
        <v>0</v>
      </c>
      <c r="H281" s="82">
        <f>IF(Consultas!I281='Parâmetros'!$E$1,-4,12)</f>
        <v>12</v>
      </c>
      <c r="I281" s="82">
        <f>IF(Consultas!J281='Parâmetros'!$E$1,1,-13)</f>
        <v>-13</v>
      </c>
      <c r="J281" s="82">
        <f>IF(Consultas!K281='Parâmetros'!$E$1,2,-5)</f>
        <v>-5</v>
      </c>
      <c r="K281" s="82" t="str">
        <f>IF(Consultas!L281='Parâmetros'!$D$1,"SOLIC CONTRATO DE ENTREGA","N/A")</f>
        <v>N/A</v>
      </c>
      <c r="L281" s="82">
        <f>IF(Consultas!R281='Parâmetros'!$E$1,1,-3)</f>
        <v>-3</v>
      </c>
      <c r="M281" s="82" t="b">
        <f>IF(Consultas!S281&gt;1,(IF(Consultas!S281='Parâmetros'!$E$1,-3,9)))</f>
        <v>0</v>
      </c>
      <c r="N281" s="82">
        <f>IF(Consultas!T281="S",23,0)</f>
        <v>0</v>
      </c>
      <c r="O281" s="82">
        <f>IF(Consultas!U281='Parâmetros'!$E$1,-3,3)</f>
        <v>3</v>
      </c>
      <c r="P281" s="82">
        <f>IF(Consultas!V281='Parâmetros'!$E$1,-100,2)</f>
        <v>2</v>
      </c>
      <c r="Q281" s="82">
        <f>IF(Consultas!M281='Parâmetros'!$D$1,2,-9)</f>
        <v>-9</v>
      </c>
      <c r="R281" s="82">
        <f>IF(Consultas!N281="RJ",-12,0)</f>
        <v>0</v>
      </c>
      <c r="S281" s="82">
        <f>IF(Consultas!O281="-",-3,IF(Consultas!O281=0,-6,IF(Consultas!O281=5,0,IF(Consultas!O281=10,6))))</f>
        <v>-6</v>
      </c>
      <c r="T281" s="82">
        <f>IF(Consultas!M281="S",0,(IF(Consultas!P281="S",6,0)))</f>
        <v>0</v>
      </c>
      <c r="U281" s="82">
        <f>IF(Consultas!Q281&gt;97,9,IF(Consultas!Q281&gt;75,0,-7))</f>
        <v>-7</v>
      </c>
      <c r="V281" s="82">
        <f>IF(Consultas!W281='Parâmetros'!$E$1,1,-5)</f>
        <v>-5</v>
      </c>
      <c r="W281" s="82">
        <f>IF(Consultas!X281="S",3,-3)</f>
        <v>-3</v>
      </c>
      <c r="X281" s="82">
        <f>IF(Consultas!Y281="S",0,-7)</f>
        <v>-7</v>
      </c>
      <c r="Y281" s="82">
        <f>IF(Consultas!Z281='Parâmetros'!$E$1,2,-8)</f>
        <v>-8</v>
      </c>
      <c r="Z281" s="82">
        <f>IF(Consultas!AA281='Parâmetros'!$E$1,-15,1)</f>
        <v>1</v>
      </c>
      <c r="AA281" s="147" t="s">
        <v>140</v>
      </c>
      <c r="AB281" s="82" t="str">
        <f>IF(E281="NA","NA",IF(E281&gt;'Parâmetros'!$A$9,8,IF(E281&gt;'Parâmetros'!$A$8,4,IF(E281&gt;'Parâmetros'!$A$7,0,-6))))</f>
        <v>NA</v>
      </c>
      <c r="AC281" s="82">
        <f>IF(Consultas!AC281='Parâmetros'!$E$1,0,5)</f>
        <v>5</v>
      </c>
      <c r="AD281" s="82">
        <f>IF(Consultas!AH281='Parâmetros'!$D$1,-10,5)</f>
        <v>5</v>
      </c>
      <c r="AE281" s="82">
        <f>IF(Consultas!AI281&gt;(Consultas!F281*2),-10,0)</f>
        <v>0</v>
      </c>
      <c r="AF281" s="82" t="b">
        <f>IF(Consultas!AD281&gt;1,(IF(Consultas!AI281&gt;(Consultas!AD281),-20,4)))</f>
        <v>0</v>
      </c>
      <c r="AG281" s="82">
        <f>IF(Consultas!AG281='Parâmetros'!$E$1,0,-6)</f>
        <v>-6</v>
      </c>
      <c r="AH281" s="82">
        <f>IF(Consultas!AF281='Parâmetros'!$E$1,1,-5)</f>
        <v>-5</v>
      </c>
      <c r="AI281" s="82">
        <f>IF(Consultas!AJ281&gt;700,8,IF(Consultas!AJ281&gt;500,4,IF(Consultas!AJ281&gt;200,-4,IF(Consultas!AJ281&gt;1,-15,-20))))</f>
        <v>-20</v>
      </c>
      <c r="AJ281" s="82">
        <f>IF(Consultas!AD281='Parâmetros'!$E$10,0,IF(Consultas!AD281&gt;'Parâmetros'!$A$30,12,IF(Consultas!AD281&gt;'Parâmetros'!$A$31,6,IF(Consultas!AD281&gt;'Parâmetros'!$A$32,0,IF(Consultas!AD281&gt;'Parâmetros'!$A$33,0,IF(Consultas!AD281&gt;'Parâmetros'!$A$34,-3,IF(Consultas!AD281&gt;'Parâmetros'!$A$35,-7,-1)))))))</f>
        <v>-1</v>
      </c>
      <c r="AK281" s="82">
        <f>IF(Consultas!AO281='Parâmetros'!$D$1,3,-3)</f>
        <v>-3</v>
      </c>
      <c r="AL281" s="82">
        <f>IF(Consultas!AP281='Parâmetros'!$D$1,5,-3)</f>
        <v>-3</v>
      </c>
      <c r="AM281" s="82">
        <f>IF(Consultas!AL281="N",-6,0)</f>
        <v>0</v>
      </c>
      <c r="AN281" s="82">
        <f>IF(Consultas!AM281="N",-10,0)</f>
        <v>0</v>
      </c>
      <c r="AO281" s="82">
        <f>IF(Consultas!AN281="S",4,-2)</f>
        <v>-2</v>
      </c>
      <c r="AP281" s="39"/>
      <c r="AQ281" s="165" t="str">
        <f>IF(Consultas!F281&gt;1,(SUM(F281:AO281)),"N/A")</f>
        <v>N/A</v>
      </c>
      <c r="AR281" s="78">
        <f>IF((Consultas!AD281&gt;'Parâmetros'!$A$31),"X",AJ281+Y281+V281+AC281)</f>
        <v>-9</v>
      </c>
      <c r="AS281" s="78">
        <f>IF((Consultas!AD281&gt;'Parâmetros'!$A$31),"X",(H281+I281+J281+Q281+T281+Y281+Z281+AJ281+AN281))</f>
        <v>-23</v>
      </c>
      <c r="AT281" s="78" t="str">
        <f>IF((Consultas!AD281&lt;'Parâmetros'!$A$31),"X",(AD281+AC281+AB281))</f>
        <v>X</v>
      </c>
      <c r="AU281" s="78">
        <f t="shared" si="1"/>
        <v>-23</v>
      </c>
      <c r="AV281" s="82" t="str">
        <f>IF(AQ281="N/A","N/A",IF(AQ281&gt;5,'Parâmetros'!$A$15,(IF(AU281=AR281,'Parâmetros'!$A$17,IF(AU281=AS281,'Parâmetros'!$A$16,'Parâmetros'!$A$14)))))</f>
        <v>N/A</v>
      </c>
      <c r="AW281" s="86" t="str">
        <f>IF(AQ281="N/A","N/A",IF(AV281='Parâmetros'!$A$15,'Parâmetros'!$C$15,(IF(AV281='Parâmetros'!$A$17,'Parâmetros'!$C$17,IF(AV281='Parâmetros'!$A$16,'Parâmetros'!$C$16,IF(AV281='Parâmetros'!$A$14,'Parâmetros'!$C$12))))))</f>
        <v>N/A</v>
      </c>
      <c r="AX281" s="82" t="b">
        <f>IF(Consultas!F281&gt;1,(IF(Consultas!F281&gt;5000,"SOLICITAR PED COMPRA","N/A")))</f>
        <v>0</v>
      </c>
      <c r="AY281" s="167" t="str">
        <f>IF(AND(Consultas!M281&lt;&gt;"S", Consultas!H281="S"), "CHECAGEM REVERSA", "N/A")</f>
        <v>N/A</v>
      </c>
      <c r="AZ281" s="167" t="str">
        <f>IF(Consultas!U281="N","PRECISA CORRIGIR END DIVERGENTE","N/A")</f>
        <v>N/A</v>
      </c>
    </row>
    <row r="282" ht="12.0" customHeight="1">
      <c r="A282" s="39" t="s">
        <v>90</v>
      </c>
      <c r="B282" s="82" t="str">
        <f>Consultas!B282</f>
        <v/>
      </c>
      <c r="C282" s="82" t="str">
        <f>Consultas!D282</f>
        <v/>
      </c>
      <c r="D282" s="96" t="str">
        <f>Consultas!E282</f>
        <v/>
      </c>
      <c r="E282" s="104" t="str">
        <f>IF(Consultas!AB282&gt;0,YEAR('Parâmetros'!$B$1)-YEAR(Consultas!AB282),"NA")</f>
        <v>NA</v>
      </c>
      <c r="F282" s="82">
        <f>IF(Consultas!F282&gt;'Parâmetros'!$B$2,-8,0)</f>
        <v>0</v>
      </c>
      <c r="G282" s="82">
        <f>IF(Consultas!H282='Parâmetros'!$E$1,100,0)</f>
        <v>0</v>
      </c>
      <c r="H282" s="82">
        <f>IF(Consultas!I282='Parâmetros'!$E$1,-4,12)</f>
        <v>12</v>
      </c>
      <c r="I282" s="82">
        <f>IF(Consultas!J282='Parâmetros'!$E$1,1,-13)</f>
        <v>-13</v>
      </c>
      <c r="J282" s="82">
        <f>IF(Consultas!K282='Parâmetros'!$E$1,2,-5)</f>
        <v>-5</v>
      </c>
      <c r="K282" s="82" t="str">
        <f>IF(Consultas!L282='Parâmetros'!$D$1,"SOLIC CONTRATO DE ENTREGA","N/A")</f>
        <v>N/A</v>
      </c>
      <c r="L282" s="82">
        <f>IF(Consultas!R282='Parâmetros'!$E$1,1,-3)</f>
        <v>-3</v>
      </c>
      <c r="M282" s="82" t="b">
        <f>IF(Consultas!S282&gt;1,(IF(Consultas!S282='Parâmetros'!$E$1,-3,9)))</f>
        <v>0</v>
      </c>
      <c r="N282" s="82">
        <f>IF(Consultas!T282="S",23,0)</f>
        <v>0</v>
      </c>
      <c r="O282" s="82">
        <f>IF(Consultas!U282='Parâmetros'!$E$1,-3,3)</f>
        <v>3</v>
      </c>
      <c r="P282" s="82">
        <f>IF(Consultas!V282='Parâmetros'!$E$1,-100,2)</f>
        <v>2</v>
      </c>
      <c r="Q282" s="82">
        <f>IF(Consultas!M282='Parâmetros'!$D$1,2,-9)</f>
        <v>-9</v>
      </c>
      <c r="R282" s="82">
        <f>IF(Consultas!N282="RJ",-12,0)</f>
        <v>0</v>
      </c>
      <c r="S282" s="82">
        <f>IF(Consultas!O282="-",-3,IF(Consultas!O282=0,-6,IF(Consultas!O282=5,0,IF(Consultas!O282=10,6))))</f>
        <v>-6</v>
      </c>
      <c r="T282" s="82">
        <f>IF(Consultas!M282="S",0,(IF(Consultas!P282="S",6,0)))</f>
        <v>0</v>
      </c>
      <c r="U282" s="82">
        <f>IF(Consultas!Q282&gt;97,9,IF(Consultas!Q282&gt;75,0,-7))</f>
        <v>-7</v>
      </c>
      <c r="V282" s="82">
        <f>IF(Consultas!W282='Parâmetros'!$E$1,1,-5)</f>
        <v>-5</v>
      </c>
      <c r="W282" s="82">
        <f>IF(Consultas!X282="S",3,-3)</f>
        <v>-3</v>
      </c>
      <c r="X282" s="82">
        <f>IF(Consultas!Y282="S",0,-7)</f>
        <v>-7</v>
      </c>
      <c r="Y282" s="82">
        <f>IF(Consultas!Z282='Parâmetros'!$E$1,2,-8)</f>
        <v>-8</v>
      </c>
      <c r="Z282" s="82">
        <f>IF(Consultas!AA282='Parâmetros'!$E$1,-15,1)</f>
        <v>1</v>
      </c>
      <c r="AA282" s="147" t="s">
        <v>140</v>
      </c>
      <c r="AB282" s="82" t="str">
        <f>IF(E282="NA","NA",IF(E282&gt;'Parâmetros'!$A$9,8,IF(E282&gt;'Parâmetros'!$A$8,4,IF(E282&gt;'Parâmetros'!$A$7,0,-6))))</f>
        <v>NA</v>
      </c>
      <c r="AC282" s="82">
        <f>IF(Consultas!AC282='Parâmetros'!$E$1,0,5)</f>
        <v>5</v>
      </c>
      <c r="AD282" s="82">
        <f>IF(Consultas!AH282='Parâmetros'!$D$1,-10,5)</f>
        <v>5</v>
      </c>
      <c r="AE282" s="82">
        <f>IF(Consultas!AI282&gt;(Consultas!F282*2),-10,0)</f>
        <v>0</v>
      </c>
      <c r="AF282" s="82" t="b">
        <f>IF(Consultas!AD282&gt;1,(IF(Consultas!AI282&gt;(Consultas!AD282),-20,4)))</f>
        <v>0</v>
      </c>
      <c r="AG282" s="82">
        <f>IF(Consultas!AG282='Parâmetros'!$E$1,0,-6)</f>
        <v>-6</v>
      </c>
      <c r="AH282" s="82">
        <f>IF(Consultas!AF282='Parâmetros'!$E$1,1,-5)</f>
        <v>-5</v>
      </c>
      <c r="AI282" s="82">
        <f>IF(Consultas!AJ282&gt;700,8,IF(Consultas!AJ282&gt;500,4,IF(Consultas!AJ282&gt;200,-4,IF(Consultas!AJ282&gt;1,-15,-20))))</f>
        <v>-20</v>
      </c>
      <c r="AJ282" s="82">
        <f>IF(Consultas!AD282='Parâmetros'!$E$10,0,IF(Consultas!AD282&gt;'Parâmetros'!$A$30,12,IF(Consultas!AD282&gt;'Parâmetros'!$A$31,6,IF(Consultas!AD282&gt;'Parâmetros'!$A$32,0,IF(Consultas!AD282&gt;'Parâmetros'!$A$33,0,IF(Consultas!AD282&gt;'Parâmetros'!$A$34,-3,IF(Consultas!AD282&gt;'Parâmetros'!$A$35,-7,-1)))))))</f>
        <v>-1</v>
      </c>
      <c r="AK282" s="82">
        <f>IF(Consultas!AO282='Parâmetros'!$D$1,3,-3)</f>
        <v>-3</v>
      </c>
      <c r="AL282" s="82">
        <f>IF(Consultas!AP282='Parâmetros'!$D$1,5,-3)</f>
        <v>-3</v>
      </c>
      <c r="AM282" s="82">
        <f>IF(Consultas!AL282="N",-6,0)</f>
        <v>0</v>
      </c>
      <c r="AN282" s="82">
        <f>IF(Consultas!AM282="N",-10,0)</f>
        <v>0</v>
      </c>
      <c r="AO282" s="82">
        <f>IF(Consultas!AN282="S",4,-2)</f>
        <v>-2</v>
      </c>
      <c r="AP282" s="39"/>
      <c r="AQ282" s="165" t="str">
        <f>IF(Consultas!F282&gt;1,(SUM(F282:AO282)),"N/A")</f>
        <v>N/A</v>
      </c>
      <c r="AR282" s="78">
        <f>IF((Consultas!AD282&gt;'Parâmetros'!$A$31),"X",AJ282+Y282+V282+AC282)</f>
        <v>-9</v>
      </c>
      <c r="AS282" s="78">
        <f>IF((Consultas!AD282&gt;'Parâmetros'!$A$31),"X",(H282+I282+J282+Q282+T282+Y282+Z282+AJ282+AN282))</f>
        <v>-23</v>
      </c>
      <c r="AT282" s="78" t="str">
        <f>IF((Consultas!AD282&lt;'Parâmetros'!$A$31),"X",(AD282+AC282+AB282))</f>
        <v>X</v>
      </c>
      <c r="AU282" s="78">
        <f t="shared" si="1"/>
        <v>-23</v>
      </c>
      <c r="AV282" s="82" t="str">
        <f>IF(AQ282="N/A","N/A",IF(AQ282&gt;5,'Parâmetros'!$A$15,(IF(AU282=AR282,'Parâmetros'!$A$17,IF(AU282=AS282,'Parâmetros'!$A$16,'Parâmetros'!$A$14)))))</f>
        <v>N/A</v>
      </c>
      <c r="AW282" s="86" t="str">
        <f>IF(AQ282="N/A","N/A",IF(AV282='Parâmetros'!$A$15,'Parâmetros'!$C$15,(IF(AV282='Parâmetros'!$A$17,'Parâmetros'!$C$17,IF(AV282='Parâmetros'!$A$16,'Parâmetros'!$C$16,IF(AV282='Parâmetros'!$A$14,'Parâmetros'!$C$12))))))</f>
        <v>N/A</v>
      </c>
      <c r="AX282" s="82" t="b">
        <f>IF(Consultas!F282&gt;1,(IF(Consultas!F282&gt;5000,"SOLICITAR PED COMPRA","N/A")))</f>
        <v>0</v>
      </c>
      <c r="AY282" s="167" t="str">
        <f>IF(AND(Consultas!M282&lt;&gt;"S", Consultas!H282="S"), "CHECAGEM REVERSA", "N/A")</f>
        <v>N/A</v>
      </c>
      <c r="AZ282" s="167" t="str">
        <f>IF(Consultas!U282="N","PRECISA CORRIGIR END DIVERGENTE","N/A")</f>
        <v>N/A</v>
      </c>
    </row>
    <row r="283" ht="12.0" customHeight="1">
      <c r="A283" s="39" t="s">
        <v>90</v>
      </c>
      <c r="B283" s="82" t="str">
        <f>Consultas!B283</f>
        <v/>
      </c>
      <c r="C283" s="82" t="str">
        <f>Consultas!D283</f>
        <v/>
      </c>
      <c r="D283" s="96" t="str">
        <f>Consultas!E283</f>
        <v/>
      </c>
      <c r="E283" s="104" t="str">
        <f>IF(Consultas!AB283&gt;0,YEAR('Parâmetros'!$B$1)-YEAR(Consultas!AB283),"NA")</f>
        <v>NA</v>
      </c>
      <c r="F283" s="82">
        <f>IF(Consultas!F283&gt;'Parâmetros'!$B$2,-8,0)</f>
        <v>0</v>
      </c>
      <c r="G283" s="82">
        <f>IF(Consultas!H283='Parâmetros'!$E$1,100,0)</f>
        <v>0</v>
      </c>
      <c r="H283" s="82">
        <f>IF(Consultas!I283='Parâmetros'!$E$1,-4,12)</f>
        <v>12</v>
      </c>
      <c r="I283" s="82">
        <f>IF(Consultas!J283='Parâmetros'!$E$1,1,-13)</f>
        <v>-13</v>
      </c>
      <c r="J283" s="82">
        <f>IF(Consultas!K283='Parâmetros'!$E$1,2,-5)</f>
        <v>-5</v>
      </c>
      <c r="K283" s="82" t="str">
        <f>IF(Consultas!L283='Parâmetros'!$D$1,"SOLIC CONTRATO DE ENTREGA","N/A")</f>
        <v>N/A</v>
      </c>
      <c r="L283" s="82">
        <f>IF(Consultas!R283='Parâmetros'!$E$1,1,-3)</f>
        <v>-3</v>
      </c>
      <c r="M283" s="82" t="b">
        <f>IF(Consultas!S283&gt;1,(IF(Consultas!S283='Parâmetros'!$E$1,-3,9)))</f>
        <v>0</v>
      </c>
      <c r="N283" s="82">
        <f>IF(Consultas!T283="S",23,0)</f>
        <v>0</v>
      </c>
      <c r="O283" s="82">
        <f>IF(Consultas!U283='Parâmetros'!$E$1,-3,3)</f>
        <v>3</v>
      </c>
      <c r="P283" s="82">
        <f>IF(Consultas!V283='Parâmetros'!$E$1,-100,2)</f>
        <v>2</v>
      </c>
      <c r="Q283" s="82">
        <f>IF(Consultas!M283='Parâmetros'!$D$1,2,-9)</f>
        <v>-9</v>
      </c>
      <c r="R283" s="82">
        <f>IF(Consultas!N283="RJ",-12,0)</f>
        <v>0</v>
      </c>
      <c r="S283" s="82">
        <f>IF(Consultas!O283="-",-3,IF(Consultas!O283=0,-6,IF(Consultas!O283=5,0,IF(Consultas!O283=10,6))))</f>
        <v>-6</v>
      </c>
      <c r="T283" s="82">
        <f>IF(Consultas!M283="S",0,(IF(Consultas!P283="S",6,0)))</f>
        <v>0</v>
      </c>
      <c r="U283" s="82">
        <f>IF(Consultas!Q283&gt;97,9,IF(Consultas!Q283&gt;75,0,-7))</f>
        <v>-7</v>
      </c>
      <c r="V283" s="82">
        <f>IF(Consultas!W283='Parâmetros'!$E$1,1,-5)</f>
        <v>-5</v>
      </c>
      <c r="W283" s="82">
        <f>IF(Consultas!X283="S",3,-3)</f>
        <v>-3</v>
      </c>
      <c r="X283" s="82">
        <f>IF(Consultas!Y283="S",0,-7)</f>
        <v>-7</v>
      </c>
      <c r="Y283" s="82">
        <f>IF(Consultas!Z283='Parâmetros'!$E$1,2,-8)</f>
        <v>-8</v>
      </c>
      <c r="Z283" s="82">
        <f>IF(Consultas!AA283='Parâmetros'!$E$1,-15,1)</f>
        <v>1</v>
      </c>
      <c r="AA283" s="147" t="s">
        <v>140</v>
      </c>
      <c r="AB283" s="82" t="str">
        <f>IF(E283="NA","NA",IF(E283&gt;'Parâmetros'!$A$9,8,IF(E283&gt;'Parâmetros'!$A$8,4,IF(E283&gt;'Parâmetros'!$A$7,0,-6))))</f>
        <v>NA</v>
      </c>
      <c r="AC283" s="82">
        <f>IF(Consultas!AC283='Parâmetros'!$E$1,0,5)</f>
        <v>5</v>
      </c>
      <c r="AD283" s="82">
        <f>IF(Consultas!AH283='Parâmetros'!$D$1,-10,5)</f>
        <v>5</v>
      </c>
      <c r="AE283" s="82">
        <f>IF(Consultas!AI283&gt;(Consultas!F283*2),-10,0)</f>
        <v>0</v>
      </c>
      <c r="AF283" s="82" t="b">
        <f>IF(Consultas!AD283&gt;1,(IF(Consultas!AI283&gt;(Consultas!AD283),-20,4)))</f>
        <v>0</v>
      </c>
      <c r="AG283" s="82">
        <f>IF(Consultas!AG283='Parâmetros'!$E$1,0,-6)</f>
        <v>-6</v>
      </c>
      <c r="AH283" s="82">
        <f>IF(Consultas!AF283='Parâmetros'!$E$1,1,-5)</f>
        <v>-5</v>
      </c>
      <c r="AI283" s="82">
        <f>IF(Consultas!AJ283&gt;700,8,IF(Consultas!AJ283&gt;500,4,IF(Consultas!AJ283&gt;200,-4,IF(Consultas!AJ283&gt;1,-15,-20))))</f>
        <v>-20</v>
      </c>
      <c r="AJ283" s="82">
        <f>IF(Consultas!AD283='Parâmetros'!$E$10,0,IF(Consultas!AD283&gt;'Parâmetros'!$A$30,12,IF(Consultas!AD283&gt;'Parâmetros'!$A$31,6,IF(Consultas!AD283&gt;'Parâmetros'!$A$32,0,IF(Consultas!AD283&gt;'Parâmetros'!$A$33,0,IF(Consultas!AD283&gt;'Parâmetros'!$A$34,-3,IF(Consultas!AD283&gt;'Parâmetros'!$A$35,-7,-1)))))))</f>
        <v>-1</v>
      </c>
      <c r="AK283" s="82">
        <f>IF(Consultas!AO283='Parâmetros'!$D$1,3,-3)</f>
        <v>-3</v>
      </c>
      <c r="AL283" s="82">
        <f>IF(Consultas!AP283='Parâmetros'!$D$1,5,-3)</f>
        <v>-3</v>
      </c>
      <c r="AM283" s="82">
        <f>IF(Consultas!AL283="N",-6,0)</f>
        <v>0</v>
      </c>
      <c r="AN283" s="82">
        <f>IF(Consultas!AM283="N",-10,0)</f>
        <v>0</v>
      </c>
      <c r="AO283" s="82">
        <f>IF(Consultas!AN283="S",4,-2)</f>
        <v>-2</v>
      </c>
      <c r="AP283" s="39"/>
      <c r="AQ283" s="165" t="str">
        <f>IF(Consultas!F283&gt;1,(SUM(F283:AO283)),"N/A")</f>
        <v>N/A</v>
      </c>
      <c r="AR283" s="78">
        <f>IF((Consultas!AD283&gt;'Parâmetros'!$A$31),"X",AJ283+Y283+V283+AC283)</f>
        <v>-9</v>
      </c>
      <c r="AS283" s="78">
        <f>IF((Consultas!AD283&gt;'Parâmetros'!$A$31),"X",(H283+I283+J283+Q283+T283+Y283+Z283+AJ283+AN283))</f>
        <v>-23</v>
      </c>
      <c r="AT283" s="78" t="str">
        <f>IF((Consultas!AD283&lt;'Parâmetros'!$A$31),"X",(AD283+AC283+AB283))</f>
        <v>X</v>
      </c>
      <c r="AU283" s="78">
        <f t="shared" si="1"/>
        <v>-23</v>
      </c>
      <c r="AV283" s="82" t="str">
        <f>IF(AQ283="N/A","N/A",IF(AQ283&gt;5,'Parâmetros'!$A$15,(IF(AU283=AR283,'Parâmetros'!$A$17,IF(AU283=AS283,'Parâmetros'!$A$16,'Parâmetros'!$A$14)))))</f>
        <v>N/A</v>
      </c>
      <c r="AW283" s="86" t="str">
        <f>IF(AQ283="N/A","N/A",IF(AV283='Parâmetros'!$A$15,'Parâmetros'!$C$15,(IF(AV283='Parâmetros'!$A$17,'Parâmetros'!$C$17,IF(AV283='Parâmetros'!$A$16,'Parâmetros'!$C$16,IF(AV283='Parâmetros'!$A$14,'Parâmetros'!$C$12))))))</f>
        <v>N/A</v>
      </c>
      <c r="AX283" s="82" t="b">
        <f>IF(Consultas!F283&gt;1,(IF(Consultas!F283&gt;5000,"SOLICITAR PED COMPRA","N/A")))</f>
        <v>0</v>
      </c>
      <c r="AY283" s="167" t="str">
        <f>IF(AND(Consultas!M283&lt;&gt;"S", Consultas!H283="S"), "CHECAGEM REVERSA", "N/A")</f>
        <v>N/A</v>
      </c>
      <c r="AZ283" s="167" t="str">
        <f>IF(Consultas!U283="N","PRECISA CORRIGIR END DIVERGENTE","N/A")</f>
        <v>N/A</v>
      </c>
    </row>
    <row r="284" ht="12.0" customHeight="1">
      <c r="A284" s="39" t="s">
        <v>90</v>
      </c>
      <c r="B284" s="82" t="str">
        <f>Consultas!B284</f>
        <v/>
      </c>
      <c r="C284" s="82" t="str">
        <f>Consultas!D284</f>
        <v/>
      </c>
      <c r="D284" s="96" t="str">
        <f>Consultas!E284</f>
        <v/>
      </c>
      <c r="E284" s="104" t="str">
        <f>IF(Consultas!AB284&gt;0,YEAR('Parâmetros'!$B$1)-YEAR(Consultas!AB284),"NA")</f>
        <v>NA</v>
      </c>
      <c r="F284" s="82">
        <f>IF(Consultas!F284&gt;'Parâmetros'!$B$2,-8,0)</f>
        <v>0</v>
      </c>
      <c r="G284" s="82">
        <f>IF(Consultas!H284='Parâmetros'!$E$1,100,0)</f>
        <v>0</v>
      </c>
      <c r="H284" s="82">
        <f>IF(Consultas!I284='Parâmetros'!$E$1,-4,12)</f>
        <v>12</v>
      </c>
      <c r="I284" s="82">
        <f>IF(Consultas!J284='Parâmetros'!$E$1,1,-13)</f>
        <v>-13</v>
      </c>
      <c r="J284" s="82">
        <f>IF(Consultas!K284='Parâmetros'!$E$1,2,-5)</f>
        <v>-5</v>
      </c>
      <c r="K284" s="82" t="str">
        <f>IF(Consultas!L284='Parâmetros'!$D$1,"SOLIC CONTRATO DE ENTREGA","N/A")</f>
        <v>N/A</v>
      </c>
      <c r="L284" s="82">
        <f>IF(Consultas!R284='Parâmetros'!$E$1,1,-3)</f>
        <v>-3</v>
      </c>
      <c r="M284" s="82" t="b">
        <f>IF(Consultas!S284&gt;1,(IF(Consultas!S284='Parâmetros'!$E$1,-3,9)))</f>
        <v>0</v>
      </c>
      <c r="N284" s="82">
        <f>IF(Consultas!T284="S",23,0)</f>
        <v>0</v>
      </c>
      <c r="O284" s="82">
        <f>IF(Consultas!U284='Parâmetros'!$E$1,-3,3)</f>
        <v>3</v>
      </c>
      <c r="P284" s="82">
        <f>IF(Consultas!V284='Parâmetros'!$E$1,-100,2)</f>
        <v>2</v>
      </c>
      <c r="Q284" s="82">
        <f>IF(Consultas!M284='Parâmetros'!$D$1,2,-9)</f>
        <v>-9</v>
      </c>
      <c r="R284" s="82">
        <f>IF(Consultas!N284="RJ",-12,0)</f>
        <v>0</v>
      </c>
      <c r="S284" s="82">
        <f>IF(Consultas!O284="-",-3,IF(Consultas!O284=0,-6,IF(Consultas!O284=5,0,IF(Consultas!O284=10,6))))</f>
        <v>-6</v>
      </c>
      <c r="T284" s="82">
        <f>IF(Consultas!M284="S",0,(IF(Consultas!P284="S",6,0)))</f>
        <v>0</v>
      </c>
      <c r="U284" s="82">
        <f>IF(Consultas!Q284&gt;97,9,IF(Consultas!Q284&gt;75,0,-7))</f>
        <v>-7</v>
      </c>
      <c r="V284" s="82">
        <f>IF(Consultas!W284='Parâmetros'!$E$1,1,-5)</f>
        <v>-5</v>
      </c>
      <c r="W284" s="82">
        <f>IF(Consultas!X284="S",3,-3)</f>
        <v>-3</v>
      </c>
      <c r="X284" s="82">
        <f>IF(Consultas!Y284="S",0,-7)</f>
        <v>-7</v>
      </c>
      <c r="Y284" s="82">
        <f>IF(Consultas!Z284='Parâmetros'!$E$1,2,-8)</f>
        <v>-8</v>
      </c>
      <c r="Z284" s="82">
        <f>IF(Consultas!AA284='Parâmetros'!$E$1,-15,1)</f>
        <v>1</v>
      </c>
      <c r="AA284" s="147" t="s">
        <v>140</v>
      </c>
      <c r="AB284" s="82" t="str">
        <f>IF(E284="NA","NA",IF(E284&gt;'Parâmetros'!$A$9,8,IF(E284&gt;'Parâmetros'!$A$8,4,IF(E284&gt;'Parâmetros'!$A$7,0,-6))))</f>
        <v>NA</v>
      </c>
      <c r="AC284" s="82">
        <f>IF(Consultas!AC284='Parâmetros'!$E$1,0,5)</f>
        <v>5</v>
      </c>
      <c r="AD284" s="82">
        <f>IF(Consultas!AH284='Parâmetros'!$D$1,-10,5)</f>
        <v>5</v>
      </c>
      <c r="AE284" s="82">
        <f>IF(Consultas!AI284&gt;(Consultas!F284*2),-10,0)</f>
        <v>0</v>
      </c>
      <c r="AF284" s="82" t="b">
        <f>IF(Consultas!AD284&gt;1,(IF(Consultas!AI284&gt;(Consultas!AD284),-20,4)))</f>
        <v>0</v>
      </c>
      <c r="AG284" s="82">
        <f>IF(Consultas!AG284='Parâmetros'!$E$1,0,-6)</f>
        <v>-6</v>
      </c>
      <c r="AH284" s="82">
        <f>IF(Consultas!AF284='Parâmetros'!$E$1,1,-5)</f>
        <v>-5</v>
      </c>
      <c r="AI284" s="82">
        <f>IF(Consultas!AJ284&gt;700,8,IF(Consultas!AJ284&gt;500,4,IF(Consultas!AJ284&gt;200,-4,IF(Consultas!AJ284&gt;1,-15,-20))))</f>
        <v>-20</v>
      </c>
      <c r="AJ284" s="82">
        <f>IF(Consultas!AD284='Parâmetros'!$E$10,0,IF(Consultas!AD284&gt;'Parâmetros'!$A$30,12,IF(Consultas!AD284&gt;'Parâmetros'!$A$31,6,IF(Consultas!AD284&gt;'Parâmetros'!$A$32,0,IF(Consultas!AD284&gt;'Parâmetros'!$A$33,0,IF(Consultas!AD284&gt;'Parâmetros'!$A$34,-3,IF(Consultas!AD284&gt;'Parâmetros'!$A$35,-7,-1)))))))</f>
        <v>-1</v>
      </c>
      <c r="AK284" s="82">
        <f>IF(Consultas!AO284='Parâmetros'!$D$1,3,-3)</f>
        <v>-3</v>
      </c>
      <c r="AL284" s="82">
        <f>IF(Consultas!AP284='Parâmetros'!$D$1,5,-3)</f>
        <v>-3</v>
      </c>
      <c r="AM284" s="82">
        <f>IF(Consultas!AL284="N",-6,0)</f>
        <v>0</v>
      </c>
      <c r="AN284" s="82">
        <f>IF(Consultas!AM284="N",-10,0)</f>
        <v>0</v>
      </c>
      <c r="AO284" s="82">
        <f>IF(Consultas!AN284="S",4,-2)</f>
        <v>-2</v>
      </c>
      <c r="AP284" s="39"/>
      <c r="AQ284" s="165" t="str">
        <f>IF(Consultas!F284&gt;1,(SUM(F284:AO284)),"N/A")</f>
        <v>N/A</v>
      </c>
      <c r="AR284" s="78">
        <f>IF((Consultas!AD284&gt;'Parâmetros'!$A$31),"X",AJ284+Y284+V284+AC284)</f>
        <v>-9</v>
      </c>
      <c r="AS284" s="78">
        <f>IF((Consultas!AD284&gt;'Parâmetros'!$A$31),"X",(H284+I284+J284+Q284+T284+Y284+Z284+AJ284+AN284))</f>
        <v>-23</v>
      </c>
      <c r="AT284" s="78" t="str">
        <f>IF((Consultas!AD284&lt;'Parâmetros'!$A$31),"X",(AD284+AC284+AB284))</f>
        <v>X</v>
      </c>
      <c r="AU284" s="78">
        <f t="shared" si="1"/>
        <v>-23</v>
      </c>
      <c r="AV284" s="82" t="str">
        <f>IF(AQ284="N/A","N/A",IF(AQ284&gt;5,'Parâmetros'!$A$15,(IF(AU284=AR284,'Parâmetros'!$A$17,IF(AU284=AS284,'Parâmetros'!$A$16,'Parâmetros'!$A$14)))))</f>
        <v>N/A</v>
      </c>
      <c r="AW284" s="86" t="str">
        <f>IF(AQ284="N/A","N/A",IF(AV284='Parâmetros'!$A$15,'Parâmetros'!$C$15,(IF(AV284='Parâmetros'!$A$17,'Parâmetros'!$C$17,IF(AV284='Parâmetros'!$A$16,'Parâmetros'!$C$16,IF(AV284='Parâmetros'!$A$14,'Parâmetros'!$C$12))))))</f>
        <v>N/A</v>
      </c>
      <c r="AX284" s="82" t="b">
        <f>IF(Consultas!F284&gt;1,(IF(Consultas!F284&gt;5000,"SOLICITAR PED COMPRA","N/A")))</f>
        <v>0</v>
      </c>
      <c r="AY284" s="167" t="str">
        <f>IF(AND(Consultas!M284&lt;&gt;"S", Consultas!H284="S"), "CHECAGEM REVERSA", "N/A")</f>
        <v>N/A</v>
      </c>
      <c r="AZ284" s="167" t="str">
        <f>IF(Consultas!U284="N","PRECISA CORRIGIR END DIVERGENTE","N/A")</f>
        <v>N/A</v>
      </c>
    </row>
    <row r="285" ht="12.0" customHeight="1">
      <c r="A285" s="39" t="s">
        <v>90</v>
      </c>
      <c r="B285" s="82" t="str">
        <f>Consultas!B285</f>
        <v/>
      </c>
      <c r="C285" s="82" t="str">
        <f>Consultas!D285</f>
        <v/>
      </c>
      <c r="D285" s="96" t="str">
        <f>Consultas!E285</f>
        <v/>
      </c>
      <c r="E285" s="104" t="str">
        <f>IF(Consultas!AB285&gt;0,YEAR('Parâmetros'!$B$1)-YEAR(Consultas!AB285),"NA")</f>
        <v>NA</v>
      </c>
      <c r="F285" s="82">
        <f>IF(Consultas!F285&gt;'Parâmetros'!$B$2,-8,0)</f>
        <v>0</v>
      </c>
      <c r="G285" s="82">
        <f>IF(Consultas!H285='Parâmetros'!$E$1,100,0)</f>
        <v>0</v>
      </c>
      <c r="H285" s="82">
        <f>IF(Consultas!I285='Parâmetros'!$E$1,-4,12)</f>
        <v>12</v>
      </c>
      <c r="I285" s="82">
        <f>IF(Consultas!J285='Parâmetros'!$E$1,1,-13)</f>
        <v>-13</v>
      </c>
      <c r="J285" s="82">
        <f>IF(Consultas!K285='Parâmetros'!$E$1,2,-5)</f>
        <v>-5</v>
      </c>
      <c r="K285" s="82" t="str">
        <f>IF(Consultas!L285='Parâmetros'!$D$1,"SOLIC CONTRATO DE ENTREGA","N/A")</f>
        <v>N/A</v>
      </c>
      <c r="L285" s="82">
        <f>IF(Consultas!R285='Parâmetros'!$E$1,1,-3)</f>
        <v>-3</v>
      </c>
      <c r="M285" s="82" t="b">
        <f>IF(Consultas!S285&gt;1,(IF(Consultas!S285='Parâmetros'!$E$1,-3,9)))</f>
        <v>0</v>
      </c>
      <c r="N285" s="82">
        <f>IF(Consultas!T285="S",23,0)</f>
        <v>0</v>
      </c>
      <c r="O285" s="82">
        <f>IF(Consultas!U285='Parâmetros'!$E$1,-3,3)</f>
        <v>3</v>
      </c>
      <c r="P285" s="82">
        <f>IF(Consultas!V285='Parâmetros'!$E$1,-100,2)</f>
        <v>2</v>
      </c>
      <c r="Q285" s="82">
        <f>IF(Consultas!M285='Parâmetros'!$D$1,2,-9)</f>
        <v>-9</v>
      </c>
      <c r="R285" s="82">
        <f>IF(Consultas!N285="RJ",-12,0)</f>
        <v>0</v>
      </c>
      <c r="S285" s="82">
        <f>IF(Consultas!O285="-",-3,IF(Consultas!O285=0,-6,IF(Consultas!O285=5,0,IF(Consultas!O285=10,6))))</f>
        <v>-6</v>
      </c>
      <c r="T285" s="82">
        <f>IF(Consultas!M285="S",0,(IF(Consultas!P285="S",6,0)))</f>
        <v>0</v>
      </c>
      <c r="U285" s="82">
        <f>IF(Consultas!Q285&gt;97,9,IF(Consultas!Q285&gt;75,0,-7))</f>
        <v>-7</v>
      </c>
      <c r="V285" s="82">
        <f>IF(Consultas!W285='Parâmetros'!$E$1,1,-5)</f>
        <v>-5</v>
      </c>
      <c r="W285" s="82">
        <f>IF(Consultas!X285="S",3,-3)</f>
        <v>-3</v>
      </c>
      <c r="X285" s="82">
        <f>IF(Consultas!Y285="S",0,-7)</f>
        <v>-7</v>
      </c>
      <c r="Y285" s="82">
        <f>IF(Consultas!Z285='Parâmetros'!$E$1,2,-8)</f>
        <v>-8</v>
      </c>
      <c r="Z285" s="82">
        <f>IF(Consultas!AA285='Parâmetros'!$E$1,-15,1)</f>
        <v>1</v>
      </c>
      <c r="AA285" s="147" t="s">
        <v>140</v>
      </c>
      <c r="AB285" s="82" t="str">
        <f>IF(E285="NA","NA",IF(E285&gt;'Parâmetros'!$A$9,8,IF(E285&gt;'Parâmetros'!$A$8,4,IF(E285&gt;'Parâmetros'!$A$7,0,-6))))</f>
        <v>NA</v>
      </c>
      <c r="AC285" s="82">
        <f>IF(Consultas!AC285='Parâmetros'!$E$1,0,5)</f>
        <v>5</v>
      </c>
      <c r="AD285" s="82">
        <f>IF(Consultas!AH285='Parâmetros'!$D$1,-10,5)</f>
        <v>5</v>
      </c>
      <c r="AE285" s="82">
        <f>IF(Consultas!AI285&gt;(Consultas!F285*2),-10,0)</f>
        <v>0</v>
      </c>
      <c r="AF285" s="82" t="b">
        <f>IF(Consultas!AD285&gt;1,(IF(Consultas!AI285&gt;(Consultas!AD285),-20,4)))</f>
        <v>0</v>
      </c>
      <c r="AG285" s="82">
        <f>IF(Consultas!AG285='Parâmetros'!$E$1,0,-6)</f>
        <v>-6</v>
      </c>
      <c r="AH285" s="82">
        <f>IF(Consultas!AF285='Parâmetros'!$E$1,1,-5)</f>
        <v>-5</v>
      </c>
      <c r="AI285" s="82">
        <f>IF(Consultas!AJ285&gt;700,8,IF(Consultas!AJ285&gt;500,4,IF(Consultas!AJ285&gt;200,-4,IF(Consultas!AJ285&gt;1,-15,-20))))</f>
        <v>-20</v>
      </c>
      <c r="AJ285" s="82">
        <f>IF(Consultas!AD285='Parâmetros'!$E$10,0,IF(Consultas!AD285&gt;'Parâmetros'!$A$30,12,IF(Consultas!AD285&gt;'Parâmetros'!$A$31,6,IF(Consultas!AD285&gt;'Parâmetros'!$A$32,0,IF(Consultas!AD285&gt;'Parâmetros'!$A$33,0,IF(Consultas!AD285&gt;'Parâmetros'!$A$34,-3,IF(Consultas!AD285&gt;'Parâmetros'!$A$35,-7,-1)))))))</f>
        <v>-1</v>
      </c>
      <c r="AK285" s="82">
        <f>IF(Consultas!AO285='Parâmetros'!$D$1,3,-3)</f>
        <v>-3</v>
      </c>
      <c r="AL285" s="82">
        <f>IF(Consultas!AP285='Parâmetros'!$D$1,5,-3)</f>
        <v>-3</v>
      </c>
      <c r="AM285" s="82">
        <f>IF(Consultas!AL285="N",-6,0)</f>
        <v>0</v>
      </c>
      <c r="AN285" s="82">
        <f>IF(Consultas!AM285="N",-10,0)</f>
        <v>0</v>
      </c>
      <c r="AO285" s="82">
        <f>IF(Consultas!AN285="S",4,-2)</f>
        <v>-2</v>
      </c>
      <c r="AP285" s="39"/>
      <c r="AQ285" s="165" t="str">
        <f>IF(Consultas!F285&gt;1,(SUM(F285:AO285)),"N/A")</f>
        <v>N/A</v>
      </c>
      <c r="AR285" s="78">
        <f>IF((Consultas!AD285&gt;'Parâmetros'!$A$31),"X",AJ285+Y285+V285+AC285)</f>
        <v>-9</v>
      </c>
      <c r="AS285" s="78">
        <f>IF((Consultas!AD285&gt;'Parâmetros'!$A$31),"X",(H285+I285+J285+Q285+T285+Y285+Z285+AJ285+AN285))</f>
        <v>-23</v>
      </c>
      <c r="AT285" s="78" t="str">
        <f>IF((Consultas!AD285&lt;'Parâmetros'!$A$31),"X",(AD285+AC285+AB285))</f>
        <v>X</v>
      </c>
      <c r="AU285" s="78">
        <f t="shared" si="1"/>
        <v>-23</v>
      </c>
      <c r="AV285" s="82" t="str">
        <f>IF(AQ285="N/A","N/A",IF(AQ285&gt;5,'Parâmetros'!$A$15,(IF(AU285=AR285,'Parâmetros'!$A$17,IF(AU285=AS285,'Parâmetros'!$A$16,'Parâmetros'!$A$14)))))</f>
        <v>N/A</v>
      </c>
      <c r="AW285" s="86" t="str">
        <f>IF(AQ285="N/A","N/A",IF(AV285='Parâmetros'!$A$15,'Parâmetros'!$C$15,(IF(AV285='Parâmetros'!$A$17,'Parâmetros'!$C$17,IF(AV285='Parâmetros'!$A$16,'Parâmetros'!$C$16,IF(AV285='Parâmetros'!$A$14,'Parâmetros'!$C$12))))))</f>
        <v>N/A</v>
      </c>
      <c r="AX285" s="82" t="b">
        <f>IF(Consultas!F285&gt;1,(IF(Consultas!F285&gt;5000,"SOLICITAR PED COMPRA","N/A")))</f>
        <v>0</v>
      </c>
      <c r="AY285" s="167" t="str">
        <f>IF(AND(Consultas!M285&lt;&gt;"S", Consultas!H285="S"), "CHECAGEM REVERSA", "N/A")</f>
        <v>N/A</v>
      </c>
      <c r="AZ285" s="167" t="str">
        <f>IF(Consultas!U285="N","PRECISA CORRIGIR END DIVERGENTE","N/A")</f>
        <v>N/A</v>
      </c>
    </row>
    <row r="286" ht="12.0" customHeight="1">
      <c r="A286" s="39" t="s">
        <v>90</v>
      </c>
      <c r="B286" s="82" t="str">
        <f>Consultas!B286</f>
        <v/>
      </c>
      <c r="C286" s="82" t="str">
        <f>Consultas!D286</f>
        <v/>
      </c>
      <c r="D286" s="96" t="str">
        <f>Consultas!E286</f>
        <v/>
      </c>
      <c r="E286" s="104" t="str">
        <f>IF(Consultas!AB286&gt;0,YEAR('Parâmetros'!$B$1)-YEAR(Consultas!AB286),"NA")</f>
        <v>NA</v>
      </c>
      <c r="F286" s="82">
        <f>IF(Consultas!F286&gt;'Parâmetros'!$B$2,-8,0)</f>
        <v>0</v>
      </c>
      <c r="G286" s="82">
        <f>IF(Consultas!H286='Parâmetros'!$E$1,100,0)</f>
        <v>0</v>
      </c>
      <c r="H286" s="82">
        <f>IF(Consultas!I286='Parâmetros'!$E$1,-4,12)</f>
        <v>12</v>
      </c>
      <c r="I286" s="82">
        <f>IF(Consultas!J286='Parâmetros'!$E$1,1,-13)</f>
        <v>-13</v>
      </c>
      <c r="J286" s="82">
        <f>IF(Consultas!K286='Parâmetros'!$E$1,2,-5)</f>
        <v>-5</v>
      </c>
      <c r="K286" s="82" t="str">
        <f>IF(Consultas!L286='Parâmetros'!$D$1,"SOLIC CONTRATO DE ENTREGA","N/A")</f>
        <v>N/A</v>
      </c>
      <c r="L286" s="82">
        <f>IF(Consultas!R286='Parâmetros'!$E$1,1,-3)</f>
        <v>-3</v>
      </c>
      <c r="M286" s="82" t="b">
        <f>IF(Consultas!S286&gt;1,(IF(Consultas!S286='Parâmetros'!$E$1,-3,9)))</f>
        <v>0</v>
      </c>
      <c r="N286" s="82">
        <f>IF(Consultas!T286="S",23,0)</f>
        <v>0</v>
      </c>
      <c r="O286" s="82">
        <f>IF(Consultas!U286='Parâmetros'!$E$1,-3,3)</f>
        <v>3</v>
      </c>
      <c r="P286" s="82">
        <f>IF(Consultas!V286='Parâmetros'!$E$1,-100,2)</f>
        <v>2</v>
      </c>
      <c r="Q286" s="82">
        <f>IF(Consultas!M286='Parâmetros'!$D$1,2,-9)</f>
        <v>-9</v>
      </c>
      <c r="R286" s="82">
        <f>IF(Consultas!N286="RJ",-12,0)</f>
        <v>0</v>
      </c>
      <c r="S286" s="82">
        <f>IF(Consultas!O286="-",-3,IF(Consultas!O286=0,-6,IF(Consultas!O286=5,0,IF(Consultas!O286=10,6))))</f>
        <v>-6</v>
      </c>
      <c r="T286" s="82">
        <f>IF(Consultas!M286="S",0,(IF(Consultas!P286="S",6,0)))</f>
        <v>0</v>
      </c>
      <c r="U286" s="82">
        <f>IF(Consultas!Q286&gt;97,9,IF(Consultas!Q286&gt;75,0,-7))</f>
        <v>-7</v>
      </c>
      <c r="V286" s="82">
        <f>IF(Consultas!W286='Parâmetros'!$E$1,1,-5)</f>
        <v>-5</v>
      </c>
      <c r="W286" s="82">
        <f>IF(Consultas!X286="S",3,-3)</f>
        <v>-3</v>
      </c>
      <c r="X286" s="82">
        <f>IF(Consultas!Y286="S",0,-7)</f>
        <v>-7</v>
      </c>
      <c r="Y286" s="82">
        <f>IF(Consultas!Z286='Parâmetros'!$E$1,2,-8)</f>
        <v>-8</v>
      </c>
      <c r="Z286" s="82">
        <f>IF(Consultas!AA286='Parâmetros'!$E$1,-15,1)</f>
        <v>1</v>
      </c>
      <c r="AA286" s="147" t="s">
        <v>140</v>
      </c>
      <c r="AB286" s="82" t="str">
        <f>IF(E286="NA","NA",IF(E286&gt;'Parâmetros'!$A$9,8,IF(E286&gt;'Parâmetros'!$A$8,4,IF(E286&gt;'Parâmetros'!$A$7,0,-6))))</f>
        <v>NA</v>
      </c>
      <c r="AC286" s="82">
        <f>IF(Consultas!AC286='Parâmetros'!$E$1,0,5)</f>
        <v>5</v>
      </c>
      <c r="AD286" s="82">
        <f>IF(Consultas!AH286='Parâmetros'!$D$1,-10,5)</f>
        <v>5</v>
      </c>
      <c r="AE286" s="82">
        <f>IF(Consultas!AI286&gt;(Consultas!F286*2),-10,0)</f>
        <v>0</v>
      </c>
      <c r="AF286" s="82" t="b">
        <f>IF(Consultas!AD286&gt;1,(IF(Consultas!AI286&gt;(Consultas!AD286),-20,4)))</f>
        <v>0</v>
      </c>
      <c r="AG286" s="82">
        <f>IF(Consultas!AG286='Parâmetros'!$E$1,0,-6)</f>
        <v>-6</v>
      </c>
      <c r="AH286" s="82">
        <f>IF(Consultas!AF286='Parâmetros'!$E$1,1,-5)</f>
        <v>-5</v>
      </c>
      <c r="AI286" s="82">
        <f>IF(Consultas!AJ286&gt;700,8,IF(Consultas!AJ286&gt;500,4,IF(Consultas!AJ286&gt;200,-4,IF(Consultas!AJ286&gt;1,-15,-20))))</f>
        <v>-20</v>
      </c>
      <c r="AJ286" s="82">
        <f>IF(Consultas!AD286='Parâmetros'!$E$10,0,IF(Consultas!AD286&gt;'Parâmetros'!$A$30,12,IF(Consultas!AD286&gt;'Parâmetros'!$A$31,6,IF(Consultas!AD286&gt;'Parâmetros'!$A$32,0,IF(Consultas!AD286&gt;'Parâmetros'!$A$33,0,IF(Consultas!AD286&gt;'Parâmetros'!$A$34,-3,IF(Consultas!AD286&gt;'Parâmetros'!$A$35,-7,-1)))))))</f>
        <v>-1</v>
      </c>
      <c r="AK286" s="82">
        <f>IF(Consultas!AO286='Parâmetros'!$D$1,3,-3)</f>
        <v>-3</v>
      </c>
      <c r="AL286" s="82">
        <f>IF(Consultas!AP286='Parâmetros'!$D$1,5,-3)</f>
        <v>-3</v>
      </c>
      <c r="AM286" s="82">
        <f>IF(Consultas!AL286="N",-6,0)</f>
        <v>0</v>
      </c>
      <c r="AN286" s="82">
        <f>IF(Consultas!AM286="N",-10,0)</f>
        <v>0</v>
      </c>
      <c r="AO286" s="82">
        <f>IF(Consultas!AN286="S",4,-2)</f>
        <v>-2</v>
      </c>
      <c r="AP286" s="39"/>
      <c r="AQ286" s="165" t="str">
        <f>IF(Consultas!F286&gt;1,(SUM(F286:AO286)),"N/A")</f>
        <v>N/A</v>
      </c>
      <c r="AR286" s="78">
        <f>IF((Consultas!AD286&gt;'Parâmetros'!$A$31),"X",AJ286+Y286+V286+AC286)</f>
        <v>-9</v>
      </c>
      <c r="AS286" s="78">
        <f>IF((Consultas!AD286&gt;'Parâmetros'!$A$31),"X",(H286+I286+J286+Q286+T286+Y286+Z286+AJ286+AN286))</f>
        <v>-23</v>
      </c>
      <c r="AT286" s="78" t="str">
        <f>IF((Consultas!AD286&lt;'Parâmetros'!$A$31),"X",(AD286+AC286+AB286))</f>
        <v>X</v>
      </c>
      <c r="AU286" s="78">
        <f t="shared" si="1"/>
        <v>-23</v>
      </c>
      <c r="AV286" s="82" t="str">
        <f>IF(AQ286="N/A","N/A",IF(AQ286&gt;5,'Parâmetros'!$A$15,(IF(AU286=AR286,'Parâmetros'!$A$17,IF(AU286=AS286,'Parâmetros'!$A$16,'Parâmetros'!$A$14)))))</f>
        <v>N/A</v>
      </c>
      <c r="AW286" s="86" t="str">
        <f>IF(AQ286="N/A","N/A",IF(AV286='Parâmetros'!$A$15,'Parâmetros'!$C$15,(IF(AV286='Parâmetros'!$A$17,'Parâmetros'!$C$17,IF(AV286='Parâmetros'!$A$16,'Parâmetros'!$C$16,IF(AV286='Parâmetros'!$A$14,'Parâmetros'!$C$12))))))</f>
        <v>N/A</v>
      </c>
      <c r="AX286" s="82" t="b">
        <f>IF(Consultas!F286&gt;1,(IF(Consultas!F286&gt;5000,"SOLICITAR PED COMPRA","N/A")))</f>
        <v>0</v>
      </c>
      <c r="AY286" s="167" t="str">
        <f>IF(AND(Consultas!M286&lt;&gt;"S", Consultas!H286="S"), "CHECAGEM REVERSA", "N/A")</f>
        <v>N/A</v>
      </c>
      <c r="AZ286" s="167" t="str">
        <f>IF(Consultas!U286="N","PRECISA CORRIGIR END DIVERGENTE","N/A")</f>
        <v>N/A</v>
      </c>
    </row>
    <row r="287" ht="12.0" customHeight="1">
      <c r="A287" s="39" t="s">
        <v>90</v>
      </c>
      <c r="B287" s="82" t="str">
        <f>Consultas!B287</f>
        <v/>
      </c>
      <c r="C287" s="82" t="str">
        <f>Consultas!D287</f>
        <v/>
      </c>
      <c r="D287" s="96" t="str">
        <f>Consultas!E287</f>
        <v/>
      </c>
      <c r="E287" s="104" t="str">
        <f>IF(Consultas!AB287&gt;0,YEAR('Parâmetros'!$B$1)-YEAR(Consultas!AB287),"NA")</f>
        <v>NA</v>
      </c>
      <c r="F287" s="82">
        <f>IF(Consultas!F287&gt;'Parâmetros'!$B$2,-8,0)</f>
        <v>0</v>
      </c>
      <c r="G287" s="82">
        <f>IF(Consultas!H287='Parâmetros'!$E$1,100,0)</f>
        <v>0</v>
      </c>
      <c r="H287" s="82">
        <f>IF(Consultas!I287='Parâmetros'!$E$1,-4,12)</f>
        <v>12</v>
      </c>
      <c r="I287" s="82">
        <f>IF(Consultas!J287='Parâmetros'!$E$1,1,-13)</f>
        <v>-13</v>
      </c>
      <c r="J287" s="82">
        <f>IF(Consultas!K287='Parâmetros'!$E$1,2,-5)</f>
        <v>-5</v>
      </c>
      <c r="K287" s="82" t="str">
        <f>IF(Consultas!L287='Parâmetros'!$D$1,"SOLIC CONTRATO DE ENTREGA","N/A")</f>
        <v>N/A</v>
      </c>
      <c r="L287" s="82">
        <f>IF(Consultas!R287='Parâmetros'!$E$1,1,-3)</f>
        <v>-3</v>
      </c>
      <c r="M287" s="82" t="b">
        <f>IF(Consultas!S287&gt;1,(IF(Consultas!S287='Parâmetros'!$E$1,-3,9)))</f>
        <v>0</v>
      </c>
      <c r="N287" s="82">
        <f>IF(Consultas!T287="S",23,0)</f>
        <v>0</v>
      </c>
      <c r="O287" s="82">
        <f>IF(Consultas!U287='Parâmetros'!$E$1,-3,3)</f>
        <v>3</v>
      </c>
      <c r="P287" s="82">
        <f>IF(Consultas!V287='Parâmetros'!$E$1,-100,2)</f>
        <v>2</v>
      </c>
      <c r="Q287" s="82">
        <f>IF(Consultas!M287='Parâmetros'!$D$1,2,-9)</f>
        <v>-9</v>
      </c>
      <c r="R287" s="82">
        <f>IF(Consultas!N287="RJ",-12,0)</f>
        <v>0</v>
      </c>
      <c r="S287" s="82">
        <f>IF(Consultas!O287="-",-3,IF(Consultas!O287=0,-6,IF(Consultas!O287=5,0,IF(Consultas!O287=10,6))))</f>
        <v>-6</v>
      </c>
      <c r="T287" s="82">
        <f>IF(Consultas!M287="S",0,(IF(Consultas!P287="S",6,0)))</f>
        <v>0</v>
      </c>
      <c r="U287" s="82">
        <f>IF(Consultas!Q287&gt;97,9,IF(Consultas!Q287&gt;75,0,-7))</f>
        <v>-7</v>
      </c>
      <c r="V287" s="82">
        <f>IF(Consultas!W287='Parâmetros'!$E$1,1,-5)</f>
        <v>-5</v>
      </c>
      <c r="W287" s="82">
        <f>IF(Consultas!X287="S",3,-3)</f>
        <v>-3</v>
      </c>
      <c r="X287" s="82">
        <f>IF(Consultas!Y287="S",0,-7)</f>
        <v>-7</v>
      </c>
      <c r="Y287" s="82">
        <f>IF(Consultas!Z287='Parâmetros'!$E$1,2,-8)</f>
        <v>-8</v>
      </c>
      <c r="Z287" s="82">
        <f>IF(Consultas!AA287='Parâmetros'!$E$1,-15,1)</f>
        <v>1</v>
      </c>
      <c r="AA287" s="147" t="s">
        <v>140</v>
      </c>
      <c r="AB287" s="82" t="str">
        <f>IF(E287="NA","NA",IF(E287&gt;'Parâmetros'!$A$9,8,IF(E287&gt;'Parâmetros'!$A$8,4,IF(E287&gt;'Parâmetros'!$A$7,0,-6))))</f>
        <v>NA</v>
      </c>
      <c r="AC287" s="82">
        <f>IF(Consultas!AC287='Parâmetros'!$E$1,0,5)</f>
        <v>5</v>
      </c>
      <c r="AD287" s="82">
        <f>IF(Consultas!AH287='Parâmetros'!$D$1,-10,5)</f>
        <v>5</v>
      </c>
      <c r="AE287" s="82">
        <f>IF(Consultas!AI287&gt;(Consultas!F287*2),-10,0)</f>
        <v>0</v>
      </c>
      <c r="AF287" s="82" t="b">
        <f>IF(Consultas!AD287&gt;1,(IF(Consultas!AI287&gt;(Consultas!AD287),-20,4)))</f>
        <v>0</v>
      </c>
      <c r="AG287" s="82">
        <f>IF(Consultas!AG287='Parâmetros'!$E$1,0,-6)</f>
        <v>-6</v>
      </c>
      <c r="AH287" s="82">
        <f>IF(Consultas!AF287='Parâmetros'!$E$1,1,-5)</f>
        <v>-5</v>
      </c>
      <c r="AI287" s="82">
        <f>IF(Consultas!AJ287&gt;700,8,IF(Consultas!AJ287&gt;500,4,IF(Consultas!AJ287&gt;200,-4,IF(Consultas!AJ287&gt;1,-15,-20))))</f>
        <v>-20</v>
      </c>
      <c r="AJ287" s="82">
        <f>IF(Consultas!AD287='Parâmetros'!$E$10,0,IF(Consultas!AD287&gt;'Parâmetros'!$A$30,12,IF(Consultas!AD287&gt;'Parâmetros'!$A$31,6,IF(Consultas!AD287&gt;'Parâmetros'!$A$32,0,IF(Consultas!AD287&gt;'Parâmetros'!$A$33,0,IF(Consultas!AD287&gt;'Parâmetros'!$A$34,-3,IF(Consultas!AD287&gt;'Parâmetros'!$A$35,-7,-1)))))))</f>
        <v>-1</v>
      </c>
      <c r="AK287" s="82">
        <f>IF(Consultas!AO287='Parâmetros'!$D$1,3,-3)</f>
        <v>-3</v>
      </c>
      <c r="AL287" s="82">
        <f>IF(Consultas!AP287='Parâmetros'!$D$1,5,-3)</f>
        <v>-3</v>
      </c>
      <c r="AM287" s="82">
        <f>IF(Consultas!AL287="N",-6,0)</f>
        <v>0</v>
      </c>
      <c r="AN287" s="82">
        <f>IF(Consultas!AM287="N",-10,0)</f>
        <v>0</v>
      </c>
      <c r="AO287" s="82">
        <f>IF(Consultas!AN287="S",4,-2)</f>
        <v>-2</v>
      </c>
      <c r="AP287" s="39"/>
      <c r="AQ287" s="165" t="str">
        <f>IF(Consultas!F287&gt;1,(SUM(F287:AO287)),"N/A")</f>
        <v>N/A</v>
      </c>
      <c r="AR287" s="78">
        <f>IF((Consultas!AD287&gt;'Parâmetros'!$A$31),"X",AJ287+Y287+V287+AC287)</f>
        <v>-9</v>
      </c>
      <c r="AS287" s="78">
        <f>IF((Consultas!AD287&gt;'Parâmetros'!$A$31),"X",(H287+I287+J287+Q287+T287+Y287+Z287+AJ287+AN287))</f>
        <v>-23</v>
      </c>
      <c r="AT287" s="78" t="str">
        <f>IF((Consultas!AD287&lt;'Parâmetros'!$A$31),"X",(AD287+AC287+AB287))</f>
        <v>X</v>
      </c>
      <c r="AU287" s="78">
        <f t="shared" si="1"/>
        <v>-23</v>
      </c>
      <c r="AV287" s="82" t="str">
        <f>IF(AQ287="N/A","N/A",IF(AQ287&gt;5,'Parâmetros'!$A$15,(IF(AU287=AR287,'Parâmetros'!$A$17,IF(AU287=AS287,'Parâmetros'!$A$16,'Parâmetros'!$A$14)))))</f>
        <v>N/A</v>
      </c>
      <c r="AW287" s="86" t="str">
        <f>IF(AQ287="N/A","N/A",IF(AV287='Parâmetros'!$A$15,'Parâmetros'!$C$15,(IF(AV287='Parâmetros'!$A$17,'Parâmetros'!$C$17,IF(AV287='Parâmetros'!$A$16,'Parâmetros'!$C$16,IF(AV287='Parâmetros'!$A$14,'Parâmetros'!$C$12))))))</f>
        <v>N/A</v>
      </c>
      <c r="AX287" s="82" t="b">
        <f>IF(Consultas!F287&gt;1,(IF(Consultas!F287&gt;5000,"SOLICITAR PED COMPRA","N/A")))</f>
        <v>0</v>
      </c>
      <c r="AY287" s="167" t="str">
        <f>IF(AND(Consultas!M287&lt;&gt;"S", Consultas!H287="S"), "CHECAGEM REVERSA", "N/A")</f>
        <v>N/A</v>
      </c>
      <c r="AZ287" s="167" t="str">
        <f>IF(Consultas!U287="N","PRECISA CORRIGIR END DIVERGENTE","N/A")</f>
        <v>N/A</v>
      </c>
    </row>
    <row r="288" ht="12.0" customHeight="1">
      <c r="A288" s="39" t="s">
        <v>90</v>
      </c>
      <c r="B288" s="82" t="str">
        <f>Consultas!B288</f>
        <v/>
      </c>
      <c r="C288" s="82" t="str">
        <f>Consultas!D288</f>
        <v/>
      </c>
      <c r="D288" s="96" t="str">
        <f>Consultas!E288</f>
        <v/>
      </c>
      <c r="E288" s="104" t="str">
        <f>IF(Consultas!AB288&gt;0,YEAR('Parâmetros'!$B$1)-YEAR(Consultas!AB288),"NA")</f>
        <v>NA</v>
      </c>
      <c r="F288" s="82">
        <f>IF(Consultas!F288&gt;'Parâmetros'!$B$2,-8,0)</f>
        <v>0</v>
      </c>
      <c r="G288" s="82">
        <f>IF(Consultas!H288='Parâmetros'!$E$1,100,0)</f>
        <v>0</v>
      </c>
      <c r="H288" s="82">
        <f>IF(Consultas!I288='Parâmetros'!$E$1,-4,12)</f>
        <v>12</v>
      </c>
      <c r="I288" s="82">
        <f>IF(Consultas!J288='Parâmetros'!$E$1,1,-13)</f>
        <v>-13</v>
      </c>
      <c r="J288" s="82">
        <f>IF(Consultas!K288='Parâmetros'!$E$1,2,-5)</f>
        <v>-5</v>
      </c>
      <c r="K288" s="82" t="str">
        <f>IF(Consultas!L288='Parâmetros'!$D$1,"SOLIC CONTRATO DE ENTREGA","N/A")</f>
        <v>N/A</v>
      </c>
      <c r="L288" s="82">
        <f>IF(Consultas!R288='Parâmetros'!$E$1,1,-3)</f>
        <v>-3</v>
      </c>
      <c r="M288" s="82" t="b">
        <f>IF(Consultas!S288&gt;1,(IF(Consultas!S288='Parâmetros'!$E$1,-3,9)))</f>
        <v>0</v>
      </c>
      <c r="N288" s="82">
        <f>IF(Consultas!T288="S",23,0)</f>
        <v>0</v>
      </c>
      <c r="O288" s="82">
        <f>IF(Consultas!U288='Parâmetros'!$E$1,-3,3)</f>
        <v>3</v>
      </c>
      <c r="P288" s="82">
        <f>IF(Consultas!V288='Parâmetros'!$E$1,-100,2)</f>
        <v>2</v>
      </c>
      <c r="Q288" s="82">
        <f>IF(Consultas!M288='Parâmetros'!$D$1,2,-9)</f>
        <v>-9</v>
      </c>
      <c r="R288" s="82">
        <f>IF(Consultas!N288="RJ",-12,0)</f>
        <v>0</v>
      </c>
      <c r="S288" s="82">
        <f>IF(Consultas!O288="-",-3,IF(Consultas!O288=0,-6,IF(Consultas!O288=5,0,IF(Consultas!O288=10,6))))</f>
        <v>-6</v>
      </c>
      <c r="T288" s="82">
        <f>IF(Consultas!M288="S",0,(IF(Consultas!P288="S",6,0)))</f>
        <v>0</v>
      </c>
      <c r="U288" s="82">
        <f>IF(Consultas!Q288&gt;97,9,IF(Consultas!Q288&gt;75,0,-7))</f>
        <v>-7</v>
      </c>
      <c r="V288" s="82">
        <f>IF(Consultas!W288='Parâmetros'!$E$1,1,-5)</f>
        <v>-5</v>
      </c>
      <c r="W288" s="82">
        <f>IF(Consultas!X288="S",3,-3)</f>
        <v>-3</v>
      </c>
      <c r="X288" s="82">
        <f>IF(Consultas!Y288="S",0,-7)</f>
        <v>-7</v>
      </c>
      <c r="Y288" s="82">
        <f>IF(Consultas!Z288='Parâmetros'!$E$1,2,-8)</f>
        <v>-8</v>
      </c>
      <c r="Z288" s="82">
        <f>IF(Consultas!AA288='Parâmetros'!$E$1,-15,1)</f>
        <v>1</v>
      </c>
      <c r="AA288" s="147" t="s">
        <v>140</v>
      </c>
      <c r="AB288" s="82" t="str">
        <f>IF(E288="NA","NA",IF(E288&gt;'Parâmetros'!$A$9,8,IF(E288&gt;'Parâmetros'!$A$8,4,IF(E288&gt;'Parâmetros'!$A$7,0,-6))))</f>
        <v>NA</v>
      </c>
      <c r="AC288" s="82">
        <f>IF(Consultas!AC288='Parâmetros'!$E$1,0,5)</f>
        <v>5</v>
      </c>
      <c r="AD288" s="82">
        <f>IF(Consultas!AH288='Parâmetros'!$D$1,-10,5)</f>
        <v>5</v>
      </c>
      <c r="AE288" s="82">
        <f>IF(Consultas!AI288&gt;(Consultas!F288*2),-10,0)</f>
        <v>0</v>
      </c>
      <c r="AF288" s="82" t="b">
        <f>IF(Consultas!AD288&gt;1,(IF(Consultas!AI288&gt;(Consultas!AD288),-20,4)))</f>
        <v>0</v>
      </c>
      <c r="AG288" s="82">
        <f>IF(Consultas!AG288='Parâmetros'!$E$1,0,-6)</f>
        <v>-6</v>
      </c>
      <c r="AH288" s="82">
        <f>IF(Consultas!AF288='Parâmetros'!$E$1,1,-5)</f>
        <v>-5</v>
      </c>
      <c r="AI288" s="82">
        <f>IF(Consultas!AJ288&gt;700,8,IF(Consultas!AJ288&gt;500,4,IF(Consultas!AJ288&gt;200,-4,IF(Consultas!AJ288&gt;1,-15,-20))))</f>
        <v>-20</v>
      </c>
      <c r="AJ288" s="82">
        <f>IF(Consultas!AD288='Parâmetros'!$E$10,0,IF(Consultas!AD288&gt;'Parâmetros'!$A$30,12,IF(Consultas!AD288&gt;'Parâmetros'!$A$31,6,IF(Consultas!AD288&gt;'Parâmetros'!$A$32,0,IF(Consultas!AD288&gt;'Parâmetros'!$A$33,0,IF(Consultas!AD288&gt;'Parâmetros'!$A$34,-3,IF(Consultas!AD288&gt;'Parâmetros'!$A$35,-7,-1)))))))</f>
        <v>-1</v>
      </c>
      <c r="AK288" s="82">
        <f>IF(Consultas!AO288='Parâmetros'!$D$1,3,-3)</f>
        <v>-3</v>
      </c>
      <c r="AL288" s="82">
        <f>IF(Consultas!AP288='Parâmetros'!$D$1,5,-3)</f>
        <v>-3</v>
      </c>
      <c r="AM288" s="82">
        <f>IF(Consultas!AL288="N",-6,0)</f>
        <v>0</v>
      </c>
      <c r="AN288" s="82">
        <f>IF(Consultas!AM288="N",-10,0)</f>
        <v>0</v>
      </c>
      <c r="AO288" s="82">
        <f>IF(Consultas!AN288="S",4,-2)</f>
        <v>-2</v>
      </c>
      <c r="AP288" s="39"/>
      <c r="AQ288" s="165" t="str">
        <f>IF(Consultas!F288&gt;1,(SUM(F288:AO288)),"N/A")</f>
        <v>N/A</v>
      </c>
      <c r="AR288" s="78">
        <f>IF((Consultas!AD288&gt;'Parâmetros'!$A$31),"X",AJ288+Y288+V288+AC288)</f>
        <v>-9</v>
      </c>
      <c r="AS288" s="78">
        <f>IF((Consultas!AD288&gt;'Parâmetros'!$A$31),"X",(H288+I288+J288+Q288+T288+Y288+Z288+AJ288+AN288))</f>
        <v>-23</v>
      </c>
      <c r="AT288" s="78" t="str">
        <f>IF((Consultas!AD288&lt;'Parâmetros'!$A$31),"X",(AD288+AC288+AB288))</f>
        <v>X</v>
      </c>
      <c r="AU288" s="78">
        <f t="shared" si="1"/>
        <v>-23</v>
      </c>
      <c r="AV288" s="82" t="str">
        <f>IF(AQ288="N/A","N/A",IF(AQ288&gt;5,'Parâmetros'!$A$15,(IF(AU288=AR288,'Parâmetros'!$A$17,IF(AU288=AS288,'Parâmetros'!$A$16,'Parâmetros'!$A$14)))))</f>
        <v>N/A</v>
      </c>
      <c r="AW288" s="86" t="str">
        <f>IF(AQ288="N/A","N/A",IF(AV288='Parâmetros'!$A$15,'Parâmetros'!$C$15,(IF(AV288='Parâmetros'!$A$17,'Parâmetros'!$C$17,IF(AV288='Parâmetros'!$A$16,'Parâmetros'!$C$16,IF(AV288='Parâmetros'!$A$14,'Parâmetros'!$C$12))))))</f>
        <v>N/A</v>
      </c>
      <c r="AX288" s="82" t="b">
        <f>IF(Consultas!F288&gt;1,(IF(Consultas!F288&gt;5000,"SOLICITAR PED COMPRA","N/A")))</f>
        <v>0</v>
      </c>
      <c r="AY288" s="167" t="str">
        <f>IF(AND(Consultas!M288&lt;&gt;"S", Consultas!H288="S"), "CHECAGEM REVERSA", "N/A")</f>
        <v>N/A</v>
      </c>
      <c r="AZ288" s="167" t="str">
        <f>IF(Consultas!U288="N","PRECISA CORRIGIR END DIVERGENTE","N/A")</f>
        <v>N/A</v>
      </c>
    </row>
    <row r="289" ht="12.0" customHeight="1">
      <c r="A289" s="39" t="s">
        <v>90</v>
      </c>
      <c r="B289" s="82" t="str">
        <f>Consultas!B289</f>
        <v/>
      </c>
      <c r="C289" s="82" t="str">
        <f>Consultas!D289</f>
        <v/>
      </c>
      <c r="D289" s="96" t="str">
        <f>Consultas!E289</f>
        <v/>
      </c>
      <c r="E289" s="104" t="str">
        <f>IF(Consultas!AB289&gt;0,YEAR('Parâmetros'!$B$1)-YEAR(Consultas!AB289),"NA")</f>
        <v>NA</v>
      </c>
      <c r="F289" s="82">
        <f>IF(Consultas!F289&gt;'Parâmetros'!$B$2,-8,0)</f>
        <v>0</v>
      </c>
      <c r="G289" s="82">
        <f>IF(Consultas!H289='Parâmetros'!$E$1,100,0)</f>
        <v>0</v>
      </c>
      <c r="H289" s="82">
        <f>IF(Consultas!I289='Parâmetros'!$E$1,-4,12)</f>
        <v>12</v>
      </c>
      <c r="I289" s="82">
        <f>IF(Consultas!J289='Parâmetros'!$E$1,1,-13)</f>
        <v>-13</v>
      </c>
      <c r="J289" s="82">
        <f>IF(Consultas!K289='Parâmetros'!$E$1,2,-5)</f>
        <v>-5</v>
      </c>
      <c r="K289" s="82" t="str">
        <f>IF(Consultas!L289='Parâmetros'!$D$1,"SOLIC CONTRATO DE ENTREGA","N/A")</f>
        <v>N/A</v>
      </c>
      <c r="L289" s="82">
        <f>IF(Consultas!R289='Parâmetros'!$E$1,1,-3)</f>
        <v>-3</v>
      </c>
      <c r="M289" s="82" t="b">
        <f>IF(Consultas!S289&gt;1,(IF(Consultas!S289='Parâmetros'!$E$1,-3,9)))</f>
        <v>0</v>
      </c>
      <c r="N289" s="82">
        <f>IF(Consultas!T289="S",23,0)</f>
        <v>0</v>
      </c>
      <c r="O289" s="82">
        <f>IF(Consultas!U289='Parâmetros'!$E$1,-3,3)</f>
        <v>3</v>
      </c>
      <c r="P289" s="82">
        <f>IF(Consultas!V289='Parâmetros'!$E$1,-100,2)</f>
        <v>2</v>
      </c>
      <c r="Q289" s="82">
        <f>IF(Consultas!M289='Parâmetros'!$D$1,2,-9)</f>
        <v>-9</v>
      </c>
      <c r="R289" s="82">
        <f>IF(Consultas!N289="RJ",-12,0)</f>
        <v>0</v>
      </c>
      <c r="S289" s="82">
        <f>IF(Consultas!O289="-",-3,IF(Consultas!O289=0,-6,IF(Consultas!O289=5,0,IF(Consultas!O289=10,6))))</f>
        <v>-6</v>
      </c>
      <c r="T289" s="82">
        <f>IF(Consultas!M289="S",0,(IF(Consultas!P289="S",6,0)))</f>
        <v>0</v>
      </c>
      <c r="U289" s="82">
        <f>IF(Consultas!Q289&gt;97,9,IF(Consultas!Q289&gt;75,0,-7))</f>
        <v>-7</v>
      </c>
      <c r="V289" s="82">
        <f>IF(Consultas!W289='Parâmetros'!$E$1,1,-5)</f>
        <v>-5</v>
      </c>
      <c r="W289" s="82">
        <f>IF(Consultas!X289="S",3,-3)</f>
        <v>-3</v>
      </c>
      <c r="X289" s="82">
        <f>IF(Consultas!Y289="S",0,-7)</f>
        <v>-7</v>
      </c>
      <c r="Y289" s="82">
        <f>IF(Consultas!Z289='Parâmetros'!$E$1,2,-8)</f>
        <v>-8</v>
      </c>
      <c r="Z289" s="82">
        <f>IF(Consultas!AA289='Parâmetros'!$E$1,-15,1)</f>
        <v>1</v>
      </c>
      <c r="AA289" s="147" t="s">
        <v>140</v>
      </c>
      <c r="AB289" s="82" t="str">
        <f>IF(E289="NA","NA",IF(E289&gt;'Parâmetros'!$A$9,8,IF(E289&gt;'Parâmetros'!$A$8,4,IF(E289&gt;'Parâmetros'!$A$7,0,-6))))</f>
        <v>NA</v>
      </c>
      <c r="AC289" s="82">
        <f>IF(Consultas!AC289='Parâmetros'!$E$1,0,5)</f>
        <v>5</v>
      </c>
      <c r="AD289" s="82">
        <f>IF(Consultas!AH289='Parâmetros'!$D$1,-10,5)</f>
        <v>5</v>
      </c>
      <c r="AE289" s="82">
        <f>IF(Consultas!AI289&gt;(Consultas!F289*2),-10,0)</f>
        <v>0</v>
      </c>
      <c r="AF289" s="82" t="b">
        <f>IF(Consultas!AD289&gt;1,(IF(Consultas!AI289&gt;(Consultas!AD289),-20,4)))</f>
        <v>0</v>
      </c>
      <c r="AG289" s="82">
        <f>IF(Consultas!AG289='Parâmetros'!$E$1,0,-6)</f>
        <v>-6</v>
      </c>
      <c r="AH289" s="82">
        <f>IF(Consultas!AF289='Parâmetros'!$E$1,1,-5)</f>
        <v>-5</v>
      </c>
      <c r="AI289" s="82">
        <f>IF(Consultas!AJ289&gt;700,8,IF(Consultas!AJ289&gt;500,4,IF(Consultas!AJ289&gt;200,-4,IF(Consultas!AJ289&gt;1,-15,-20))))</f>
        <v>-20</v>
      </c>
      <c r="AJ289" s="82">
        <f>IF(Consultas!AD289='Parâmetros'!$E$10,0,IF(Consultas!AD289&gt;'Parâmetros'!$A$30,12,IF(Consultas!AD289&gt;'Parâmetros'!$A$31,6,IF(Consultas!AD289&gt;'Parâmetros'!$A$32,0,IF(Consultas!AD289&gt;'Parâmetros'!$A$33,0,IF(Consultas!AD289&gt;'Parâmetros'!$A$34,-3,IF(Consultas!AD289&gt;'Parâmetros'!$A$35,-7,-1)))))))</f>
        <v>-1</v>
      </c>
      <c r="AK289" s="82">
        <f>IF(Consultas!AO289='Parâmetros'!$D$1,3,-3)</f>
        <v>-3</v>
      </c>
      <c r="AL289" s="82">
        <f>IF(Consultas!AP289='Parâmetros'!$D$1,5,-3)</f>
        <v>-3</v>
      </c>
      <c r="AM289" s="82">
        <f>IF(Consultas!AL289="N",-6,0)</f>
        <v>0</v>
      </c>
      <c r="AN289" s="82">
        <f>IF(Consultas!AM289="N",-10,0)</f>
        <v>0</v>
      </c>
      <c r="AO289" s="82">
        <f>IF(Consultas!AN289="S",4,-2)</f>
        <v>-2</v>
      </c>
      <c r="AP289" s="39"/>
      <c r="AQ289" s="165" t="str">
        <f>IF(Consultas!F289&gt;1,(SUM(F289:AO289)),"N/A")</f>
        <v>N/A</v>
      </c>
      <c r="AR289" s="78">
        <f>IF((Consultas!AD289&gt;'Parâmetros'!$A$31),"X",AJ289+Y289+V289+AC289)</f>
        <v>-9</v>
      </c>
      <c r="AS289" s="78">
        <f>IF((Consultas!AD289&gt;'Parâmetros'!$A$31),"X",(H289+I289+J289+Q289+T289+Y289+Z289+AJ289+AN289))</f>
        <v>-23</v>
      </c>
      <c r="AT289" s="78" t="str">
        <f>IF((Consultas!AD289&lt;'Parâmetros'!$A$31),"X",(AD289+AC289+AB289))</f>
        <v>X</v>
      </c>
      <c r="AU289" s="78">
        <f t="shared" si="1"/>
        <v>-23</v>
      </c>
      <c r="AV289" s="82" t="str">
        <f>IF(AQ289="N/A","N/A",IF(AQ289&gt;5,'Parâmetros'!$A$15,(IF(AU289=AR289,'Parâmetros'!$A$17,IF(AU289=AS289,'Parâmetros'!$A$16,'Parâmetros'!$A$14)))))</f>
        <v>N/A</v>
      </c>
      <c r="AW289" s="86" t="str">
        <f>IF(AQ289="N/A","N/A",IF(AV289='Parâmetros'!$A$15,'Parâmetros'!$C$15,(IF(AV289='Parâmetros'!$A$17,'Parâmetros'!$C$17,IF(AV289='Parâmetros'!$A$16,'Parâmetros'!$C$16,IF(AV289='Parâmetros'!$A$14,'Parâmetros'!$C$12))))))</f>
        <v>N/A</v>
      </c>
      <c r="AX289" s="82" t="b">
        <f>IF(Consultas!F289&gt;1,(IF(Consultas!F289&gt;5000,"SOLICITAR PED COMPRA","N/A")))</f>
        <v>0</v>
      </c>
      <c r="AY289" s="167" t="str">
        <f>IF(AND(Consultas!M289&lt;&gt;"S", Consultas!H289="S"), "CHECAGEM REVERSA", "N/A")</f>
        <v>N/A</v>
      </c>
      <c r="AZ289" s="167" t="str">
        <f>IF(Consultas!U289="N","PRECISA CORRIGIR END DIVERGENTE","N/A")</f>
        <v>N/A</v>
      </c>
    </row>
    <row r="290" ht="12.0" customHeight="1">
      <c r="A290" s="39" t="s">
        <v>90</v>
      </c>
      <c r="B290" s="82" t="str">
        <f>Consultas!B290</f>
        <v/>
      </c>
      <c r="C290" s="82" t="str">
        <f>Consultas!D290</f>
        <v/>
      </c>
      <c r="D290" s="96" t="str">
        <f>Consultas!E290</f>
        <v/>
      </c>
      <c r="E290" s="104" t="str">
        <f>IF(Consultas!AB290&gt;0,YEAR('Parâmetros'!$B$1)-YEAR(Consultas!AB290),"NA")</f>
        <v>NA</v>
      </c>
      <c r="F290" s="82">
        <f>IF(Consultas!F290&gt;'Parâmetros'!$B$2,-8,0)</f>
        <v>0</v>
      </c>
      <c r="G290" s="82">
        <f>IF(Consultas!H290='Parâmetros'!$E$1,100,0)</f>
        <v>0</v>
      </c>
      <c r="H290" s="82">
        <f>IF(Consultas!I290='Parâmetros'!$E$1,-4,12)</f>
        <v>12</v>
      </c>
      <c r="I290" s="82">
        <f>IF(Consultas!J290='Parâmetros'!$E$1,1,-13)</f>
        <v>-13</v>
      </c>
      <c r="J290" s="82">
        <f>IF(Consultas!K290='Parâmetros'!$E$1,2,-5)</f>
        <v>-5</v>
      </c>
      <c r="K290" s="82" t="str">
        <f>IF(Consultas!L290='Parâmetros'!$D$1,"SOLIC CONTRATO DE ENTREGA","N/A")</f>
        <v>N/A</v>
      </c>
      <c r="L290" s="82">
        <f>IF(Consultas!R290='Parâmetros'!$E$1,1,-3)</f>
        <v>-3</v>
      </c>
      <c r="M290" s="82" t="b">
        <f>IF(Consultas!S290&gt;1,(IF(Consultas!S290='Parâmetros'!$E$1,-3,9)))</f>
        <v>0</v>
      </c>
      <c r="N290" s="82">
        <f>IF(Consultas!T290="S",23,0)</f>
        <v>0</v>
      </c>
      <c r="O290" s="82">
        <f>IF(Consultas!U290='Parâmetros'!$E$1,-3,3)</f>
        <v>3</v>
      </c>
      <c r="P290" s="82">
        <f>IF(Consultas!V290='Parâmetros'!$E$1,-100,2)</f>
        <v>2</v>
      </c>
      <c r="Q290" s="82">
        <f>IF(Consultas!M290='Parâmetros'!$D$1,2,-9)</f>
        <v>-9</v>
      </c>
      <c r="R290" s="82">
        <f>IF(Consultas!N290="RJ",-12,0)</f>
        <v>0</v>
      </c>
      <c r="S290" s="82">
        <f>IF(Consultas!O290="-",-3,IF(Consultas!O290=0,-6,IF(Consultas!O290=5,0,IF(Consultas!O290=10,6))))</f>
        <v>-6</v>
      </c>
      <c r="T290" s="82">
        <f>IF(Consultas!M290="S",0,(IF(Consultas!P290="S",6,0)))</f>
        <v>0</v>
      </c>
      <c r="U290" s="82">
        <f>IF(Consultas!Q290&gt;97,9,IF(Consultas!Q290&gt;75,0,-7))</f>
        <v>-7</v>
      </c>
      <c r="V290" s="82">
        <f>IF(Consultas!W290='Parâmetros'!$E$1,1,-5)</f>
        <v>-5</v>
      </c>
      <c r="W290" s="82">
        <f>IF(Consultas!X290="S",3,-3)</f>
        <v>-3</v>
      </c>
      <c r="X290" s="82">
        <f>IF(Consultas!Y290="S",0,-7)</f>
        <v>-7</v>
      </c>
      <c r="Y290" s="82">
        <f>IF(Consultas!Z290='Parâmetros'!$E$1,2,-8)</f>
        <v>-8</v>
      </c>
      <c r="Z290" s="82">
        <f>IF(Consultas!AA290='Parâmetros'!$E$1,-15,1)</f>
        <v>1</v>
      </c>
      <c r="AA290" s="147" t="s">
        <v>140</v>
      </c>
      <c r="AB290" s="82" t="str">
        <f>IF(E290="NA","NA",IF(E290&gt;'Parâmetros'!$A$9,8,IF(E290&gt;'Parâmetros'!$A$8,4,IF(E290&gt;'Parâmetros'!$A$7,0,-6))))</f>
        <v>NA</v>
      </c>
      <c r="AC290" s="82">
        <f>IF(Consultas!AC290='Parâmetros'!$E$1,0,5)</f>
        <v>5</v>
      </c>
      <c r="AD290" s="82">
        <f>IF(Consultas!AH290='Parâmetros'!$D$1,-10,5)</f>
        <v>5</v>
      </c>
      <c r="AE290" s="82">
        <f>IF(Consultas!AI290&gt;(Consultas!F290*2),-10,0)</f>
        <v>0</v>
      </c>
      <c r="AF290" s="82" t="b">
        <f>IF(Consultas!AD290&gt;1,(IF(Consultas!AI290&gt;(Consultas!AD290),-20,4)))</f>
        <v>0</v>
      </c>
      <c r="AG290" s="82">
        <f>IF(Consultas!AG290='Parâmetros'!$E$1,0,-6)</f>
        <v>-6</v>
      </c>
      <c r="AH290" s="82">
        <f>IF(Consultas!AF290='Parâmetros'!$E$1,1,-5)</f>
        <v>-5</v>
      </c>
      <c r="AI290" s="82">
        <f>IF(Consultas!AJ290&gt;700,8,IF(Consultas!AJ290&gt;500,4,IF(Consultas!AJ290&gt;200,-4,IF(Consultas!AJ290&gt;1,-15,-20))))</f>
        <v>-20</v>
      </c>
      <c r="AJ290" s="82">
        <f>IF(Consultas!AD290='Parâmetros'!$E$10,0,IF(Consultas!AD290&gt;'Parâmetros'!$A$30,12,IF(Consultas!AD290&gt;'Parâmetros'!$A$31,6,IF(Consultas!AD290&gt;'Parâmetros'!$A$32,0,IF(Consultas!AD290&gt;'Parâmetros'!$A$33,0,IF(Consultas!AD290&gt;'Parâmetros'!$A$34,-3,IF(Consultas!AD290&gt;'Parâmetros'!$A$35,-7,-1)))))))</f>
        <v>-1</v>
      </c>
      <c r="AK290" s="82">
        <f>IF(Consultas!AO290='Parâmetros'!$D$1,3,-3)</f>
        <v>-3</v>
      </c>
      <c r="AL290" s="82">
        <f>IF(Consultas!AP290='Parâmetros'!$D$1,5,-3)</f>
        <v>-3</v>
      </c>
      <c r="AM290" s="82">
        <f>IF(Consultas!AL290="N",-6,0)</f>
        <v>0</v>
      </c>
      <c r="AN290" s="82">
        <f>IF(Consultas!AM290="N",-10,0)</f>
        <v>0</v>
      </c>
      <c r="AO290" s="82">
        <f>IF(Consultas!AN290="S",4,-2)</f>
        <v>-2</v>
      </c>
      <c r="AP290" s="39"/>
      <c r="AQ290" s="165" t="str">
        <f>IF(Consultas!F290&gt;1,(SUM(F290:AO290)),"N/A")</f>
        <v>N/A</v>
      </c>
      <c r="AR290" s="78">
        <f>IF((Consultas!AD290&gt;'Parâmetros'!$A$31),"X",AJ290+Y290+V290+AC290)</f>
        <v>-9</v>
      </c>
      <c r="AS290" s="78">
        <f>IF((Consultas!AD290&gt;'Parâmetros'!$A$31),"X",(H290+I290+J290+Q290+T290+Y290+Z290+AJ290+AN290))</f>
        <v>-23</v>
      </c>
      <c r="AT290" s="78" t="str">
        <f>IF((Consultas!AD290&lt;'Parâmetros'!$A$31),"X",(AD290+AC290+AB290))</f>
        <v>X</v>
      </c>
      <c r="AU290" s="78">
        <f t="shared" si="1"/>
        <v>-23</v>
      </c>
      <c r="AV290" s="82" t="str">
        <f>IF(AQ290="N/A","N/A",IF(AQ290&gt;5,'Parâmetros'!$A$15,(IF(AU290=AR290,'Parâmetros'!$A$17,IF(AU290=AS290,'Parâmetros'!$A$16,'Parâmetros'!$A$14)))))</f>
        <v>N/A</v>
      </c>
      <c r="AW290" s="86" t="str">
        <f>IF(AQ290="N/A","N/A",IF(AV290='Parâmetros'!$A$15,'Parâmetros'!$C$15,(IF(AV290='Parâmetros'!$A$17,'Parâmetros'!$C$17,IF(AV290='Parâmetros'!$A$16,'Parâmetros'!$C$16,IF(AV290='Parâmetros'!$A$14,'Parâmetros'!$C$12))))))</f>
        <v>N/A</v>
      </c>
      <c r="AX290" s="82" t="b">
        <f>IF(Consultas!F290&gt;1,(IF(Consultas!F290&gt;5000,"SOLICITAR PED COMPRA","N/A")))</f>
        <v>0</v>
      </c>
      <c r="AY290" s="167" t="str">
        <f>IF(AND(Consultas!M290&lt;&gt;"S", Consultas!H290="S"), "CHECAGEM REVERSA", "N/A")</f>
        <v>N/A</v>
      </c>
      <c r="AZ290" s="167" t="str">
        <f>IF(Consultas!U290="N","PRECISA CORRIGIR END DIVERGENTE","N/A")</f>
        <v>N/A</v>
      </c>
    </row>
    <row r="291" ht="12.0" customHeight="1">
      <c r="A291" s="39" t="s">
        <v>90</v>
      </c>
      <c r="B291" s="82" t="str">
        <f>Consultas!B291</f>
        <v/>
      </c>
      <c r="C291" s="82" t="str">
        <f>Consultas!D291</f>
        <v/>
      </c>
      <c r="D291" s="96" t="str">
        <f>Consultas!E291</f>
        <v/>
      </c>
      <c r="E291" s="104" t="str">
        <f>IF(Consultas!AB291&gt;0,YEAR('Parâmetros'!$B$1)-YEAR(Consultas!AB291),"NA")</f>
        <v>NA</v>
      </c>
      <c r="F291" s="82">
        <f>IF(Consultas!F291&gt;'Parâmetros'!$B$2,-8,0)</f>
        <v>0</v>
      </c>
      <c r="G291" s="82">
        <f>IF(Consultas!H291='Parâmetros'!$E$1,100,0)</f>
        <v>0</v>
      </c>
      <c r="H291" s="82">
        <f>IF(Consultas!I291='Parâmetros'!$E$1,-4,12)</f>
        <v>12</v>
      </c>
      <c r="I291" s="82">
        <f>IF(Consultas!J291='Parâmetros'!$E$1,1,-13)</f>
        <v>-13</v>
      </c>
      <c r="J291" s="82">
        <f>IF(Consultas!K291='Parâmetros'!$E$1,2,-5)</f>
        <v>-5</v>
      </c>
      <c r="K291" s="82" t="str">
        <f>IF(Consultas!L291='Parâmetros'!$D$1,"SOLIC CONTRATO DE ENTREGA","N/A")</f>
        <v>N/A</v>
      </c>
      <c r="L291" s="82">
        <f>IF(Consultas!R291='Parâmetros'!$E$1,1,-3)</f>
        <v>-3</v>
      </c>
      <c r="M291" s="82" t="b">
        <f>IF(Consultas!S291&gt;1,(IF(Consultas!S291='Parâmetros'!$E$1,-3,9)))</f>
        <v>0</v>
      </c>
      <c r="N291" s="82">
        <f>IF(Consultas!T291="S",23,0)</f>
        <v>0</v>
      </c>
      <c r="O291" s="82">
        <f>IF(Consultas!U291='Parâmetros'!$E$1,-3,3)</f>
        <v>3</v>
      </c>
      <c r="P291" s="82">
        <f>IF(Consultas!V291='Parâmetros'!$E$1,-100,2)</f>
        <v>2</v>
      </c>
      <c r="Q291" s="82">
        <f>IF(Consultas!M291='Parâmetros'!$D$1,2,-9)</f>
        <v>-9</v>
      </c>
      <c r="R291" s="82">
        <f>IF(Consultas!N291="RJ",-12,0)</f>
        <v>0</v>
      </c>
      <c r="S291" s="82">
        <f>IF(Consultas!O291="-",-3,IF(Consultas!O291=0,-6,IF(Consultas!O291=5,0,IF(Consultas!O291=10,6))))</f>
        <v>-6</v>
      </c>
      <c r="T291" s="82">
        <f>IF(Consultas!M291="S",0,(IF(Consultas!P291="S",6,0)))</f>
        <v>0</v>
      </c>
      <c r="U291" s="82">
        <f>IF(Consultas!Q291&gt;97,9,IF(Consultas!Q291&gt;75,0,-7))</f>
        <v>-7</v>
      </c>
      <c r="V291" s="82">
        <f>IF(Consultas!W291='Parâmetros'!$E$1,1,-5)</f>
        <v>-5</v>
      </c>
      <c r="W291" s="82">
        <f>IF(Consultas!X291="S",3,-3)</f>
        <v>-3</v>
      </c>
      <c r="X291" s="82">
        <f>IF(Consultas!Y291="S",0,-7)</f>
        <v>-7</v>
      </c>
      <c r="Y291" s="82">
        <f>IF(Consultas!Z291='Parâmetros'!$E$1,2,-8)</f>
        <v>-8</v>
      </c>
      <c r="Z291" s="82">
        <f>IF(Consultas!AA291='Parâmetros'!$E$1,-15,1)</f>
        <v>1</v>
      </c>
      <c r="AA291" s="147" t="s">
        <v>140</v>
      </c>
      <c r="AB291" s="82" t="str">
        <f>IF(E291="NA","NA",IF(E291&gt;'Parâmetros'!$A$9,8,IF(E291&gt;'Parâmetros'!$A$8,4,IF(E291&gt;'Parâmetros'!$A$7,0,-6))))</f>
        <v>NA</v>
      </c>
      <c r="AC291" s="82">
        <f>IF(Consultas!AC291='Parâmetros'!$E$1,0,5)</f>
        <v>5</v>
      </c>
      <c r="AD291" s="82">
        <f>IF(Consultas!AH291='Parâmetros'!$D$1,-10,5)</f>
        <v>5</v>
      </c>
      <c r="AE291" s="82">
        <f>IF(Consultas!AI291&gt;(Consultas!F291*2),-10,0)</f>
        <v>0</v>
      </c>
      <c r="AF291" s="82" t="b">
        <f>IF(Consultas!AD291&gt;1,(IF(Consultas!AI291&gt;(Consultas!AD291),-20,4)))</f>
        <v>0</v>
      </c>
      <c r="AG291" s="82">
        <f>IF(Consultas!AG291='Parâmetros'!$E$1,0,-6)</f>
        <v>-6</v>
      </c>
      <c r="AH291" s="82">
        <f>IF(Consultas!AF291='Parâmetros'!$E$1,1,-5)</f>
        <v>-5</v>
      </c>
      <c r="AI291" s="82">
        <f>IF(Consultas!AJ291&gt;700,8,IF(Consultas!AJ291&gt;500,4,IF(Consultas!AJ291&gt;200,-4,IF(Consultas!AJ291&gt;1,-15,-20))))</f>
        <v>-20</v>
      </c>
      <c r="AJ291" s="82">
        <f>IF(Consultas!AD291='Parâmetros'!$E$10,0,IF(Consultas!AD291&gt;'Parâmetros'!$A$30,12,IF(Consultas!AD291&gt;'Parâmetros'!$A$31,6,IF(Consultas!AD291&gt;'Parâmetros'!$A$32,0,IF(Consultas!AD291&gt;'Parâmetros'!$A$33,0,IF(Consultas!AD291&gt;'Parâmetros'!$A$34,-3,IF(Consultas!AD291&gt;'Parâmetros'!$A$35,-7,-1)))))))</f>
        <v>-1</v>
      </c>
      <c r="AK291" s="82">
        <f>IF(Consultas!AO291='Parâmetros'!$D$1,3,-3)</f>
        <v>-3</v>
      </c>
      <c r="AL291" s="82">
        <f>IF(Consultas!AP291='Parâmetros'!$D$1,5,-3)</f>
        <v>-3</v>
      </c>
      <c r="AM291" s="82">
        <f>IF(Consultas!AL291="N",-6,0)</f>
        <v>0</v>
      </c>
      <c r="AN291" s="82">
        <f>IF(Consultas!AM291="N",-10,0)</f>
        <v>0</v>
      </c>
      <c r="AO291" s="82">
        <f>IF(Consultas!AN291="S",4,-2)</f>
        <v>-2</v>
      </c>
      <c r="AP291" s="39"/>
      <c r="AQ291" s="165" t="str">
        <f>IF(Consultas!F291&gt;1,(SUM(F291:AO291)),"N/A")</f>
        <v>N/A</v>
      </c>
      <c r="AR291" s="78">
        <f>IF((Consultas!AD291&gt;'Parâmetros'!$A$31),"X",AJ291+Y291+V291+AC291)</f>
        <v>-9</v>
      </c>
      <c r="AS291" s="78">
        <f>IF((Consultas!AD291&gt;'Parâmetros'!$A$31),"X",(H291+I291+J291+Q291+T291+Y291+Z291+AJ291+AN291))</f>
        <v>-23</v>
      </c>
      <c r="AT291" s="78" t="str">
        <f>IF((Consultas!AD291&lt;'Parâmetros'!$A$31),"X",(AD291+AC291+AB291))</f>
        <v>X</v>
      </c>
      <c r="AU291" s="78">
        <f t="shared" si="1"/>
        <v>-23</v>
      </c>
      <c r="AV291" s="82" t="str">
        <f>IF(AQ291="N/A","N/A",IF(AQ291&gt;5,'Parâmetros'!$A$15,(IF(AU291=AR291,'Parâmetros'!$A$17,IF(AU291=AS291,'Parâmetros'!$A$16,'Parâmetros'!$A$14)))))</f>
        <v>N/A</v>
      </c>
      <c r="AW291" s="86" t="str">
        <f>IF(AQ291="N/A","N/A",IF(AV291='Parâmetros'!$A$15,'Parâmetros'!$C$15,(IF(AV291='Parâmetros'!$A$17,'Parâmetros'!$C$17,IF(AV291='Parâmetros'!$A$16,'Parâmetros'!$C$16,IF(AV291='Parâmetros'!$A$14,'Parâmetros'!$C$12))))))</f>
        <v>N/A</v>
      </c>
      <c r="AX291" s="82" t="b">
        <f>IF(Consultas!F291&gt;1,(IF(Consultas!F291&gt;5000,"SOLICITAR PED COMPRA","N/A")))</f>
        <v>0</v>
      </c>
      <c r="AY291" s="167" t="str">
        <f>IF(AND(Consultas!M291&lt;&gt;"S", Consultas!H291="S"), "CHECAGEM REVERSA", "N/A")</f>
        <v>N/A</v>
      </c>
      <c r="AZ291" s="167" t="str">
        <f>IF(Consultas!U291="N","PRECISA CORRIGIR END DIVERGENTE","N/A")</f>
        <v>N/A</v>
      </c>
    </row>
    <row r="292" ht="12.0" customHeight="1">
      <c r="A292" s="39" t="s">
        <v>90</v>
      </c>
      <c r="B292" s="82" t="str">
        <f>Consultas!B292</f>
        <v/>
      </c>
      <c r="C292" s="82" t="str">
        <f>Consultas!D292</f>
        <v/>
      </c>
      <c r="D292" s="96" t="str">
        <f>Consultas!E292</f>
        <v/>
      </c>
      <c r="E292" s="104" t="str">
        <f>IF(Consultas!AB292&gt;0,YEAR('Parâmetros'!$B$1)-YEAR(Consultas!AB292),"NA")</f>
        <v>NA</v>
      </c>
      <c r="F292" s="82">
        <f>IF(Consultas!F292&gt;'Parâmetros'!$B$2,-8,0)</f>
        <v>0</v>
      </c>
      <c r="G292" s="82">
        <f>IF(Consultas!H292='Parâmetros'!$E$1,100,0)</f>
        <v>0</v>
      </c>
      <c r="H292" s="82">
        <f>IF(Consultas!I292='Parâmetros'!$E$1,-4,12)</f>
        <v>12</v>
      </c>
      <c r="I292" s="82">
        <f>IF(Consultas!J292='Parâmetros'!$E$1,1,-13)</f>
        <v>-13</v>
      </c>
      <c r="J292" s="82">
        <f>IF(Consultas!K292='Parâmetros'!$E$1,2,-5)</f>
        <v>-5</v>
      </c>
      <c r="K292" s="82" t="str">
        <f>IF(Consultas!L292='Parâmetros'!$D$1,"SOLIC CONTRATO DE ENTREGA","N/A")</f>
        <v>N/A</v>
      </c>
      <c r="L292" s="82">
        <f>IF(Consultas!R292='Parâmetros'!$E$1,1,-3)</f>
        <v>-3</v>
      </c>
      <c r="M292" s="82" t="b">
        <f>IF(Consultas!S292&gt;1,(IF(Consultas!S292='Parâmetros'!$E$1,-3,9)))</f>
        <v>0</v>
      </c>
      <c r="N292" s="82">
        <f>IF(Consultas!T292="S",23,0)</f>
        <v>0</v>
      </c>
      <c r="O292" s="82">
        <f>IF(Consultas!U292='Parâmetros'!$E$1,-3,3)</f>
        <v>3</v>
      </c>
      <c r="P292" s="82">
        <f>IF(Consultas!V292='Parâmetros'!$E$1,-100,2)</f>
        <v>2</v>
      </c>
      <c r="Q292" s="82">
        <f>IF(Consultas!M292='Parâmetros'!$D$1,2,-9)</f>
        <v>-9</v>
      </c>
      <c r="R292" s="82">
        <f>IF(Consultas!N292="RJ",-12,0)</f>
        <v>0</v>
      </c>
      <c r="S292" s="82">
        <f>IF(Consultas!O292="-",-3,IF(Consultas!O292=0,-6,IF(Consultas!O292=5,0,IF(Consultas!O292=10,6))))</f>
        <v>-6</v>
      </c>
      <c r="T292" s="82">
        <f>IF(Consultas!M292="S",0,(IF(Consultas!P292="S",6,0)))</f>
        <v>0</v>
      </c>
      <c r="U292" s="82">
        <f>IF(Consultas!Q292&gt;97,9,IF(Consultas!Q292&gt;75,0,-7))</f>
        <v>-7</v>
      </c>
      <c r="V292" s="82">
        <f>IF(Consultas!W292='Parâmetros'!$E$1,1,-5)</f>
        <v>-5</v>
      </c>
      <c r="W292" s="82">
        <f>IF(Consultas!X292="S",3,-3)</f>
        <v>-3</v>
      </c>
      <c r="X292" s="82">
        <f>IF(Consultas!Y292="S",0,-7)</f>
        <v>-7</v>
      </c>
      <c r="Y292" s="82">
        <f>IF(Consultas!Z292='Parâmetros'!$E$1,2,-8)</f>
        <v>-8</v>
      </c>
      <c r="Z292" s="82">
        <f>IF(Consultas!AA292='Parâmetros'!$E$1,-15,1)</f>
        <v>1</v>
      </c>
      <c r="AA292" s="147" t="s">
        <v>140</v>
      </c>
      <c r="AB292" s="82" t="str">
        <f>IF(E292="NA","NA",IF(E292&gt;'Parâmetros'!$A$9,8,IF(E292&gt;'Parâmetros'!$A$8,4,IF(E292&gt;'Parâmetros'!$A$7,0,-6))))</f>
        <v>NA</v>
      </c>
      <c r="AC292" s="82">
        <f>IF(Consultas!AC292='Parâmetros'!$E$1,0,5)</f>
        <v>5</v>
      </c>
      <c r="AD292" s="82">
        <f>IF(Consultas!AH292='Parâmetros'!$D$1,-10,5)</f>
        <v>5</v>
      </c>
      <c r="AE292" s="82">
        <f>IF(Consultas!AI292&gt;(Consultas!F292*2),-10,0)</f>
        <v>0</v>
      </c>
      <c r="AF292" s="82" t="b">
        <f>IF(Consultas!AD292&gt;1,(IF(Consultas!AI292&gt;(Consultas!AD292),-20,4)))</f>
        <v>0</v>
      </c>
      <c r="AG292" s="82">
        <f>IF(Consultas!AG292='Parâmetros'!$E$1,0,-6)</f>
        <v>-6</v>
      </c>
      <c r="AH292" s="82">
        <f>IF(Consultas!AF292='Parâmetros'!$E$1,1,-5)</f>
        <v>-5</v>
      </c>
      <c r="AI292" s="82">
        <f>IF(Consultas!AJ292&gt;700,8,IF(Consultas!AJ292&gt;500,4,IF(Consultas!AJ292&gt;200,-4,IF(Consultas!AJ292&gt;1,-15,-20))))</f>
        <v>-20</v>
      </c>
      <c r="AJ292" s="82">
        <f>IF(Consultas!AD292='Parâmetros'!$E$10,0,IF(Consultas!AD292&gt;'Parâmetros'!$A$30,12,IF(Consultas!AD292&gt;'Parâmetros'!$A$31,6,IF(Consultas!AD292&gt;'Parâmetros'!$A$32,0,IF(Consultas!AD292&gt;'Parâmetros'!$A$33,0,IF(Consultas!AD292&gt;'Parâmetros'!$A$34,-3,IF(Consultas!AD292&gt;'Parâmetros'!$A$35,-7,-1)))))))</f>
        <v>-1</v>
      </c>
      <c r="AK292" s="82">
        <f>IF(Consultas!AO292='Parâmetros'!$D$1,3,-3)</f>
        <v>-3</v>
      </c>
      <c r="AL292" s="82">
        <f>IF(Consultas!AP292='Parâmetros'!$D$1,5,-3)</f>
        <v>-3</v>
      </c>
      <c r="AM292" s="82">
        <f>IF(Consultas!AL292="N",-6,0)</f>
        <v>0</v>
      </c>
      <c r="AN292" s="82">
        <f>IF(Consultas!AM292="N",-10,0)</f>
        <v>0</v>
      </c>
      <c r="AO292" s="82">
        <f>IF(Consultas!AN292="S",4,-2)</f>
        <v>-2</v>
      </c>
      <c r="AP292" s="39"/>
      <c r="AQ292" s="165" t="str">
        <f>IF(Consultas!F292&gt;1,(SUM(F292:AO292)),"N/A")</f>
        <v>N/A</v>
      </c>
      <c r="AR292" s="78">
        <f>IF((Consultas!AD292&gt;'Parâmetros'!$A$31),"X",AJ292+Y292+V292+AC292)</f>
        <v>-9</v>
      </c>
      <c r="AS292" s="78">
        <f>IF((Consultas!AD292&gt;'Parâmetros'!$A$31),"X",(H292+I292+J292+Q292+T292+Y292+Z292+AJ292+AN292))</f>
        <v>-23</v>
      </c>
      <c r="AT292" s="78" t="str">
        <f>IF((Consultas!AD292&lt;'Parâmetros'!$A$31),"X",(AD292+AC292+AB292))</f>
        <v>X</v>
      </c>
      <c r="AU292" s="78">
        <f t="shared" si="1"/>
        <v>-23</v>
      </c>
      <c r="AV292" s="82" t="str">
        <f>IF(AQ292="N/A","N/A",IF(AQ292&gt;5,'Parâmetros'!$A$15,(IF(AU292=AR292,'Parâmetros'!$A$17,IF(AU292=AS292,'Parâmetros'!$A$16,'Parâmetros'!$A$14)))))</f>
        <v>N/A</v>
      </c>
      <c r="AW292" s="86" t="str">
        <f>IF(AQ292="N/A","N/A",IF(AV292='Parâmetros'!$A$15,'Parâmetros'!$C$15,(IF(AV292='Parâmetros'!$A$17,'Parâmetros'!$C$17,IF(AV292='Parâmetros'!$A$16,'Parâmetros'!$C$16,IF(AV292='Parâmetros'!$A$14,'Parâmetros'!$C$12))))))</f>
        <v>N/A</v>
      </c>
      <c r="AX292" s="82" t="b">
        <f>IF(Consultas!F292&gt;1,(IF(Consultas!F292&gt;5000,"SOLICITAR PED COMPRA","N/A")))</f>
        <v>0</v>
      </c>
      <c r="AY292" s="167" t="str">
        <f>IF(AND(Consultas!M292&lt;&gt;"S", Consultas!H292="S"), "CHECAGEM REVERSA", "N/A")</f>
        <v>N/A</v>
      </c>
      <c r="AZ292" s="167" t="str">
        <f>IF(Consultas!U292="N","PRECISA CORRIGIR END DIVERGENTE","N/A")</f>
        <v>N/A</v>
      </c>
    </row>
    <row r="293" ht="12.0" customHeight="1">
      <c r="A293" s="39" t="s">
        <v>90</v>
      </c>
      <c r="B293" s="82" t="str">
        <f>Consultas!B293</f>
        <v/>
      </c>
      <c r="C293" s="82" t="str">
        <f>Consultas!D293</f>
        <v/>
      </c>
      <c r="D293" s="96" t="str">
        <f>Consultas!E293</f>
        <v/>
      </c>
      <c r="E293" s="104" t="str">
        <f>IF(Consultas!AB293&gt;0,YEAR('Parâmetros'!$B$1)-YEAR(Consultas!AB293),"NA")</f>
        <v>NA</v>
      </c>
      <c r="F293" s="82">
        <f>IF(Consultas!F293&gt;'Parâmetros'!$B$2,-8,0)</f>
        <v>0</v>
      </c>
      <c r="G293" s="82">
        <f>IF(Consultas!H293='Parâmetros'!$E$1,100,0)</f>
        <v>0</v>
      </c>
      <c r="H293" s="82">
        <f>IF(Consultas!I293='Parâmetros'!$E$1,-4,12)</f>
        <v>12</v>
      </c>
      <c r="I293" s="82">
        <f>IF(Consultas!J293='Parâmetros'!$E$1,1,-13)</f>
        <v>-13</v>
      </c>
      <c r="J293" s="82">
        <f>IF(Consultas!K293='Parâmetros'!$E$1,2,-5)</f>
        <v>-5</v>
      </c>
      <c r="K293" s="82" t="str">
        <f>IF(Consultas!L293='Parâmetros'!$D$1,"SOLIC CONTRATO DE ENTREGA","N/A")</f>
        <v>N/A</v>
      </c>
      <c r="L293" s="82">
        <f>IF(Consultas!R293='Parâmetros'!$E$1,1,-3)</f>
        <v>-3</v>
      </c>
      <c r="M293" s="82" t="b">
        <f>IF(Consultas!S293&gt;1,(IF(Consultas!S293='Parâmetros'!$E$1,-3,9)))</f>
        <v>0</v>
      </c>
      <c r="N293" s="82">
        <f>IF(Consultas!T293="S",23,0)</f>
        <v>0</v>
      </c>
      <c r="O293" s="82">
        <f>IF(Consultas!U293='Parâmetros'!$E$1,-3,3)</f>
        <v>3</v>
      </c>
      <c r="P293" s="82">
        <f>IF(Consultas!V293='Parâmetros'!$E$1,-100,2)</f>
        <v>2</v>
      </c>
      <c r="Q293" s="82">
        <f>IF(Consultas!M293='Parâmetros'!$D$1,2,-9)</f>
        <v>-9</v>
      </c>
      <c r="R293" s="82">
        <f>IF(Consultas!N293="RJ",-12,0)</f>
        <v>0</v>
      </c>
      <c r="S293" s="82">
        <f>IF(Consultas!O293="-",-3,IF(Consultas!O293=0,-6,IF(Consultas!O293=5,0,IF(Consultas!O293=10,6))))</f>
        <v>-6</v>
      </c>
      <c r="T293" s="82">
        <f>IF(Consultas!M293="S",0,(IF(Consultas!P293="S",6,0)))</f>
        <v>0</v>
      </c>
      <c r="U293" s="82">
        <f>IF(Consultas!Q293&gt;97,9,IF(Consultas!Q293&gt;75,0,-7))</f>
        <v>-7</v>
      </c>
      <c r="V293" s="82">
        <f>IF(Consultas!W293='Parâmetros'!$E$1,1,-5)</f>
        <v>-5</v>
      </c>
      <c r="W293" s="82">
        <f>IF(Consultas!X293="S",3,-3)</f>
        <v>-3</v>
      </c>
      <c r="X293" s="82">
        <f>IF(Consultas!Y293="S",0,-7)</f>
        <v>-7</v>
      </c>
      <c r="Y293" s="82">
        <f>IF(Consultas!Z293='Parâmetros'!$E$1,2,-8)</f>
        <v>-8</v>
      </c>
      <c r="Z293" s="82">
        <f>IF(Consultas!AA293='Parâmetros'!$E$1,-15,1)</f>
        <v>1</v>
      </c>
      <c r="AA293" s="147" t="s">
        <v>140</v>
      </c>
      <c r="AB293" s="82" t="str">
        <f>IF(E293="NA","NA",IF(E293&gt;'Parâmetros'!$A$9,8,IF(E293&gt;'Parâmetros'!$A$8,4,IF(E293&gt;'Parâmetros'!$A$7,0,-6))))</f>
        <v>NA</v>
      </c>
      <c r="AC293" s="82">
        <f>IF(Consultas!AC293='Parâmetros'!$E$1,0,5)</f>
        <v>5</v>
      </c>
      <c r="AD293" s="82">
        <f>IF(Consultas!AH293='Parâmetros'!$D$1,-10,5)</f>
        <v>5</v>
      </c>
      <c r="AE293" s="82">
        <f>IF(Consultas!AI293&gt;(Consultas!F293*2),-10,0)</f>
        <v>0</v>
      </c>
      <c r="AF293" s="82" t="b">
        <f>IF(Consultas!AD293&gt;1,(IF(Consultas!AI293&gt;(Consultas!AD293),-20,4)))</f>
        <v>0</v>
      </c>
      <c r="AG293" s="82">
        <f>IF(Consultas!AG293='Parâmetros'!$E$1,0,-6)</f>
        <v>-6</v>
      </c>
      <c r="AH293" s="82">
        <f>IF(Consultas!AF293='Parâmetros'!$E$1,1,-5)</f>
        <v>-5</v>
      </c>
      <c r="AI293" s="82">
        <f>IF(Consultas!AJ293&gt;700,8,IF(Consultas!AJ293&gt;500,4,IF(Consultas!AJ293&gt;200,-4,IF(Consultas!AJ293&gt;1,-15,-20))))</f>
        <v>-20</v>
      </c>
      <c r="AJ293" s="82">
        <f>IF(Consultas!AD293='Parâmetros'!$E$10,0,IF(Consultas!AD293&gt;'Parâmetros'!$A$30,12,IF(Consultas!AD293&gt;'Parâmetros'!$A$31,6,IF(Consultas!AD293&gt;'Parâmetros'!$A$32,0,IF(Consultas!AD293&gt;'Parâmetros'!$A$33,0,IF(Consultas!AD293&gt;'Parâmetros'!$A$34,-3,IF(Consultas!AD293&gt;'Parâmetros'!$A$35,-7,-1)))))))</f>
        <v>-1</v>
      </c>
      <c r="AK293" s="82">
        <f>IF(Consultas!AO293='Parâmetros'!$D$1,3,-3)</f>
        <v>-3</v>
      </c>
      <c r="AL293" s="82">
        <f>IF(Consultas!AP293='Parâmetros'!$D$1,5,-3)</f>
        <v>-3</v>
      </c>
      <c r="AM293" s="82">
        <f>IF(Consultas!AL293="N",-6,0)</f>
        <v>0</v>
      </c>
      <c r="AN293" s="82">
        <f>IF(Consultas!AM293="N",-10,0)</f>
        <v>0</v>
      </c>
      <c r="AO293" s="82">
        <f>IF(Consultas!AN293="S",4,-2)</f>
        <v>-2</v>
      </c>
      <c r="AP293" s="39"/>
      <c r="AQ293" s="165" t="str">
        <f>IF(Consultas!F293&gt;1,(SUM(F293:AO293)),"N/A")</f>
        <v>N/A</v>
      </c>
      <c r="AR293" s="78">
        <f>IF((Consultas!AD293&gt;'Parâmetros'!$A$31),"X",AJ293+Y293+V293+AC293)</f>
        <v>-9</v>
      </c>
      <c r="AS293" s="78">
        <f>IF((Consultas!AD293&gt;'Parâmetros'!$A$31),"X",(H293+I293+J293+Q293+T293+Y293+Z293+AJ293+AN293))</f>
        <v>-23</v>
      </c>
      <c r="AT293" s="78" t="str">
        <f>IF((Consultas!AD293&lt;'Parâmetros'!$A$31),"X",(AD293+AC293+AB293))</f>
        <v>X</v>
      </c>
      <c r="AU293" s="78">
        <f t="shared" si="1"/>
        <v>-23</v>
      </c>
      <c r="AV293" s="82" t="str">
        <f>IF(AQ293="N/A","N/A",IF(AQ293&gt;5,'Parâmetros'!$A$15,(IF(AU293=AR293,'Parâmetros'!$A$17,IF(AU293=AS293,'Parâmetros'!$A$16,'Parâmetros'!$A$14)))))</f>
        <v>N/A</v>
      </c>
      <c r="AW293" s="86" t="str">
        <f>IF(AQ293="N/A","N/A",IF(AV293='Parâmetros'!$A$15,'Parâmetros'!$C$15,(IF(AV293='Parâmetros'!$A$17,'Parâmetros'!$C$17,IF(AV293='Parâmetros'!$A$16,'Parâmetros'!$C$16,IF(AV293='Parâmetros'!$A$14,'Parâmetros'!$C$12))))))</f>
        <v>N/A</v>
      </c>
      <c r="AX293" s="82" t="b">
        <f>IF(Consultas!F293&gt;1,(IF(Consultas!F293&gt;5000,"SOLICITAR PED COMPRA","N/A")))</f>
        <v>0</v>
      </c>
      <c r="AY293" s="167" t="str">
        <f>IF(AND(Consultas!M293&lt;&gt;"S", Consultas!H293="S"), "CHECAGEM REVERSA", "N/A")</f>
        <v>N/A</v>
      </c>
      <c r="AZ293" s="167" t="str">
        <f>IF(Consultas!U293="N","PRECISA CORRIGIR END DIVERGENTE","N/A")</f>
        <v>N/A</v>
      </c>
    </row>
    <row r="294" ht="12.0" customHeight="1">
      <c r="A294" s="39" t="s">
        <v>90</v>
      </c>
      <c r="B294" s="82" t="str">
        <f>Consultas!B294</f>
        <v/>
      </c>
      <c r="C294" s="82" t="str">
        <f>Consultas!D294</f>
        <v/>
      </c>
      <c r="D294" s="96" t="str">
        <f>Consultas!E294</f>
        <v/>
      </c>
      <c r="E294" s="104" t="str">
        <f>IF(Consultas!AB294&gt;0,YEAR('Parâmetros'!$B$1)-YEAR(Consultas!AB294),"NA")</f>
        <v>NA</v>
      </c>
      <c r="F294" s="82">
        <f>IF(Consultas!F294&gt;'Parâmetros'!$B$2,-8,0)</f>
        <v>0</v>
      </c>
      <c r="G294" s="82">
        <f>IF(Consultas!H294='Parâmetros'!$E$1,100,0)</f>
        <v>0</v>
      </c>
      <c r="H294" s="82">
        <f>IF(Consultas!I294='Parâmetros'!$E$1,-4,12)</f>
        <v>12</v>
      </c>
      <c r="I294" s="82">
        <f>IF(Consultas!J294='Parâmetros'!$E$1,1,-13)</f>
        <v>-13</v>
      </c>
      <c r="J294" s="82">
        <f>IF(Consultas!K294='Parâmetros'!$E$1,2,-5)</f>
        <v>-5</v>
      </c>
      <c r="K294" s="82" t="str">
        <f>IF(Consultas!L294='Parâmetros'!$D$1,"SOLIC CONTRATO DE ENTREGA","N/A")</f>
        <v>N/A</v>
      </c>
      <c r="L294" s="82">
        <f>IF(Consultas!R294='Parâmetros'!$E$1,1,-3)</f>
        <v>-3</v>
      </c>
      <c r="M294" s="82" t="b">
        <f>IF(Consultas!S294&gt;1,(IF(Consultas!S294='Parâmetros'!$E$1,-3,9)))</f>
        <v>0</v>
      </c>
      <c r="N294" s="82">
        <f>IF(Consultas!T294="S",23,0)</f>
        <v>0</v>
      </c>
      <c r="O294" s="82">
        <f>IF(Consultas!U294='Parâmetros'!$E$1,-3,3)</f>
        <v>3</v>
      </c>
      <c r="P294" s="82">
        <f>IF(Consultas!V294='Parâmetros'!$E$1,-100,2)</f>
        <v>2</v>
      </c>
      <c r="Q294" s="82">
        <f>IF(Consultas!M294='Parâmetros'!$D$1,2,-9)</f>
        <v>-9</v>
      </c>
      <c r="R294" s="82">
        <f>IF(Consultas!N294="RJ",-12,0)</f>
        <v>0</v>
      </c>
      <c r="S294" s="82">
        <f>IF(Consultas!O294="-",-3,IF(Consultas!O294=0,-6,IF(Consultas!O294=5,0,IF(Consultas!O294=10,6))))</f>
        <v>-6</v>
      </c>
      <c r="T294" s="82">
        <f>IF(Consultas!M294="S",0,(IF(Consultas!P294="S",6,0)))</f>
        <v>0</v>
      </c>
      <c r="U294" s="82">
        <f>IF(Consultas!Q294&gt;97,9,IF(Consultas!Q294&gt;75,0,-7))</f>
        <v>-7</v>
      </c>
      <c r="V294" s="82">
        <f>IF(Consultas!W294='Parâmetros'!$E$1,1,-5)</f>
        <v>-5</v>
      </c>
      <c r="W294" s="82">
        <f>IF(Consultas!X294="S",3,-3)</f>
        <v>-3</v>
      </c>
      <c r="X294" s="82">
        <f>IF(Consultas!Y294="S",0,-7)</f>
        <v>-7</v>
      </c>
      <c r="Y294" s="82">
        <f>IF(Consultas!Z294='Parâmetros'!$E$1,2,-8)</f>
        <v>-8</v>
      </c>
      <c r="Z294" s="82">
        <f>IF(Consultas!AA294='Parâmetros'!$E$1,-15,1)</f>
        <v>1</v>
      </c>
      <c r="AA294" s="147" t="s">
        <v>140</v>
      </c>
      <c r="AB294" s="82" t="str">
        <f>IF(E294="NA","NA",IF(E294&gt;'Parâmetros'!$A$9,8,IF(E294&gt;'Parâmetros'!$A$8,4,IF(E294&gt;'Parâmetros'!$A$7,0,-6))))</f>
        <v>NA</v>
      </c>
      <c r="AC294" s="82">
        <f>IF(Consultas!AC294='Parâmetros'!$E$1,0,5)</f>
        <v>5</v>
      </c>
      <c r="AD294" s="82">
        <f>IF(Consultas!AH294='Parâmetros'!$D$1,-10,5)</f>
        <v>5</v>
      </c>
      <c r="AE294" s="82">
        <f>IF(Consultas!AI294&gt;(Consultas!F294*2),-10,0)</f>
        <v>0</v>
      </c>
      <c r="AF294" s="82" t="b">
        <f>IF(Consultas!AD294&gt;1,(IF(Consultas!AI294&gt;(Consultas!AD294),-20,4)))</f>
        <v>0</v>
      </c>
      <c r="AG294" s="82">
        <f>IF(Consultas!AG294='Parâmetros'!$E$1,0,-6)</f>
        <v>-6</v>
      </c>
      <c r="AH294" s="82">
        <f>IF(Consultas!AF294='Parâmetros'!$E$1,1,-5)</f>
        <v>-5</v>
      </c>
      <c r="AI294" s="82">
        <f>IF(Consultas!AJ294&gt;700,8,IF(Consultas!AJ294&gt;500,4,IF(Consultas!AJ294&gt;200,-4,IF(Consultas!AJ294&gt;1,-15,-20))))</f>
        <v>-20</v>
      </c>
      <c r="AJ294" s="82">
        <f>IF(Consultas!AD294='Parâmetros'!$E$10,0,IF(Consultas!AD294&gt;'Parâmetros'!$A$30,12,IF(Consultas!AD294&gt;'Parâmetros'!$A$31,6,IF(Consultas!AD294&gt;'Parâmetros'!$A$32,0,IF(Consultas!AD294&gt;'Parâmetros'!$A$33,0,IF(Consultas!AD294&gt;'Parâmetros'!$A$34,-3,IF(Consultas!AD294&gt;'Parâmetros'!$A$35,-7,-1)))))))</f>
        <v>-1</v>
      </c>
      <c r="AK294" s="82">
        <f>IF(Consultas!AO294='Parâmetros'!$D$1,3,-3)</f>
        <v>-3</v>
      </c>
      <c r="AL294" s="82">
        <f>IF(Consultas!AP294='Parâmetros'!$D$1,5,-3)</f>
        <v>-3</v>
      </c>
      <c r="AM294" s="82">
        <f>IF(Consultas!AL294="N",-6,0)</f>
        <v>0</v>
      </c>
      <c r="AN294" s="82">
        <f>IF(Consultas!AM294="N",-10,0)</f>
        <v>0</v>
      </c>
      <c r="AO294" s="82">
        <f>IF(Consultas!AN294="S",4,-2)</f>
        <v>-2</v>
      </c>
      <c r="AP294" s="39"/>
      <c r="AQ294" s="165" t="str">
        <f>IF(Consultas!F294&gt;1,(SUM(F294:AO294)),"N/A")</f>
        <v>N/A</v>
      </c>
      <c r="AR294" s="78">
        <f>IF((Consultas!AD294&gt;'Parâmetros'!$A$31),"X",AJ294+Y294+V294+AC294)</f>
        <v>-9</v>
      </c>
      <c r="AS294" s="78">
        <f>IF((Consultas!AD294&gt;'Parâmetros'!$A$31),"X",(H294+I294+J294+Q294+T294+Y294+Z294+AJ294+AN294))</f>
        <v>-23</v>
      </c>
      <c r="AT294" s="78" t="str">
        <f>IF((Consultas!AD294&lt;'Parâmetros'!$A$31),"X",(AD294+AC294+AB294))</f>
        <v>X</v>
      </c>
      <c r="AU294" s="78">
        <f t="shared" si="1"/>
        <v>-23</v>
      </c>
      <c r="AV294" s="82" t="str">
        <f>IF(AQ294="N/A","N/A",IF(AQ294&gt;5,'Parâmetros'!$A$15,(IF(AU294=AR294,'Parâmetros'!$A$17,IF(AU294=AS294,'Parâmetros'!$A$16,'Parâmetros'!$A$14)))))</f>
        <v>N/A</v>
      </c>
      <c r="AW294" s="86" t="str">
        <f>IF(AQ294="N/A","N/A",IF(AV294='Parâmetros'!$A$15,'Parâmetros'!$C$15,(IF(AV294='Parâmetros'!$A$17,'Parâmetros'!$C$17,IF(AV294='Parâmetros'!$A$16,'Parâmetros'!$C$16,IF(AV294='Parâmetros'!$A$14,'Parâmetros'!$C$12))))))</f>
        <v>N/A</v>
      </c>
      <c r="AX294" s="82" t="b">
        <f>IF(Consultas!F294&gt;1,(IF(Consultas!F294&gt;5000,"SOLICITAR PED COMPRA","N/A")))</f>
        <v>0</v>
      </c>
      <c r="AY294" s="167" t="str">
        <f>IF(AND(Consultas!M294&lt;&gt;"S", Consultas!H294="S"), "CHECAGEM REVERSA", "N/A")</f>
        <v>N/A</v>
      </c>
      <c r="AZ294" s="167" t="str">
        <f>IF(Consultas!U294="N","PRECISA CORRIGIR END DIVERGENTE","N/A")</f>
        <v>N/A</v>
      </c>
    </row>
    <row r="295" ht="12.0" customHeight="1">
      <c r="A295" s="39" t="s">
        <v>90</v>
      </c>
      <c r="B295" s="82" t="str">
        <f>Consultas!B295</f>
        <v/>
      </c>
      <c r="C295" s="82" t="str">
        <f>Consultas!D295</f>
        <v/>
      </c>
      <c r="D295" s="96" t="str">
        <f>Consultas!E295</f>
        <v/>
      </c>
      <c r="E295" s="104" t="str">
        <f>IF(Consultas!AB295&gt;0,YEAR('Parâmetros'!$B$1)-YEAR(Consultas!AB295),"NA")</f>
        <v>NA</v>
      </c>
      <c r="F295" s="82">
        <f>IF(Consultas!F295&gt;'Parâmetros'!$B$2,-8,0)</f>
        <v>0</v>
      </c>
      <c r="G295" s="82">
        <f>IF(Consultas!H295='Parâmetros'!$E$1,100,0)</f>
        <v>0</v>
      </c>
      <c r="H295" s="82">
        <f>IF(Consultas!I295='Parâmetros'!$E$1,-4,12)</f>
        <v>12</v>
      </c>
      <c r="I295" s="82">
        <f>IF(Consultas!J295='Parâmetros'!$E$1,1,-13)</f>
        <v>-13</v>
      </c>
      <c r="J295" s="82">
        <f>IF(Consultas!K295='Parâmetros'!$E$1,2,-5)</f>
        <v>-5</v>
      </c>
      <c r="K295" s="82" t="str">
        <f>IF(Consultas!L295='Parâmetros'!$D$1,"SOLIC CONTRATO DE ENTREGA","N/A")</f>
        <v>N/A</v>
      </c>
      <c r="L295" s="82">
        <f>IF(Consultas!R295='Parâmetros'!$E$1,1,-3)</f>
        <v>-3</v>
      </c>
      <c r="M295" s="82" t="b">
        <f>IF(Consultas!S295&gt;1,(IF(Consultas!S295='Parâmetros'!$E$1,-3,9)))</f>
        <v>0</v>
      </c>
      <c r="N295" s="82">
        <f>IF(Consultas!T295="S",23,0)</f>
        <v>0</v>
      </c>
      <c r="O295" s="82">
        <f>IF(Consultas!U295='Parâmetros'!$E$1,-3,3)</f>
        <v>3</v>
      </c>
      <c r="P295" s="82">
        <f>IF(Consultas!V295='Parâmetros'!$E$1,-100,2)</f>
        <v>2</v>
      </c>
      <c r="Q295" s="82">
        <f>IF(Consultas!M295='Parâmetros'!$D$1,2,-9)</f>
        <v>-9</v>
      </c>
      <c r="R295" s="82">
        <f>IF(Consultas!N295="RJ",-12,0)</f>
        <v>0</v>
      </c>
      <c r="S295" s="82">
        <f>IF(Consultas!O295="-",-3,IF(Consultas!O295=0,-6,IF(Consultas!O295=5,0,IF(Consultas!O295=10,6))))</f>
        <v>-6</v>
      </c>
      <c r="T295" s="82">
        <f>IF(Consultas!M295="S",0,(IF(Consultas!P295="S",6,0)))</f>
        <v>0</v>
      </c>
      <c r="U295" s="82">
        <f>IF(Consultas!Q295&gt;97,9,IF(Consultas!Q295&gt;75,0,-7))</f>
        <v>-7</v>
      </c>
      <c r="V295" s="82">
        <f>IF(Consultas!W295='Parâmetros'!$E$1,1,-5)</f>
        <v>-5</v>
      </c>
      <c r="W295" s="82">
        <f>IF(Consultas!X295="S",3,-3)</f>
        <v>-3</v>
      </c>
      <c r="X295" s="82">
        <f>IF(Consultas!Y295="S",0,-7)</f>
        <v>-7</v>
      </c>
      <c r="Y295" s="82">
        <f>IF(Consultas!Z295='Parâmetros'!$E$1,2,-8)</f>
        <v>-8</v>
      </c>
      <c r="Z295" s="82">
        <f>IF(Consultas!AA295='Parâmetros'!$E$1,-15,1)</f>
        <v>1</v>
      </c>
      <c r="AA295" s="147" t="s">
        <v>140</v>
      </c>
      <c r="AB295" s="82" t="str">
        <f>IF(E295="NA","NA",IF(E295&gt;'Parâmetros'!$A$9,8,IF(E295&gt;'Parâmetros'!$A$8,4,IF(E295&gt;'Parâmetros'!$A$7,0,-6))))</f>
        <v>NA</v>
      </c>
      <c r="AC295" s="82">
        <f>IF(Consultas!AC295='Parâmetros'!$E$1,0,5)</f>
        <v>5</v>
      </c>
      <c r="AD295" s="82">
        <f>IF(Consultas!AH295='Parâmetros'!$D$1,-10,5)</f>
        <v>5</v>
      </c>
      <c r="AE295" s="82">
        <f>IF(Consultas!AI295&gt;(Consultas!F295*2),-10,0)</f>
        <v>0</v>
      </c>
      <c r="AF295" s="82" t="b">
        <f>IF(Consultas!AD295&gt;1,(IF(Consultas!AI295&gt;(Consultas!AD295),-20,4)))</f>
        <v>0</v>
      </c>
      <c r="AG295" s="82">
        <f>IF(Consultas!AG295='Parâmetros'!$E$1,0,-6)</f>
        <v>-6</v>
      </c>
      <c r="AH295" s="82">
        <f>IF(Consultas!AF295='Parâmetros'!$E$1,1,-5)</f>
        <v>-5</v>
      </c>
      <c r="AI295" s="82">
        <f>IF(Consultas!AJ295&gt;700,8,IF(Consultas!AJ295&gt;500,4,IF(Consultas!AJ295&gt;200,-4,IF(Consultas!AJ295&gt;1,-15,-20))))</f>
        <v>-20</v>
      </c>
      <c r="AJ295" s="82">
        <f>IF(Consultas!AD295='Parâmetros'!$E$10,0,IF(Consultas!AD295&gt;'Parâmetros'!$A$30,12,IF(Consultas!AD295&gt;'Parâmetros'!$A$31,6,IF(Consultas!AD295&gt;'Parâmetros'!$A$32,0,IF(Consultas!AD295&gt;'Parâmetros'!$A$33,0,IF(Consultas!AD295&gt;'Parâmetros'!$A$34,-3,IF(Consultas!AD295&gt;'Parâmetros'!$A$35,-7,-1)))))))</f>
        <v>-1</v>
      </c>
      <c r="AK295" s="82">
        <f>IF(Consultas!AO295='Parâmetros'!$D$1,3,-3)</f>
        <v>-3</v>
      </c>
      <c r="AL295" s="82">
        <f>IF(Consultas!AP295='Parâmetros'!$D$1,5,-3)</f>
        <v>-3</v>
      </c>
      <c r="AM295" s="82">
        <f>IF(Consultas!AL295="N",-6,0)</f>
        <v>0</v>
      </c>
      <c r="AN295" s="82">
        <f>IF(Consultas!AM295="N",-10,0)</f>
        <v>0</v>
      </c>
      <c r="AO295" s="82">
        <f>IF(Consultas!AN295="S",4,-2)</f>
        <v>-2</v>
      </c>
      <c r="AP295" s="39"/>
      <c r="AQ295" s="165" t="str">
        <f>IF(Consultas!F295&gt;1,(SUM(F295:AO295)),"N/A")</f>
        <v>N/A</v>
      </c>
      <c r="AR295" s="78">
        <f>IF((Consultas!AD295&gt;'Parâmetros'!$A$31),"X",AJ295+Y295+V295+AC295)</f>
        <v>-9</v>
      </c>
      <c r="AS295" s="78">
        <f>IF((Consultas!AD295&gt;'Parâmetros'!$A$31),"X",(H295+I295+J295+Q295+T295+Y295+Z295+AJ295+AN295))</f>
        <v>-23</v>
      </c>
      <c r="AT295" s="78" t="str">
        <f>IF((Consultas!AD295&lt;'Parâmetros'!$A$31),"X",(AD295+AC295+AB295))</f>
        <v>X</v>
      </c>
      <c r="AU295" s="78">
        <f t="shared" si="1"/>
        <v>-23</v>
      </c>
      <c r="AV295" s="82" t="str">
        <f>IF(AQ295="N/A","N/A",IF(AQ295&gt;5,'Parâmetros'!$A$15,(IF(AU295=AR295,'Parâmetros'!$A$17,IF(AU295=AS295,'Parâmetros'!$A$16,'Parâmetros'!$A$14)))))</f>
        <v>N/A</v>
      </c>
      <c r="AW295" s="86" t="str">
        <f>IF(AQ295="N/A","N/A",IF(AV295='Parâmetros'!$A$15,'Parâmetros'!$C$15,(IF(AV295='Parâmetros'!$A$17,'Parâmetros'!$C$17,IF(AV295='Parâmetros'!$A$16,'Parâmetros'!$C$16,IF(AV295='Parâmetros'!$A$14,'Parâmetros'!$C$12))))))</f>
        <v>N/A</v>
      </c>
      <c r="AX295" s="82" t="b">
        <f>IF(Consultas!F295&gt;1,(IF(Consultas!F295&gt;5000,"SOLICITAR PED COMPRA","N/A")))</f>
        <v>0</v>
      </c>
      <c r="AY295" s="167" t="str">
        <f>IF(AND(Consultas!M295&lt;&gt;"S", Consultas!H295="S"), "CHECAGEM REVERSA", "N/A")</f>
        <v>N/A</v>
      </c>
      <c r="AZ295" s="167" t="str">
        <f>IF(Consultas!U295="N","PRECISA CORRIGIR END DIVERGENTE","N/A")</f>
        <v>N/A</v>
      </c>
    </row>
    <row r="296" ht="12.0" customHeight="1">
      <c r="A296" s="39" t="s">
        <v>90</v>
      </c>
      <c r="B296" s="82" t="str">
        <f>Consultas!B296</f>
        <v/>
      </c>
      <c r="C296" s="82" t="str">
        <f>Consultas!D296</f>
        <v/>
      </c>
      <c r="D296" s="96" t="str">
        <f>Consultas!E296</f>
        <v/>
      </c>
      <c r="E296" s="104" t="str">
        <f>IF(Consultas!AB296&gt;0,YEAR('Parâmetros'!$B$1)-YEAR(Consultas!AB296),"NA")</f>
        <v>NA</v>
      </c>
      <c r="F296" s="82">
        <f>IF(Consultas!F296&gt;'Parâmetros'!$B$2,-8,0)</f>
        <v>0</v>
      </c>
      <c r="G296" s="82">
        <f>IF(Consultas!H296='Parâmetros'!$E$1,100,0)</f>
        <v>0</v>
      </c>
      <c r="H296" s="82">
        <f>IF(Consultas!I296='Parâmetros'!$E$1,-4,12)</f>
        <v>12</v>
      </c>
      <c r="I296" s="82">
        <f>IF(Consultas!J296='Parâmetros'!$E$1,1,-13)</f>
        <v>-13</v>
      </c>
      <c r="J296" s="82">
        <f>IF(Consultas!K296='Parâmetros'!$E$1,2,-5)</f>
        <v>-5</v>
      </c>
      <c r="K296" s="82" t="str">
        <f>IF(Consultas!L296='Parâmetros'!$D$1,"SOLIC CONTRATO DE ENTREGA","N/A")</f>
        <v>N/A</v>
      </c>
      <c r="L296" s="82">
        <f>IF(Consultas!R296='Parâmetros'!$E$1,1,-3)</f>
        <v>-3</v>
      </c>
      <c r="M296" s="82" t="b">
        <f>IF(Consultas!S296&gt;1,(IF(Consultas!S296='Parâmetros'!$E$1,-3,9)))</f>
        <v>0</v>
      </c>
      <c r="N296" s="82">
        <f>IF(Consultas!T296="S",23,0)</f>
        <v>0</v>
      </c>
      <c r="O296" s="82">
        <f>IF(Consultas!U296='Parâmetros'!$E$1,-3,3)</f>
        <v>3</v>
      </c>
      <c r="P296" s="82">
        <f>IF(Consultas!V296='Parâmetros'!$E$1,-100,2)</f>
        <v>2</v>
      </c>
      <c r="Q296" s="82">
        <f>IF(Consultas!M296='Parâmetros'!$D$1,2,-9)</f>
        <v>-9</v>
      </c>
      <c r="R296" s="82">
        <f>IF(Consultas!N296="RJ",-12,0)</f>
        <v>0</v>
      </c>
      <c r="S296" s="82">
        <f>IF(Consultas!O296="-",-3,IF(Consultas!O296=0,-6,IF(Consultas!O296=5,0,IF(Consultas!O296=10,6))))</f>
        <v>-6</v>
      </c>
      <c r="T296" s="82">
        <f>IF(Consultas!M296="S",0,(IF(Consultas!P296="S",6,0)))</f>
        <v>0</v>
      </c>
      <c r="U296" s="82">
        <f>IF(Consultas!Q296&gt;97,9,IF(Consultas!Q296&gt;75,0,-7))</f>
        <v>-7</v>
      </c>
      <c r="V296" s="82">
        <f>IF(Consultas!W296='Parâmetros'!$E$1,1,-5)</f>
        <v>-5</v>
      </c>
      <c r="W296" s="82">
        <f>IF(Consultas!X296="S",3,-3)</f>
        <v>-3</v>
      </c>
      <c r="X296" s="82">
        <f>IF(Consultas!Y296="S",0,-7)</f>
        <v>-7</v>
      </c>
      <c r="Y296" s="82">
        <f>IF(Consultas!Z296='Parâmetros'!$E$1,2,-8)</f>
        <v>-8</v>
      </c>
      <c r="Z296" s="82">
        <f>IF(Consultas!AA296='Parâmetros'!$E$1,-15,1)</f>
        <v>1</v>
      </c>
      <c r="AA296" s="147" t="s">
        <v>140</v>
      </c>
      <c r="AB296" s="82" t="str">
        <f>IF(E296="NA","NA",IF(E296&gt;'Parâmetros'!$A$9,8,IF(E296&gt;'Parâmetros'!$A$8,4,IF(E296&gt;'Parâmetros'!$A$7,0,-6))))</f>
        <v>NA</v>
      </c>
      <c r="AC296" s="82">
        <f>IF(Consultas!AC296='Parâmetros'!$E$1,0,5)</f>
        <v>5</v>
      </c>
      <c r="AD296" s="82">
        <f>IF(Consultas!AH296='Parâmetros'!$D$1,-10,5)</f>
        <v>5</v>
      </c>
      <c r="AE296" s="82">
        <f>IF(Consultas!AI296&gt;(Consultas!F296*2),-10,0)</f>
        <v>0</v>
      </c>
      <c r="AF296" s="82" t="b">
        <f>IF(Consultas!AD296&gt;1,(IF(Consultas!AI296&gt;(Consultas!AD296),-20,4)))</f>
        <v>0</v>
      </c>
      <c r="AG296" s="82">
        <f>IF(Consultas!AG296='Parâmetros'!$E$1,0,-6)</f>
        <v>-6</v>
      </c>
      <c r="AH296" s="82">
        <f>IF(Consultas!AF296='Parâmetros'!$E$1,1,-5)</f>
        <v>-5</v>
      </c>
      <c r="AI296" s="82">
        <f>IF(Consultas!AJ296&gt;700,8,IF(Consultas!AJ296&gt;500,4,IF(Consultas!AJ296&gt;200,-4,IF(Consultas!AJ296&gt;1,-15,-20))))</f>
        <v>-20</v>
      </c>
      <c r="AJ296" s="82">
        <f>IF(Consultas!AD296='Parâmetros'!$E$10,0,IF(Consultas!AD296&gt;'Parâmetros'!$A$30,12,IF(Consultas!AD296&gt;'Parâmetros'!$A$31,6,IF(Consultas!AD296&gt;'Parâmetros'!$A$32,0,IF(Consultas!AD296&gt;'Parâmetros'!$A$33,0,IF(Consultas!AD296&gt;'Parâmetros'!$A$34,-3,IF(Consultas!AD296&gt;'Parâmetros'!$A$35,-7,-1)))))))</f>
        <v>-1</v>
      </c>
      <c r="AK296" s="82">
        <f>IF(Consultas!AO296='Parâmetros'!$D$1,3,-3)</f>
        <v>-3</v>
      </c>
      <c r="AL296" s="82">
        <f>IF(Consultas!AP296='Parâmetros'!$D$1,5,-3)</f>
        <v>-3</v>
      </c>
      <c r="AM296" s="82">
        <f>IF(Consultas!AL296="N",-6,0)</f>
        <v>0</v>
      </c>
      <c r="AN296" s="82">
        <f>IF(Consultas!AM296="N",-10,0)</f>
        <v>0</v>
      </c>
      <c r="AO296" s="82">
        <f>IF(Consultas!AN296="S",4,-2)</f>
        <v>-2</v>
      </c>
      <c r="AP296" s="39"/>
      <c r="AQ296" s="165" t="str">
        <f>IF(Consultas!F296&gt;1,(SUM(F296:AO296)),"N/A")</f>
        <v>N/A</v>
      </c>
      <c r="AR296" s="78">
        <f>IF((Consultas!AD296&gt;'Parâmetros'!$A$31),"X",AJ296+Y296+V296+AC296)</f>
        <v>-9</v>
      </c>
      <c r="AS296" s="78">
        <f>IF((Consultas!AD296&gt;'Parâmetros'!$A$31),"X",(H296+I296+J296+Q296+T296+Y296+Z296+AJ296+AN296))</f>
        <v>-23</v>
      </c>
      <c r="AT296" s="78" t="str">
        <f>IF((Consultas!AD296&lt;'Parâmetros'!$A$31),"X",(AD296+AC296+AB296))</f>
        <v>X</v>
      </c>
      <c r="AU296" s="78">
        <f t="shared" si="1"/>
        <v>-23</v>
      </c>
      <c r="AV296" s="82" t="str">
        <f>IF(AQ296="N/A","N/A",IF(AQ296&gt;5,'Parâmetros'!$A$15,(IF(AU296=AR296,'Parâmetros'!$A$17,IF(AU296=AS296,'Parâmetros'!$A$16,'Parâmetros'!$A$14)))))</f>
        <v>N/A</v>
      </c>
      <c r="AW296" s="86" t="str">
        <f>IF(AQ296="N/A","N/A",IF(AV296='Parâmetros'!$A$15,'Parâmetros'!$C$15,(IF(AV296='Parâmetros'!$A$17,'Parâmetros'!$C$17,IF(AV296='Parâmetros'!$A$16,'Parâmetros'!$C$16,IF(AV296='Parâmetros'!$A$14,'Parâmetros'!$C$12))))))</f>
        <v>N/A</v>
      </c>
      <c r="AX296" s="82" t="b">
        <f>IF(Consultas!F296&gt;1,(IF(Consultas!F296&gt;5000,"SOLICITAR PED COMPRA","N/A")))</f>
        <v>0</v>
      </c>
      <c r="AY296" s="167" t="str">
        <f>IF(AND(Consultas!M296&lt;&gt;"S", Consultas!H296="S"), "CHECAGEM REVERSA", "N/A")</f>
        <v>N/A</v>
      </c>
      <c r="AZ296" s="167" t="str">
        <f>IF(Consultas!U296="N","PRECISA CORRIGIR END DIVERGENTE","N/A")</f>
        <v>N/A</v>
      </c>
    </row>
    <row r="297" ht="12.0" customHeight="1">
      <c r="A297" s="39" t="s">
        <v>90</v>
      </c>
      <c r="B297" s="82" t="str">
        <f>Consultas!B297</f>
        <v/>
      </c>
      <c r="C297" s="82" t="str">
        <f>Consultas!D297</f>
        <v/>
      </c>
      <c r="D297" s="96" t="str">
        <f>Consultas!E297</f>
        <v/>
      </c>
      <c r="E297" s="104" t="str">
        <f>IF(Consultas!AB297&gt;0,YEAR('Parâmetros'!$B$1)-YEAR(Consultas!AB297),"NA")</f>
        <v>NA</v>
      </c>
      <c r="F297" s="82">
        <f>IF(Consultas!F297&gt;'Parâmetros'!$B$2,-8,0)</f>
        <v>0</v>
      </c>
      <c r="G297" s="82">
        <f>IF(Consultas!H297='Parâmetros'!$E$1,100,0)</f>
        <v>0</v>
      </c>
      <c r="H297" s="82">
        <f>IF(Consultas!I297='Parâmetros'!$E$1,-4,12)</f>
        <v>12</v>
      </c>
      <c r="I297" s="82">
        <f>IF(Consultas!J297='Parâmetros'!$E$1,1,-13)</f>
        <v>-13</v>
      </c>
      <c r="J297" s="82">
        <f>IF(Consultas!K297='Parâmetros'!$E$1,2,-5)</f>
        <v>-5</v>
      </c>
      <c r="K297" s="82" t="str">
        <f>IF(Consultas!L297='Parâmetros'!$D$1,"SOLIC CONTRATO DE ENTREGA","N/A")</f>
        <v>N/A</v>
      </c>
      <c r="L297" s="82">
        <f>IF(Consultas!R297='Parâmetros'!$E$1,1,-3)</f>
        <v>-3</v>
      </c>
      <c r="M297" s="82" t="b">
        <f>IF(Consultas!S297&gt;1,(IF(Consultas!S297='Parâmetros'!$E$1,-3,9)))</f>
        <v>0</v>
      </c>
      <c r="N297" s="82">
        <f>IF(Consultas!T297="S",23,0)</f>
        <v>0</v>
      </c>
      <c r="O297" s="82">
        <f>IF(Consultas!U297='Parâmetros'!$E$1,-3,3)</f>
        <v>3</v>
      </c>
      <c r="P297" s="82">
        <f>IF(Consultas!V297='Parâmetros'!$E$1,-100,2)</f>
        <v>2</v>
      </c>
      <c r="Q297" s="82">
        <f>IF(Consultas!M297='Parâmetros'!$D$1,2,-9)</f>
        <v>-9</v>
      </c>
      <c r="R297" s="82">
        <f>IF(Consultas!N297="RJ",-12,0)</f>
        <v>0</v>
      </c>
      <c r="S297" s="82">
        <f>IF(Consultas!O297="-",-3,IF(Consultas!O297=0,-6,IF(Consultas!O297=5,0,IF(Consultas!O297=10,6))))</f>
        <v>-6</v>
      </c>
      <c r="T297" s="82">
        <f>IF(Consultas!M297="S",0,(IF(Consultas!P297="S",6,0)))</f>
        <v>0</v>
      </c>
      <c r="U297" s="82">
        <f>IF(Consultas!Q297&gt;97,9,IF(Consultas!Q297&gt;75,0,-7))</f>
        <v>-7</v>
      </c>
      <c r="V297" s="82">
        <f>IF(Consultas!W297='Parâmetros'!$E$1,1,-5)</f>
        <v>-5</v>
      </c>
      <c r="W297" s="82">
        <f>IF(Consultas!X297="S",3,-3)</f>
        <v>-3</v>
      </c>
      <c r="X297" s="82">
        <f>IF(Consultas!Y297="S",0,-7)</f>
        <v>-7</v>
      </c>
      <c r="Y297" s="82">
        <f>IF(Consultas!Z297='Parâmetros'!$E$1,2,-8)</f>
        <v>-8</v>
      </c>
      <c r="Z297" s="82">
        <f>IF(Consultas!AA297='Parâmetros'!$E$1,-15,1)</f>
        <v>1</v>
      </c>
      <c r="AA297" s="147" t="s">
        <v>140</v>
      </c>
      <c r="AB297" s="82" t="str">
        <f>IF(E297="NA","NA",IF(E297&gt;'Parâmetros'!$A$9,8,IF(E297&gt;'Parâmetros'!$A$8,4,IF(E297&gt;'Parâmetros'!$A$7,0,-6))))</f>
        <v>NA</v>
      </c>
      <c r="AC297" s="82">
        <f>IF(Consultas!AC297='Parâmetros'!$E$1,0,5)</f>
        <v>5</v>
      </c>
      <c r="AD297" s="82">
        <f>IF(Consultas!AH297='Parâmetros'!$D$1,-10,5)</f>
        <v>5</v>
      </c>
      <c r="AE297" s="82">
        <f>IF(Consultas!AI297&gt;(Consultas!F297*2),-10,0)</f>
        <v>0</v>
      </c>
      <c r="AF297" s="82" t="b">
        <f>IF(Consultas!AD297&gt;1,(IF(Consultas!AI297&gt;(Consultas!AD297),-20,4)))</f>
        <v>0</v>
      </c>
      <c r="AG297" s="82">
        <f>IF(Consultas!AG297='Parâmetros'!$E$1,0,-6)</f>
        <v>-6</v>
      </c>
      <c r="AH297" s="82">
        <f>IF(Consultas!AF297='Parâmetros'!$E$1,1,-5)</f>
        <v>-5</v>
      </c>
      <c r="AI297" s="82">
        <f>IF(Consultas!AJ297&gt;700,8,IF(Consultas!AJ297&gt;500,4,IF(Consultas!AJ297&gt;200,-4,IF(Consultas!AJ297&gt;1,-15,-20))))</f>
        <v>-20</v>
      </c>
      <c r="AJ297" s="82">
        <f>IF(Consultas!AD297='Parâmetros'!$E$10,0,IF(Consultas!AD297&gt;'Parâmetros'!$A$30,12,IF(Consultas!AD297&gt;'Parâmetros'!$A$31,6,IF(Consultas!AD297&gt;'Parâmetros'!$A$32,0,IF(Consultas!AD297&gt;'Parâmetros'!$A$33,0,IF(Consultas!AD297&gt;'Parâmetros'!$A$34,-3,IF(Consultas!AD297&gt;'Parâmetros'!$A$35,-7,-1)))))))</f>
        <v>-1</v>
      </c>
      <c r="AK297" s="82">
        <f>IF(Consultas!AO297='Parâmetros'!$D$1,3,-3)</f>
        <v>-3</v>
      </c>
      <c r="AL297" s="82">
        <f>IF(Consultas!AP297='Parâmetros'!$D$1,5,-3)</f>
        <v>-3</v>
      </c>
      <c r="AM297" s="82">
        <f>IF(Consultas!AL297="N",-6,0)</f>
        <v>0</v>
      </c>
      <c r="AN297" s="82">
        <f>IF(Consultas!AM297="N",-10,0)</f>
        <v>0</v>
      </c>
      <c r="AO297" s="82">
        <f>IF(Consultas!AN297="S",4,-2)</f>
        <v>-2</v>
      </c>
      <c r="AP297" s="39"/>
      <c r="AQ297" s="165" t="str">
        <f>IF(Consultas!F297&gt;1,(SUM(F297:AO297)),"N/A")</f>
        <v>N/A</v>
      </c>
      <c r="AR297" s="78">
        <f>IF((Consultas!AD297&gt;'Parâmetros'!$A$31),"X",AJ297+Y297+V297+AC297)</f>
        <v>-9</v>
      </c>
      <c r="AS297" s="78">
        <f>IF((Consultas!AD297&gt;'Parâmetros'!$A$31),"X",(H297+I297+J297+Q297+T297+Y297+Z297+AJ297+AN297))</f>
        <v>-23</v>
      </c>
      <c r="AT297" s="78" t="str">
        <f>IF((Consultas!AD297&lt;'Parâmetros'!$A$31),"X",(AD297+AC297+AB297))</f>
        <v>X</v>
      </c>
      <c r="AU297" s="78">
        <f t="shared" si="1"/>
        <v>-23</v>
      </c>
      <c r="AV297" s="82" t="str">
        <f>IF(AQ297="N/A","N/A",IF(AQ297&gt;5,'Parâmetros'!$A$15,(IF(AU297=AR297,'Parâmetros'!$A$17,IF(AU297=AS297,'Parâmetros'!$A$16,'Parâmetros'!$A$14)))))</f>
        <v>N/A</v>
      </c>
      <c r="AW297" s="86" t="str">
        <f>IF(AQ297="N/A","N/A",IF(AV297='Parâmetros'!$A$15,'Parâmetros'!$C$15,(IF(AV297='Parâmetros'!$A$17,'Parâmetros'!$C$17,IF(AV297='Parâmetros'!$A$16,'Parâmetros'!$C$16,IF(AV297='Parâmetros'!$A$14,'Parâmetros'!$C$12))))))</f>
        <v>N/A</v>
      </c>
      <c r="AX297" s="82" t="b">
        <f>IF(Consultas!F297&gt;1,(IF(Consultas!F297&gt;5000,"SOLICITAR PED COMPRA","N/A")))</f>
        <v>0</v>
      </c>
      <c r="AY297" s="167" t="str">
        <f>IF(AND(Consultas!M297&lt;&gt;"S", Consultas!H297="S"), "CHECAGEM REVERSA", "N/A")</f>
        <v>N/A</v>
      </c>
      <c r="AZ297" s="167" t="str">
        <f>IF(Consultas!U297="N","PRECISA CORRIGIR END DIVERGENTE","N/A")</f>
        <v>N/A</v>
      </c>
    </row>
    <row r="298" ht="12.0" customHeight="1">
      <c r="A298" s="39" t="s">
        <v>90</v>
      </c>
      <c r="B298" s="82" t="str">
        <f>Consultas!B298</f>
        <v/>
      </c>
      <c r="C298" s="82" t="str">
        <f>Consultas!D298</f>
        <v/>
      </c>
      <c r="D298" s="96" t="str">
        <f>Consultas!E298</f>
        <v/>
      </c>
      <c r="E298" s="104" t="str">
        <f>IF(Consultas!AB298&gt;0,YEAR('Parâmetros'!$B$1)-YEAR(Consultas!AB298),"NA")</f>
        <v>NA</v>
      </c>
      <c r="F298" s="82">
        <f>IF(Consultas!F298&gt;'Parâmetros'!$B$2,-8,0)</f>
        <v>0</v>
      </c>
      <c r="G298" s="82">
        <f>IF(Consultas!H298='Parâmetros'!$E$1,100,0)</f>
        <v>0</v>
      </c>
      <c r="H298" s="82">
        <f>IF(Consultas!I298='Parâmetros'!$E$1,-4,12)</f>
        <v>12</v>
      </c>
      <c r="I298" s="82">
        <f>IF(Consultas!J298='Parâmetros'!$E$1,1,-13)</f>
        <v>-13</v>
      </c>
      <c r="J298" s="82">
        <f>IF(Consultas!K298='Parâmetros'!$E$1,2,-5)</f>
        <v>-5</v>
      </c>
      <c r="K298" s="82" t="str">
        <f>IF(Consultas!L298='Parâmetros'!$D$1,"SOLIC CONTRATO DE ENTREGA","N/A")</f>
        <v>N/A</v>
      </c>
      <c r="L298" s="82">
        <f>IF(Consultas!R298='Parâmetros'!$E$1,1,-3)</f>
        <v>-3</v>
      </c>
      <c r="M298" s="82" t="b">
        <f>IF(Consultas!S298&gt;1,(IF(Consultas!S298='Parâmetros'!$E$1,-3,9)))</f>
        <v>0</v>
      </c>
      <c r="N298" s="82">
        <f>IF(Consultas!T298="S",23,0)</f>
        <v>0</v>
      </c>
      <c r="O298" s="82">
        <f>IF(Consultas!U298='Parâmetros'!$E$1,-3,3)</f>
        <v>3</v>
      </c>
      <c r="P298" s="82">
        <f>IF(Consultas!V298='Parâmetros'!$E$1,-100,2)</f>
        <v>2</v>
      </c>
      <c r="Q298" s="82">
        <f>IF(Consultas!M298='Parâmetros'!$D$1,2,-9)</f>
        <v>-9</v>
      </c>
      <c r="R298" s="82">
        <f>IF(Consultas!N298="RJ",-12,0)</f>
        <v>0</v>
      </c>
      <c r="S298" s="82">
        <f>IF(Consultas!O298="-",-3,IF(Consultas!O298=0,-6,IF(Consultas!O298=5,0,IF(Consultas!O298=10,6))))</f>
        <v>-6</v>
      </c>
      <c r="T298" s="82">
        <f>IF(Consultas!M298="S",0,(IF(Consultas!P298="S",6,0)))</f>
        <v>0</v>
      </c>
      <c r="U298" s="82">
        <f>IF(Consultas!Q298&gt;97,9,IF(Consultas!Q298&gt;75,0,-7))</f>
        <v>-7</v>
      </c>
      <c r="V298" s="82">
        <f>IF(Consultas!W298='Parâmetros'!$E$1,1,-5)</f>
        <v>-5</v>
      </c>
      <c r="W298" s="82">
        <f>IF(Consultas!X298="S",3,-3)</f>
        <v>-3</v>
      </c>
      <c r="X298" s="82">
        <f>IF(Consultas!Y298="S",0,-7)</f>
        <v>-7</v>
      </c>
      <c r="Y298" s="82">
        <f>IF(Consultas!Z298='Parâmetros'!$E$1,2,-8)</f>
        <v>-8</v>
      </c>
      <c r="Z298" s="82">
        <f>IF(Consultas!AA298='Parâmetros'!$E$1,-15,1)</f>
        <v>1</v>
      </c>
      <c r="AA298" s="147" t="s">
        <v>140</v>
      </c>
      <c r="AB298" s="82" t="str">
        <f>IF(E298="NA","NA",IF(E298&gt;'Parâmetros'!$A$9,8,IF(E298&gt;'Parâmetros'!$A$8,4,IF(E298&gt;'Parâmetros'!$A$7,0,-6))))</f>
        <v>NA</v>
      </c>
      <c r="AC298" s="82">
        <f>IF(Consultas!AC298='Parâmetros'!$E$1,0,5)</f>
        <v>5</v>
      </c>
      <c r="AD298" s="82">
        <f>IF(Consultas!AH298='Parâmetros'!$D$1,-10,5)</f>
        <v>5</v>
      </c>
      <c r="AE298" s="82">
        <f>IF(Consultas!AI298&gt;(Consultas!F298*2),-10,0)</f>
        <v>0</v>
      </c>
      <c r="AF298" s="82" t="b">
        <f>IF(Consultas!AD298&gt;1,(IF(Consultas!AI298&gt;(Consultas!AD298),-20,4)))</f>
        <v>0</v>
      </c>
      <c r="AG298" s="82">
        <f>IF(Consultas!AG298='Parâmetros'!$E$1,0,-6)</f>
        <v>-6</v>
      </c>
      <c r="AH298" s="82">
        <f>IF(Consultas!AF298='Parâmetros'!$E$1,1,-5)</f>
        <v>-5</v>
      </c>
      <c r="AI298" s="82">
        <f>IF(Consultas!AJ298&gt;700,8,IF(Consultas!AJ298&gt;500,4,IF(Consultas!AJ298&gt;200,-4,IF(Consultas!AJ298&gt;1,-15,-20))))</f>
        <v>-20</v>
      </c>
      <c r="AJ298" s="82">
        <f>IF(Consultas!AD298='Parâmetros'!$E$10,0,IF(Consultas!AD298&gt;'Parâmetros'!$A$30,12,IF(Consultas!AD298&gt;'Parâmetros'!$A$31,6,IF(Consultas!AD298&gt;'Parâmetros'!$A$32,0,IF(Consultas!AD298&gt;'Parâmetros'!$A$33,0,IF(Consultas!AD298&gt;'Parâmetros'!$A$34,-3,IF(Consultas!AD298&gt;'Parâmetros'!$A$35,-7,-1)))))))</f>
        <v>-1</v>
      </c>
      <c r="AK298" s="82">
        <f>IF(Consultas!AO298='Parâmetros'!$D$1,3,-3)</f>
        <v>-3</v>
      </c>
      <c r="AL298" s="82">
        <f>IF(Consultas!AP298='Parâmetros'!$D$1,5,-3)</f>
        <v>-3</v>
      </c>
      <c r="AM298" s="82">
        <f>IF(Consultas!AL298="N",-6,0)</f>
        <v>0</v>
      </c>
      <c r="AN298" s="82">
        <f>IF(Consultas!AM298="N",-10,0)</f>
        <v>0</v>
      </c>
      <c r="AO298" s="82">
        <f>IF(Consultas!AN298="S",4,-2)</f>
        <v>-2</v>
      </c>
      <c r="AP298" s="39"/>
      <c r="AQ298" s="165" t="str">
        <f>IF(Consultas!F298&gt;1,(SUM(F298:AO298)),"N/A")</f>
        <v>N/A</v>
      </c>
      <c r="AR298" s="78">
        <f>IF((Consultas!AD298&gt;'Parâmetros'!$A$31),"X",AJ298+Y298+V298+AC298)</f>
        <v>-9</v>
      </c>
      <c r="AS298" s="78">
        <f>IF((Consultas!AD298&gt;'Parâmetros'!$A$31),"X",(H298+I298+J298+Q298+T298+Y298+Z298+AJ298+AN298))</f>
        <v>-23</v>
      </c>
      <c r="AT298" s="78" t="str">
        <f>IF((Consultas!AD298&lt;'Parâmetros'!$A$31),"X",(AD298+AC298+AB298))</f>
        <v>X</v>
      </c>
      <c r="AU298" s="78">
        <f t="shared" si="1"/>
        <v>-23</v>
      </c>
      <c r="AV298" s="82" t="str">
        <f>IF(AQ298="N/A","N/A",IF(AQ298&gt;5,'Parâmetros'!$A$15,(IF(AU298=AR298,'Parâmetros'!$A$17,IF(AU298=AS298,'Parâmetros'!$A$16,'Parâmetros'!$A$14)))))</f>
        <v>N/A</v>
      </c>
      <c r="AW298" s="86" t="str">
        <f>IF(AQ298="N/A","N/A",IF(AV298='Parâmetros'!$A$15,'Parâmetros'!$C$15,(IF(AV298='Parâmetros'!$A$17,'Parâmetros'!$C$17,IF(AV298='Parâmetros'!$A$16,'Parâmetros'!$C$16,IF(AV298='Parâmetros'!$A$14,'Parâmetros'!$C$12))))))</f>
        <v>N/A</v>
      </c>
      <c r="AX298" s="82" t="b">
        <f>IF(Consultas!F298&gt;1,(IF(Consultas!F298&gt;5000,"SOLICITAR PED COMPRA","N/A")))</f>
        <v>0</v>
      </c>
      <c r="AY298" s="167" t="str">
        <f>IF(AND(Consultas!M298&lt;&gt;"S", Consultas!H298="S"), "CHECAGEM REVERSA", "N/A")</f>
        <v>N/A</v>
      </c>
      <c r="AZ298" s="167" t="str">
        <f>IF(Consultas!U298="N","PRECISA CORRIGIR END DIVERGENTE","N/A")</f>
        <v>N/A</v>
      </c>
    </row>
    <row r="299" ht="12.0" customHeight="1">
      <c r="A299" s="39" t="s">
        <v>90</v>
      </c>
      <c r="B299" s="82" t="str">
        <f>Consultas!B299</f>
        <v/>
      </c>
      <c r="C299" s="82" t="str">
        <f>Consultas!D299</f>
        <v/>
      </c>
      <c r="D299" s="96" t="str">
        <f>Consultas!E299</f>
        <v/>
      </c>
      <c r="E299" s="104" t="str">
        <f>IF(Consultas!AB299&gt;0,YEAR('Parâmetros'!$B$1)-YEAR(Consultas!AB299),"NA")</f>
        <v>NA</v>
      </c>
      <c r="F299" s="82">
        <f>IF(Consultas!F299&gt;'Parâmetros'!$B$2,-8,0)</f>
        <v>0</v>
      </c>
      <c r="G299" s="82">
        <f>IF(Consultas!H299='Parâmetros'!$E$1,100,0)</f>
        <v>0</v>
      </c>
      <c r="H299" s="82">
        <f>IF(Consultas!I299='Parâmetros'!$E$1,-4,12)</f>
        <v>12</v>
      </c>
      <c r="I299" s="82">
        <f>IF(Consultas!J299='Parâmetros'!$E$1,1,-13)</f>
        <v>-13</v>
      </c>
      <c r="J299" s="82">
        <f>IF(Consultas!K299='Parâmetros'!$E$1,2,-5)</f>
        <v>-5</v>
      </c>
      <c r="K299" s="82" t="str">
        <f>IF(Consultas!L299='Parâmetros'!$D$1,"SOLIC CONTRATO DE ENTREGA","N/A")</f>
        <v>N/A</v>
      </c>
      <c r="L299" s="82">
        <f>IF(Consultas!R299='Parâmetros'!$E$1,1,-3)</f>
        <v>-3</v>
      </c>
      <c r="M299" s="82" t="b">
        <f>IF(Consultas!S299&gt;1,(IF(Consultas!S299='Parâmetros'!$E$1,-3,9)))</f>
        <v>0</v>
      </c>
      <c r="N299" s="82">
        <f>IF(Consultas!T299="S",23,0)</f>
        <v>0</v>
      </c>
      <c r="O299" s="82">
        <f>IF(Consultas!U299='Parâmetros'!$E$1,-3,3)</f>
        <v>3</v>
      </c>
      <c r="P299" s="82">
        <f>IF(Consultas!V299='Parâmetros'!$E$1,-100,2)</f>
        <v>2</v>
      </c>
      <c r="Q299" s="82">
        <f>IF(Consultas!M299='Parâmetros'!$D$1,2,-9)</f>
        <v>-9</v>
      </c>
      <c r="R299" s="82">
        <f>IF(Consultas!N299="RJ",-12,0)</f>
        <v>0</v>
      </c>
      <c r="S299" s="82">
        <f>IF(Consultas!O299="-",-3,IF(Consultas!O299=0,-6,IF(Consultas!O299=5,0,IF(Consultas!O299=10,6))))</f>
        <v>-6</v>
      </c>
      <c r="T299" s="82">
        <f>IF(Consultas!M299="S",0,(IF(Consultas!P299="S",6,0)))</f>
        <v>0</v>
      </c>
      <c r="U299" s="82">
        <f>IF(Consultas!Q299&gt;97,9,IF(Consultas!Q299&gt;75,0,-7))</f>
        <v>-7</v>
      </c>
      <c r="V299" s="82">
        <f>IF(Consultas!W299='Parâmetros'!$E$1,1,-5)</f>
        <v>-5</v>
      </c>
      <c r="W299" s="82">
        <f>IF(Consultas!X299="S",3,-3)</f>
        <v>-3</v>
      </c>
      <c r="X299" s="82">
        <f>IF(Consultas!Y299="S",0,-7)</f>
        <v>-7</v>
      </c>
      <c r="Y299" s="82">
        <f>IF(Consultas!Z299='Parâmetros'!$E$1,2,-8)</f>
        <v>-8</v>
      </c>
      <c r="Z299" s="82">
        <f>IF(Consultas!AA299='Parâmetros'!$E$1,-15,1)</f>
        <v>1</v>
      </c>
      <c r="AA299" s="147" t="s">
        <v>140</v>
      </c>
      <c r="AB299" s="82" t="str">
        <f>IF(E299="NA","NA",IF(E299&gt;'Parâmetros'!$A$9,8,IF(E299&gt;'Parâmetros'!$A$8,4,IF(E299&gt;'Parâmetros'!$A$7,0,-6))))</f>
        <v>NA</v>
      </c>
      <c r="AC299" s="82">
        <f>IF(Consultas!AC299='Parâmetros'!$E$1,0,5)</f>
        <v>5</v>
      </c>
      <c r="AD299" s="82">
        <f>IF(Consultas!AH299='Parâmetros'!$D$1,-10,5)</f>
        <v>5</v>
      </c>
      <c r="AE299" s="82">
        <f>IF(Consultas!AI299&gt;(Consultas!F299*2),-10,0)</f>
        <v>0</v>
      </c>
      <c r="AF299" s="82" t="b">
        <f>IF(Consultas!AD299&gt;1,(IF(Consultas!AI299&gt;(Consultas!AD299),-20,4)))</f>
        <v>0</v>
      </c>
      <c r="AG299" s="82">
        <f>IF(Consultas!AG299='Parâmetros'!$E$1,0,-6)</f>
        <v>-6</v>
      </c>
      <c r="AH299" s="82">
        <f>IF(Consultas!AF299='Parâmetros'!$E$1,1,-5)</f>
        <v>-5</v>
      </c>
      <c r="AI299" s="82">
        <f>IF(Consultas!AJ299&gt;700,8,IF(Consultas!AJ299&gt;500,4,IF(Consultas!AJ299&gt;200,-4,IF(Consultas!AJ299&gt;1,-15,-20))))</f>
        <v>-20</v>
      </c>
      <c r="AJ299" s="82">
        <f>IF(Consultas!AD299='Parâmetros'!$E$10,0,IF(Consultas!AD299&gt;'Parâmetros'!$A$30,12,IF(Consultas!AD299&gt;'Parâmetros'!$A$31,6,IF(Consultas!AD299&gt;'Parâmetros'!$A$32,0,IF(Consultas!AD299&gt;'Parâmetros'!$A$33,0,IF(Consultas!AD299&gt;'Parâmetros'!$A$34,-3,IF(Consultas!AD299&gt;'Parâmetros'!$A$35,-7,-1)))))))</f>
        <v>-1</v>
      </c>
      <c r="AK299" s="82">
        <f>IF(Consultas!AO299='Parâmetros'!$D$1,3,-3)</f>
        <v>-3</v>
      </c>
      <c r="AL299" s="82">
        <f>IF(Consultas!AP299='Parâmetros'!$D$1,5,-3)</f>
        <v>-3</v>
      </c>
      <c r="AM299" s="82">
        <f>IF(Consultas!AL299="N",-6,0)</f>
        <v>0</v>
      </c>
      <c r="AN299" s="82">
        <f>IF(Consultas!AM299="N",-10,0)</f>
        <v>0</v>
      </c>
      <c r="AO299" s="82">
        <f>IF(Consultas!AN299="S",4,-2)</f>
        <v>-2</v>
      </c>
      <c r="AP299" s="39"/>
      <c r="AQ299" s="165" t="str">
        <f>IF(Consultas!F299&gt;1,(SUM(F299:AO299)),"N/A")</f>
        <v>N/A</v>
      </c>
      <c r="AR299" s="78">
        <f>IF((Consultas!AD299&gt;'Parâmetros'!$A$31),"X",AJ299+Y299+V299+AC299)</f>
        <v>-9</v>
      </c>
      <c r="AS299" s="78">
        <f>IF((Consultas!AD299&gt;'Parâmetros'!$A$31),"X",(H299+I299+J299+Q299+T299+Y299+Z299+AJ299+AN299))</f>
        <v>-23</v>
      </c>
      <c r="AT299" s="78" t="str">
        <f>IF((Consultas!AD299&lt;'Parâmetros'!$A$31),"X",(AD299+AC299+AB299))</f>
        <v>X</v>
      </c>
      <c r="AU299" s="78">
        <f t="shared" si="1"/>
        <v>-23</v>
      </c>
      <c r="AV299" s="82" t="str">
        <f>IF(AQ299="N/A","N/A",IF(AQ299&gt;5,'Parâmetros'!$A$15,(IF(AU299=AR299,'Parâmetros'!$A$17,IF(AU299=AS299,'Parâmetros'!$A$16,'Parâmetros'!$A$14)))))</f>
        <v>N/A</v>
      </c>
      <c r="AW299" s="86" t="str">
        <f>IF(AQ299="N/A","N/A",IF(AV299='Parâmetros'!$A$15,'Parâmetros'!$C$15,(IF(AV299='Parâmetros'!$A$17,'Parâmetros'!$C$17,IF(AV299='Parâmetros'!$A$16,'Parâmetros'!$C$16,IF(AV299='Parâmetros'!$A$14,'Parâmetros'!$C$12))))))</f>
        <v>N/A</v>
      </c>
      <c r="AX299" s="82" t="b">
        <f>IF(Consultas!F299&gt;1,(IF(Consultas!F299&gt;5000,"SOLICITAR PED COMPRA","N/A")))</f>
        <v>0</v>
      </c>
      <c r="AY299" s="167" t="str">
        <f>IF(AND(Consultas!M299&lt;&gt;"S", Consultas!H299="S"), "CHECAGEM REVERSA", "N/A")</f>
        <v>N/A</v>
      </c>
      <c r="AZ299" s="167" t="str">
        <f>IF(Consultas!U299="N","PRECISA CORRIGIR END DIVERGENTE","N/A")</f>
        <v>N/A</v>
      </c>
    </row>
    <row r="300" ht="12.0" customHeight="1">
      <c r="A300" s="39" t="s">
        <v>90</v>
      </c>
      <c r="B300" s="82" t="str">
        <f>Consultas!B300</f>
        <v/>
      </c>
      <c r="C300" s="82" t="str">
        <f>Consultas!D300</f>
        <v/>
      </c>
      <c r="D300" s="96" t="str">
        <f>Consultas!E300</f>
        <v/>
      </c>
      <c r="E300" s="104" t="str">
        <f>IF(Consultas!AB300&gt;0,YEAR('Parâmetros'!$B$1)-YEAR(Consultas!AB300),"NA")</f>
        <v>NA</v>
      </c>
      <c r="F300" s="82">
        <f>IF(Consultas!F300&gt;'Parâmetros'!$B$2,-8,0)</f>
        <v>0</v>
      </c>
      <c r="G300" s="82">
        <f>IF(Consultas!H300='Parâmetros'!$E$1,100,0)</f>
        <v>0</v>
      </c>
      <c r="H300" s="82">
        <f>IF(Consultas!I300='Parâmetros'!$E$1,-4,12)</f>
        <v>12</v>
      </c>
      <c r="I300" s="82">
        <f>IF(Consultas!J300='Parâmetros'!$E$1,1,-13)</f>
        <v>-13</v>
      </c>
      <c r="J300" s="82">
        <f>IF(Consultas!K300='Parâmetros'!$E$1,2,-5)</f>
        <v>-5</v>
      </c>
      <c r="K300" s="82" t="str">
        <f>IF(Consultas!L300='Parâmetros'!$D$1,"SOLIC CONTRATO DE ENTREGA","N/A")</f>
        <v>N/A</v>
      </c>
      <c r="L300" s="82">
        <f>IF(Consultas!R300='Parâmetros'!$E$1,1,-3)</f>
        <v>-3</v>
      </c>
      <c r="M300" s="82" t="b">
        <f>IF(Consultas!S300&gt;1,(IF(Consultas!S300='Parâmetros'!$E$1,-3,9)))</f>
        <v>0</v>
      </c>
      <c r="N300" s="82">
        <f>IF(Consultas!T300="S",23,0)</f>
        <v>0</v>
      </c>
      <c r="O300" s="82">
        <f>IF(Consultas!U300='Parâmetros'!$E$1,-3,3)</f>
        <v>3</v>
      </c>
      <c r="P300" s="82">
        <f>IF(Consultas!V300='Parâmetros'!$E$1,-100,2)</f>
        <v>2</v>
      </c>
      <c r="Q300" s="82">
        <f>IF(Consultas!M300='Parâmetros'!$D$1,2,-9)</f>
        <v>-9</v>
      </c>
      <c r="R300" s="82">
        <f>IF(Consultas!N300="RJ",-12,0)</f>
        <v>0</v>
      </c>
      <c r="S300" s="82">
        <f>IF(Consultas!O300="-",-3,IF(Consultas!O300=0,-6,IF(Consultas!O300=5,0,IF(Consultas!O300=10,6))))</f>
        <v>-6</v>
      </c>
      <c r="T300" s="82">
        <f>IF(Consultas!M300="S",0,(IF(Consultas!P300="S",6,0)))</f>
        <v>0</v>
      </c>
      <c r="U300" s="82">
        <f>IF(Consultas!Q300&gt;97,9,IF(Consultas!Q300&gt;75,0,-7))</f>
        <v>-7</v>
      </c>
      <c r="V300" s="82">
        <f>IF(Consultas!W300='Parâmetros'!$E$1,1,-5)</f>
        <v>-5</v>
      </c>
      <c r="W300" s="82">
        <f>IF(Consultas!X300="S",3,-3)</f>
        <v>-3</v>
      </c>
      <c r="X300" s="82">
        <f>IF(Consultas!Y300="S",0,-7)</f>
        <v>-7</v>
      </c>
      <c r="Y300" s="82">
        <f>IF(Consultas!Z300='Parâmetros'!$E$1,2,-8)</f>
        <v>-8</v>
      </c>
      <c r="Z300" s="82">
        <f>IF(Consultas!AA300='Parâmetros'!$E$1,-15,1)</f>
        <v>1</v>
      </c>
      <c r="AA300" s="147" t="s">
        <v>140</v>
      </c>
      <c r="AB300" s="82" t="str">
        <f>IF(E300="NA","NA",IF(E300&gt;'Parâmetros'!$A$9,8,IF(E300&gt;'Parâmetros'!$A$8,4,IF(E300&gt;'Parâmetros'!$A$7,0,-6))))</f>
        <v>NA</v>
      </c>
      <c r="AC300" s="82">
        <f>IF(Consultas!AC300='Parâmetros'!$E$1,0,5)</f>
        <v>5</v>
      </c>
      <c r="AD300" s="82">
        <f>IF(Consultas!AH300='Parâmetros'!$D$1,-10,5)</f>
        <v>5</v>
      </c>
      <c r="AE300" s="82">
        <f>IF(Consultas!AI300&gt;(Consultas!F300*2),-10,0)</f>
        <v>0</v>
      </c>
      <c r="AF300" s="82" t="b">
        <f>IF(Consultas!AD300&gt;1,(IF(Consultas!AI300&gt;(Consultas!AD300),-20,4)))</f>
        <v>0</v>
      </c>
      <c r="AG300" s="82">
        <f>IF(Consultas!AG300='Parâmetros'!$E$1,0,-6)</f>
        <v>-6</v>
      </c>
      <c r="AH300" s="82">
        <f>IF(Consultas!AF300='Parâmetros'!$E$1,1,-5)</f>
        <v>-5</v>
      </c>
      <c r="AI300" s="82">
        <f>IF(Consultas!AJ300&gt;700,8,IF(Consultas!AJ300&gt;500,4,IF(Consultas!AJ300&gt;200,-4,IF(Consultas!AJ300&gt;1,-15,-20))))</f>
        <v>-20</v>
      </c>
      <c r="AJ300" s="82">
        <f>IF(Consultas!AD300='Parâmetros'!$E$10,0,IF(Consultas!AD300&gt;'Parâmetros'!$A$30,12,IF(Consultas!AD300&gt;'Parâmetros'!$A$31,6,IF(Consultas!AD300&gt;'Parâmetros'!$A$32,0,IF(Consultas!AD300&gt;'Parâmetros'!$A$33,0,IF(Consultas!AD300&gt;'Parâmetros'!$A$34,-3,IF(Consultas!AD300&gt;'Parâmetros'!$A$35,-7,-1)))))))</f>
        <v>-1</v>
      </c>
      <c r="AK300" s="82">
        <f>IF(Consultas!AO300='Parâmetros'!$D$1,3,-3)</f>
        <v>-3</v>
      </c>
      <c r="AL300" s="82">
        <f>IF(Consultas!AP300='Parâmetros'!$D$1,5,-3)</f>
        <v>-3</v>
      </c>
      <c r="AM300" s="82">
        <f>IF(Consultas!AL300="N",-6,0)</f>
        <v>0</v>
      </c>
      <c r="AN300" s="82">
        <f>IF(Consultas!AM300="N",-10,0)</f>
        <v>0</v>
      </c>
      <c r="AO300" s="82">
        <f>IF(Consultas!AN300="S",4,-2)</f>
        <v>-2</v>
      </c>
      <c r="AP300" s="39"/>
      <c r="AQ300" s="165" t="str">
        <f>IF(Consultas!F300&gt;1,(SUM(F300:AO300)),"N/A")</f>
        <v>N/A</v>
      </c>
      <c r="AR300" s="78">
        <f>IF((Consultas!AD300&gt;'Parâmetros'!$A$31),"X",AJ300+Y300+V300+AC300)</f>
        <v>-9</v>
      </c>
      <c r="AS300" s="78">
        <f>IF((Consultas!AD300&gt;'Parâmetros'!$A$31),"X",(H300+I300+J300+Q300+T300+Y300+Z300+AJ300+AN300))</f>
        <v>-23</v>
      </c>
      <c r="AT300" s="78" t="str">
        <f>IF((Consultas!AD300&lt;'Parâmetros'!$A$31),"X",(AD300+AC300+AB300))</f>
        <v>X</v>
      </c>
      <c r="AU300" s="78">
        <f t="shared" si="1"/>
        <v>-23</v>
      </c>
      <c r="AV300" s="82" t="str">
        <f>IF(AQ300="N/A","N/A",IF(AQ300&gt;5,'Parâmetros'!$A$15,(IF(AU300=AR300,'Parâmetros'!$A$17,IF(AU300=AS300,'Parâmetros'!$A$16,'Parâmetros'!$A$14)))))</f>
        <v>N/A</v>
      </c>
      <c r="AW300" s="86" t="str">
        <f>IF(AQ300="N/A","N/A",IF(AV300='Parâmetros'!$A$15,'Parâmetros'!$C$15,(IF(AV300='Parâmetros'!$A$17,'Parâmetros'!$C$17,IF(AV300='Parâmetros'!$A$16,'Parâmetros'!$C$16,IF(AV300='Parâmetros'!$A$14,'Parâmetros'!$C$12))))))</f>
        <v>N/A</v>
      </c>
      <c r="AX300" s="82" t="b">
        <f>IF(Consultas!F300&gt;1,(IF(Consultas!F300&gt;5000,"SOLICITAR PED COMPRA","N/A")))</f>
        <v>0</v>
      </c>
      <c r="AY300" s="167" t="str">
        <f>IF(AND(Consultas!M300&lt;&gt;"S", Consultas!H300="S"), "CHECAGEM REVERSA", "N/A")</f>
        <v>N/A</v>
      </c>
      <c r="AZ300" s="167" t="str">
        <f>IF(Consultas!U300="N","PRECISA CORRIGIR END DIVERGENTE","N/A")</f>
        <v>N/A</v>
      </c>
    </row>
    <row r="301" ht="12.0" customHeight="1">
      <c r="A301" s="39" t="s">
        <v>90</v>
      </c>
      <c r="B301" s="82" t="str">
        <f>Consultas!B301</f>
        <v/>
      </c>
      <c r="C301" s="82" t="str">
        <f>Consultas!D301</f>
        <v/>
      </c>
      <c r="D301" s="96" t="str">
        <f>Consultas!E301</f>
        <v/>
      </c>
      <c r="E301" s="104" t="str">
        <f>IF(Consultas!AB301&gt;0,YEAR('Parâmetros'!$B$1)-YEAR(Consultas!AB301),"NA")</f>
        <v>NA</v>
      </c>
      <c r="F301" s="82">
        <f>IF(Consultas!F301&gt;'Parâmetros'!$B$2,-8,0)</f>
        <v>0</v>
      </c>
      <c r="G301" s="82">
        <f>IF(Consultas!H301='Parâmetros'!$E$1,100,0)</f>
        <v>0</v>
      </c>
      <c r="H301" s="82">
        <f>IF(Consultas!I301='Parâmetros'!$E$1,-4,12)</f>
        <v>12</v>
      </c>
      <c r="I301" s="82">
        <f>IF(Consultas!J301='Parâmetros'!$E$1,1,-13)</f>
        <v>-13</v>
      </c>
      <c r="J301" s="82">
        <f>IF(Consultas!K301='Parâmetros'!$E$1,2,-5)</f>
        <v>-5</v>
      </c>
      <c r="K301" s="82" t="str">
        <f>IF(Consultas!L301='Parâmetros'!$D$1,"SOLIC CONTRATO DE ENTREGA","N/A")</f>
        <v>N/A</v>
      </c>
      <c r="L301" s="82">
        <f>IF(Consultas!R301='Parâmetros'!$E$1,1,-3)</f>
        <v>-3</v>
      </c>
      <c r="M301" s="82" t="b">
        <f>IF(Consultas!S301&gt;1,(IF(Consultas!S301='Parâmetros'!$E$1,-3,9)))</f>
        <v>0</v>
      </c>
      <c r="N301" s="82">
        <f>IF(Consultas!T301="S",23,0)</f>
        <v>0</v>
      </c>
      <c r="O301" s="82">
        <f>IF(Consultas!U301='Parâmetros'!$E$1,-3,3)</f>
        <v>3</v>
      </c>
      <c r="P301" s="82">
        <f>IF(Consultas!V301='Parâmetros'!$E$1,-100,2)</f>
        <v>2</v>
      </c>
      <c r="Q301" s="82">
        <f>IF(Consultas!M301='Parâmetros'!$D$1,2,-9)</f>
        <v>-9</v>
      </c>
      <c r="R301" s="82">
        <f>IF(Consultas!N301="RJ",-12,0)</f>
        <v>0</v>
      </c>
      <c r="S301" s="82">
        <f>IF(Consultas!O301="-",-3,IF(Consultas!O301=0,-6,IF(Consultas!O301=5,0,IF(Consultas!O301=10,6))))</f>
        <v>-6</v>
      </c>
      <c r="T301" s="82">
        <f>IF(Consultas!M301="S",0,(IF(Consultas!P301="S",6,0)))</f>
        <v>0</v>
      </c>
      <c r="U301" s="82">
        <f>IF(Consultas!Q301&gt;97,9,IF(Consultas!Q301&gt;75,0,-7))</f>
        <v>-7</v>
      </c>
      <c r="V301" s="82">
        <f>IF(Consultas!W301='Parâmetros'!$E$1,1,-5)</f>
        <v>-5</v>
      </c>
      <c r="W301" s="82">
        <f>IF(Consultas!X301="S",3,-3)</f>
        <v>-3</v>
      </c>
      <c r="X301" s="82">
        <f>IF(Consultas!Y301="S",0,-7)</f>
        <v>-7</v>
      </c>
      <c r="Y301" s="82">
        <f>IF(Consultas!Z301='Parâmetros'!$E$1,2,-8)</f>
        <v>-8</v>
      </c>
      <c r="Z301" s="82">
        <f>IF(Consultas!AA301='Parâmetros'!$E$1,-15,1)</f>
        <v>1</v>
      </c>
      <c r="AA301" s="147" t="s">
        <v>140</v>
      </c>
      <c r="AB301" s="82" t="str">
        <f>IF(E301="NA","NA",IF(E301&gt;'Parâmetros'!$A$9,8,IF(E301&gt;'Parâmetros'!$A$8,4,IF(E301&gt;'Parâmetros'!$A$7,0,-6))))</f>
        <v>NA</v>
      </c>
      <c r="AC301" s="82">
        <f>IF(Consultas!AC301='Parâmetros'!$E$1,0,5)</f>
        <v>5</v>
      </c>
      <c r="AD301" s="82">
        <f>IF(Consultas!AH301='Parâmetros'!$D$1,-10,5)</f>
        <v>5</v>
      </c>
      <c r="AE301" s="82">
        <f>IF(Consultas!AI301&gt;(Consultas!F301*2),-10,0)</f>
        <v>0</v>
      </c>
      <c r="AF301" s="82" t="b">
        <f>IF(Consultas!AD301&gt;1,(IF(Consultas!AI301&gt;(Consultas!AD301),-20,4)))</f>
        <v>0</v>
      </c>
      <c r="AG301" s="82">
        <f>IF(Consultas!AG301='Parâmetros'!$E$1,0,-6)</f>
        <v>-6</v>
      </c>
      <c r="AH301" s="82">
        <f>IF(Consultas!AF301='Parâmetros'!$E$1,1,-5)</f>
        <v>-5</v>
      </c>
      <c r="AI301" s="82">
        <f>IF(Consultas!AJ301&gt;700,8,IF(Consultas!AJ301&gt;500,4,IF(Consultas!AJ301&gt;200,-4,IF(Consultas!AJ301&gt;1,-15,-20))))</f>
        <v>-20</v>
      </c>
      <c r="AJ301" s="82">
        <f>IF(Consultas!AD301='Parâmetros'!$E$10,0,IF(Consultas!AD301&gt;'Parâmetros'!$A$30,12,IF(Consultas!AD301&gt;'Parâmetros'!$A$31,6,IF(Consultas!AD301&gt;'Parâmetros'!$A$32,0,IF(Consultas!AD301&gt;'Parâmetros'!$A$33,0,IF(Consultas!AD301&gt;'Parâmetros'!$A$34,-3,IF(Consultas!AD301&gt;'Parâmetros'!$A$35,-7,-1)))))))</f>
        <v>-1</v>
      </c>
      <c r="AK301" s="82">
        <f>IF(Consultas!AO301='Parâmetros'!$D$1,3,-3)</f>
        <v>-3</v>
      </c>
      <c r="AL301" s="82">
        <f>IF(Consultas!AP301='Parâmetros'!$D$1,5,-3)</f>
        <v>-3</v>
      </c>
      <c r="AM301" s="82">
        <f>IF(Consultas!AL301="N",-6,0)</f>
        <v>0</v>
      </c>
      <c r="AN301" s="82">
        <f>IF(Consultas!AM301="N",-10,0)</f>
        <v>0</v>
      </c>
      <c r="AO301" s="82">
        <f>IF(Consultas!AN301="S",4,-2)</f>
        <v>-2</v>
      </c>
      <c r="AP301" s="39"/>
      <c r="AQ301" s="165" t="str">
        <f>IF(Consultas!F301&gt;1,(SUM(F301:AO301)),"N/A")</f>
        <v>N/A</v>
      </c>
      <c r="AR301" s="78">
        <f>IF((Consultas!AD301&gt;'Parâmetros'!$A$31),"X",AJ301+Y301+V301+AC301)</f>
        <v>-9</v>
      </c>
      <c r="AS301" s="78">
        <f>IF((Consultas!AD301&gt;'Parâmetros'!$A$31),"X",(H301+I301+J301+Q301+T301+Y301+Z301+AJ301+AN301))</f>
        <v>-23</v>
      </c>
      <c r="AT301" s="78" t="str">
        <f>IF((Consultas!AD301&lt;'Parâmetros'!$A$31),"X",(AD301+AC301+AB301))</f>
        <v>X</v>
      </c>
      <c r="AU301" s="78">
        <f t="shared" si="1"/>
        <v>-23</v>
      </c>
      <c r="AV301" s="82" t="str">
        <f>IF(AQ301="N/A","N/A",IF(AQ301&gt;5,'Parâmetros'!$A$15,(IF(AU301=AR301,'Parâmetros'!$A$17,IF(AU301=AS301,'Parâmetros'!$A$16,'Parâmetros'!$A$14)))))</f>
        <v>N/A</v>
      </c>
      <c r="AW301" s="86" t="str">
        <f>IF(AQ301="N/A","N/A",IF(AV301='Parâmetros'!$A$15,'Parâmetros'!$C$15,(IF(AV301='Parâmetros'!$A$17,'Parâmetros'!$C$17,IF(AV301='Parâmetros'!$A$16,'Parâmetros'!$C$16,IF(AV301='Parâmetros'!$A$14,'Parâmetros'!$C$12))))))</f>
        <v>N/A</v>
      </c>
      <c r="AX301" s="82" t="b">
        <f>IF(Consultas!F301&gt;1,(IF(Consultas!F301&gt;5000,"SOLICITAR PED COMPRA","N/A")))</f>
        <v>0</v>
      </c>
      <c r="AY301" s="167" t="str">
        <f>IF(AND(Consultas!M301&lt;&gt;"S", Consultas!H301="S"), "CHECAGEM REVERSA", "N/A")</f>
        <v>N/A</v>
      </c>
      <c r="AZ301" s="167" t="str">
        <f>IF(Consultas!U301="N","PRECISA CORRIGIR END DIVERGENTE","N/A")</f>
        <v>N/A</v>
      </c>
    </row>
    <row r="302" ht="12.0" customHeight="1">
      <c r="A302" s="39" t="s">
        <v>90</v>
      </c>
      <c r="B302" s="82" t="str">
        <f>Consultas!B302</f>
        <v/>
      </c>
      <c r="C302" s="82" t="str">
        <f>Consultas!D302</f>
        <v/>
      </c>
      <c r="D302" s="96" t="str">
        <f>Consultas!E302</f>
        <v/>
      </c>
      <c r="E302" s="104" t="str">
        <f>IF(Consultas!AB302&gt;0,YEAR('Parâmetros'!$B$1)-YEAR(Consultas!AB302),"NA")</f>
        <v>NA</v>
      </c>
      <c r="F302" s="82">
        <f>IF(Consultas!F302&gt;'Parâmetros'!$B$2,-8,0)</f>
        <v>0</v>
      </c>
      <c r="G302" s="82">
        <f>IF(Consultas!H302='Parâmetros'!$E$1,100,0)</f>
        <v>0</v>
      </c>
      <c r="H302" s="82">
        <f>IF(Consultas!I302='Parâmetros'!$E$1,-4,12)</f>
        <v>12</v>
      </c>
      <c r="I302" s="82">
        <f>IF(Consultas!J302='Parâmetros'!$E$1,1,-13)</f>
        <v>-13</v>
      </c>
      <c r="J302" s="82">
        <f>IF(Consultas!K302='Parâmetros'!$E$1,2,-5)</f>
        <v>-5</v>
      </c>
      <c r="K302" s="82" t="str">
        <f>IF(Consultas!L302='Parâmetros'!$D$1,"SOLIC CONTRATO DE ENTREGA","N/A")</f>
        <v>N/A</v>
      </c>
      <c r="L302" s="82">
        <f>IF(Consultas!R302='Parâmetros'!$E$1,1,-3)</f>
        <v>-3</v>
      </c>
      <c r="M302" s="82" t="b">
        <f>IF(Consultas!S302&gt;1,(IF(Consultas!S302='Parâmetros'!$E$1,-3,9)))</f>
        <v>0</v>
      </c>
      <c r="N302" s="82">
        <f>IF(Consultas!T302="S",23,0)</f>
        <v>0</v>
      </c>
      <c r="O302" s="82">
        <f>IF(Consultas!U302='Parâmetros'!$E$1,-3,3)</f>
        <v>3</v>
      </c>
      <c r="P302" s="82">
        <f>IF(Consultas!V302='Parâmetros'!$E$1,-100,2)</f>
        <v>2</v>
      </c>
      <c r="Q302" s="82">
        <f>IF(Consultas!M302='Parâmetros'!$D$1,2,-9)</f>
        <v>-9</v>
      </c>
      <c r="R302" s="82">
        <f>IF(Consultas!N302="RJ",-12,0)</f>
        <v>0</v>
      </c>
      <c r="S302" s="82">
        <f>IF(Consultas!O302="-",-3,IF(Consultas!O302=0,-6,IF(Consultas!O302=5,0,IF(Consultas!O302=10,6))))</f>
        <v>-6</v>
      </c>
      <c r="T302" s="82">
        <f>IF(Consultas!M302="S",0,(IF(Consultas!P302="S",6,0)))</f>
        <v>0</v>
      </c>
      <c r="U302" s="82">
        <f>IF(Consultas!Q302&gt;97,9,IF(Consultas!Q302&gt;75,0,-7))</f>
        <v>-7</v>
      </c>
      <c r="V302" s="82">
        <f>IF(Consultas!W302='Parâmetros'!$E$1,1,-5)</f>
        <v>-5</v>
      </c>
      <c r="W302" s="82">
        <f>IF(Consultas!X302="S",3,-3)</f>
        <v>-3</v>
      </c>
      <c r="X302" s="82">
        <f>IF(Consultas!Y302="S",0,-7)</f>
        <v>-7</v>
      </c>
      <c r="Y302" s="82">
        <f>IF(Consultas!Z302='Parâmetros'!$E$1,2,-8)</f>
        <v>-8</v>
      </c>
      <c r="Z302" s="82">
        <f>IF(Consultas!AA302='Parâmetros'!$E$1,-15,1)</f>
        <v>1</v>
      </c>
      <c r="AA302" s="147" t="s">
        <v>140</v>
      </c>
      <c r="AB302" s="82" t="str">
        <f>IF(E302="NA","NA",IF(E302&gt;'Parâmetros'!$A$9,8,IF(E302&gt;'Parâmetros'!$A$8,4,IF(E302&gt;'Parâmetros'!$A$7,0,-6))))</f>
        <v>NA</v>
      </c>
      <c r="AC302" s="82">
        <f>IF(Consultas!AC302='Parâmetros'!$E$1,0,5)</f>
        <v>5</v>
      </c>
      <c r="AD302" s="82">
        <f>IF(Consultas!AH302='Parâmetros'!$D$1,-10,5)</f>
        <v>5</v>
      </c>
      <c r="AE302" s="82">
        <f>IF(Consultas!AI302&gt;(Consultas!F302*2),-10,0)</f>
        <v>0</v>
      </c>
      <c r="AF302" s="82" t="b">
        <f>IF(Consultas!AD302&gt;1,(IF(Consultas!AI302&gt;(Consultas!AD302),-20,4)))</f>
        <v>0</v>
      </c>
      <c r="AG302" s="82">
        <f>IF(Consultas!AG302='Parâmetros'!$E$1,0,-6)</f>
        <v>-6</v>
      </c>
      <c r="AH302" s="82">
        <f>IF(Consultas!AF302='Parâmetros'!$E$1,1,-5)</f>
        <v>-5</v>
      </c>
      <c r="AI302" s="82">
        <f>IF(Consultas!AJ302&gt;700,8,IF(Consultas!AJ302&gt;500,4,IF(Consultas!AJ302&gt;200,-4,IF(Consultas!AJ302&gt;1,-15,-20))))</f>
        <v>-20</v>
      </c>
      <c r="AJ302" s="82">
        <f>IF(Consultas!AD302='Parâmetros'!$E$10,0,IF(Consultas!AD302&gt;'Parâmetros'!$A$30,12,IF(Consultas!AD302&gt;'Parâmetros'!$A$31,6,IF(Consultas!AD302&gt;'Parâmetros'!$A$32,0,IF(Consultas!AD302&gt;'Parâmetros'!$A$33,0,IF(Consultas!AD302&gt;'Parâmetros'!$A$34,-3,IF(Consultas!AD302&gt;'Parâmetros'!$A$35,-7,-1)))))))</f>
        <v>-1</v>
      </c>
      <c r="AK302" s="82">
        <f>IF(Consultas!AO302='Parâmetros'!$D$1,3,-3)</f>
        <v>-3</v>
      </c>
      <c r="AL302" s="82">
        <f>IF(Consultas!AP302='Parâmetros'!$D$1,5,-3)</f>
        <v>-3</v>
      </c>
      <c r="AM302" s="82">
        <f>IF(Consultas!AL302="N",-6,0)</f>
        <v>0</v>
      </c>
      <c r="AN302" s="82">
        <f>IF(Consultas!AM302="N",-10,0)</f>
        <v>0</v>
      </c>
      <c r="AO302" s="82">
        <f>IF(Consultas!AN302="S",4,-2)</f>
        <v>-2</v>
      </c>
      <c r="AP302" s="39"/>
      <c r="AQ302" s="165" t="str">
        <f>IF(Consultas!F302&gt;1,(SUM(F302:AO302)),"N/A")</f>
        <v>N/A</v>
      </c>
      <c r="AR302" s="78">
        <f>IF((Consultas!AD302&gt;'Parâmetros'!$A$31),"X",AJ302+Y302+V302+AC302)</f>
        <v>-9</v>
      </c>
      <c r="AS302" s="78">
        <f>IF((Consultas!AD302&gt;'Parâmetros'!$A$31),"X",(H302+I302+J302+Q302+T302+Y302+Z302+AJ302+AN302))</f>
        <v>-23</v>
      </c>
      <c r="AT302" s="78" t="str">
        <f>IF((Consultas!AD302&lt;'Parâmetros'!$A$31),"X",(AD302+AC302+AB302))</f>
        <v>X</v>
      </c>
      <c r="AU302" s="78">
        <f t="shared" si="1"/>
        <v>-23</v>
      </c>
      <c r="AV302" s="82" t="str">
        <f>IF(AQ302="N/A","N/A",IF(AQ302&gt;5,'Parâmetros'!$A$15,(IF(AU302=AR302,'Parâmetros'!$A$17,IF(AU302=AS302,'Parâmetros'!$A$16,'Parâmetros'!$A$14)))))</f>
        <v>N/A</v>
      </c>
      <c r="AW302" s="86" t="str">
        <f>IF(AQ302="N/A","N/A",IF(AV302='Parâmetros'!$A$15,'Parâmetros'!$C$15,(IF(AV302='Parâmetros'!$A$17,'Parâmetros'!$C$17,IF(AV302='Parâmetros'!$A$16,'Parâmetros'!$C$16,IF(AV302='Parâmetros'!$A$14,'Parâmetros'!$C$12))))))</f>
        <v>N/A</v>
      </c>
      <c r="AX302" s="82" t="b">
        <f>IF(Consultas!F302&gt;1,(IF(Consultas!F302&gt;5000,"SOLICITAR PED COMPRA","N/A")))</f>
        <v>0</v>
      </c>
      <c r="AY302" s="167" t="str">
        <f>IF(AND(Consultas!M302&lt;&gt;"S", Consultas!H302="S"), "CHECAGEM REVERSA", "N/A")</f>
        <v>N/A</v>
      </c>
      <c r="AZ302" s="167" t="str">
        <f>IF(Consultas!U302="N","PRECISA CORRIGIR END DIVERGENTE","N/A")</f>
        <v>N/A</v>
      </c>
    </row>
    <row r="303" ht="12.0" customHeight="1">
      <c r="A303" s="39" t="s">
        <v>90</v>
      </c>
      <c r="B303" s="82" t="str">
        <f>Consultas!B303</f>
        <v/>
      </c>
      <c r="C303" s="82" t="str">
        <f>Consultas!D303</f>
        <v/>
      </c>
      <c r="D303" s="96" t="str">
        <f>Consultas!E303</f>
        <v/>
      </c>
      <c r="E303" s="104" t="str">
        <f>IF(Consultas!AB303&gt;0,YEAR('Parâmetros'!$B$1)-YEAR(Consultas!AB303),"NA")</f>
        <v>NA</v>
      </c>
      <c r="F303" s="82">
        <f>IF(Consultas!F303&gt;'Parâmetros'!$B$2,-8,0)</f>
        <v>0</v>
      </c>
      <c r="G303" s="82">
        <f>IF(Consultas!H303='Parâmetros'!$E$1,100,0)</f>
        <v>0</v>
      </c>
      <c r="H303" s="82">
        <f>IF(Consultas!I303='Parâmetros'!$E$1,-4,12)</f>
        <v>12</v>
      </c>
      <c r="I303" s="82">
        <f>IF(Consultas!J303='Parâmetros'!$E$1,1,-13)</f>
        <v>-13</v>
      </c>
      <c r="J303" s="82">
        <f>IF(Consultas!K303='Parâmetros'!$E$1,2,-5)</f>
        <v>-5</v>
      </c>
      <c r="K303" s="82" t="str">
        <f>IF(Consultas!L303='Parâmetros'!$D$1,"SOLIC CONTRATO DE ENTREGA","N/A")</f>
        <v>N/A</v>
      </c>
      <c r="L303" s="82">
        <f>IF(Consultas!R303='Parâmetros'!$E$1,1,-3)</f>
        <v>-3</v>
      </c>
      <c r="M303" s="82" t="b">
        <f>IF(Consultas!S303&gt;1,(IF(Consultas!S303='Parâmetros'!$E$1,-3,9)))</f>
        <v>0</v>
      </c>
      <c r="N303" s="82">
        <f>IF(Consultas!T303="S",23,0)</f>
        <v>0</v>
      </c>
      <c r="O303" s="82">
        <f>IF(Consultas!U303='Parâmetros'!$E$1,-3,3)</f>
        <v>3</v>
      </c>
      <c r="P303" s="82">
        <f>IF(Consultas!V303='Parâmetros'!$E$1,-100,2)</f>
        <v>2</v>
      </c>
      <c r="Q303" s="82">
        <f>IF(Consultas!M303='Parâmetros'!$D$1,2,-9)</f>
        <v>-9</v>
      </c>
      <c r="R303" s="82">
        <f>IF(Consultas!N303="RJ",-12,0)</f>
        <v>0</v>
      </c>
      <c r="S303" s="82">
        <f>IF(Consultas!O303="-",-3,IF(Consultas!O303=0,-6,IF(Consultas!O303=5,0,IF(Consultas!O303=10,6))))</f>
        <v>-6</v>
      </c>
      <c r="T303" s="82">
        <f>IF(Consultas!M303="S",0,(IF(Consultas!P303="S",6,0)))</f>
        <v>0</v>
      </c>
      <c r="U303" s="82">
        <f>IF(Consultas!Q303&gt;97,9,IF(Consultas!Q303&gt;75,0,-7))</f>
        <v>-7</v>
      </c>
      <c r="V303" s="82">
        <f>IF(Consultas!W303='Parâmetros'!$E$1,1,-5)</f>
        <v>-5</v>
      </c>
      <c r="W303" s="82">
        <f>IF(Consultas!X303="S",3,-3)</f>
        <v>-3</v>
      </c>
      <c r="X303" s="82">
        <f>IF(Consultas!Y303="S",0,-7)</f>
        <v>-7</v>
      </c>
      <c r="Y303" s="82">
        <f>IF(Consultas!Z303='Parâmetros'!$E$1,2,-8)</f>
        <v>-8</v>
      </c>
      <c r="Z303" s="82">
        <f>IF(Consultas!AA303='Parâmetros'!$E$1,-15,1)</f>
        <v>1</v>
      </c>
      <c r="AA303" s="147" t="s">
        <v>140</v>
      </c>
      <c r="AB303" s="82" t="str">
        <f>IF(E303="NA","NA",IF(E303&gt;'Parâmetros'!$A$9,8,IF(E303&gt;'Parâmetros'!$A$8,4,IF(E303&gt;'Parâmetros'!$A$7,0,-6))))</f>
        <v>NA</v>
      </c>
      <c r="AC303" s="82">
        <f>IF(Consultas!AC303='Parâmetros'!$E$1,0,5)</f>
        <v>5</v>
      </c>
      <c r="AD303" s="82">
        <f>IF(Consultas!AH303='Parâmetros'!$D$1,-10,5)</f>
        <v>5</v>
      </c>
      <c r="AE303" s="82">
        <f>IF(Consultas!AI303&gt;(Consultas!F303*2),-10,0)</f>
        <v>0</v>
      </c>
      <c r="AF303" s="82" t="b">
        <f>IF(Consultas!AD303&gt;1,(IF(Consultas!AI303&gt;(Consultas!AD303),-20,4)))</f>
        <v>0</v>
      </c>
      <c r="AG303" s="82">
        <f>IF(Consultas!AG303='Parâmetros'!$E$1,0,-6)</f>
        <v>-6</v>
      </c>
      <c r="AH303" s="82">
        <f>IF(Consultas!AF303='Parâmetros'!$E$1,1,-5)</f>
        <v>-5</v>
      </c>
      <c r="AI303" s="82">
        <f>IF(Consultas!AJ303&gt;700,8,IF(Consultas!AJ303&gt;500,4,IF(Consultas!AJ303&gt;200,-4,IF(Consultas!AJ303&gt;1,-15,-20))))</f>
        <v>-20</v>
      </c>
      <c r="AJ303" s="82">
        <f>IF(Consultas!AD303='Parâmetros'!$E$10,0,IF(Consultas!AD303&gt;'Parâmetros'!$A$30,12,IF(Consultas!AD303&gt;'Parâmetros'!$A$31,6,IF(Consultas!AD303&gt;'Parâmetros'!$A$32,0,IF(Consultas!AD303&gt;'Parâmetros'!$A$33,0,IF(Consultas!AD303&gt;'Parâmetros'!$A$34,-3,IF(Consultas!AD303&gt;'Parâmetros'!$A$35,-7,-1)))))))</f>
        <v>-1</v>
      </c>
      <c r="AK303" s="82">
        <f>IF(Consultas!AO303='Parâmetros'!$D$1,3,-3)</f>
        <v>-3</v>
      </c>
      <c r="AL303" s="82">
        <f>IF(Consultas!AP303='Parâmetros'!$D$1,5,-3)</f>
        <v>-3</v>
      </c>
      <c r="AM303" s="82">
        <f>IF(Consultas!AL303="N",-6,0)</f>
        <v>0</v>
      </c>
      <c r="AN303" s="82">
        <f>IF(Consultas!AM303="N",-10,0)</f>
        <v>0</v>
      </c>
      <c r="AO303" s="82">
        <f>IF(Consultas!AN303="S",4,-2)</f>
        <v>-2</v>
      </c>
      <c r="AP303" s="39"/>
      <c r="AQ303" s="165" t="str">
        <f>IF(Consultas!F303&gt;1,(SUM(F303:AO303)),"N/A")</f>
        <v>N/A</v>
      </c>
      <c r="AR303" s="78">
        <f>IF((Consultas!AD303&gt;'Parâmetros'!$A$31),"X",AJ303+Y303+V303+AC303)</f>
        <v>-9</v>
      </c>
      <c r="AS303" s="78">
        <f>IF((Consultas!AD303&gt;'Parâmetros'!$A$31),"X",(H303+I303+J303+Q303+T303+Y303+Z303+AJ303+AN303))</f>
        <v>-23</v>
      </c>
      <c r="AT303" s="78" t="str">
        <f>IF((Consultas!AD303&lt;'Parâmetros'!$A$31),"X",(AD303+AC303+AB303))</f>
        <v>X</v>
      </c>
      <c r="AU303" s="78">
        <f t="shared" si="1"/>
        <v>-23</v>
      </c>
      <c r="AV303" s="82" t="str">
        <f>IF(AQ303="N/A","N/A",IF(AQ303&gt;5,'Parâmetros'!$A$15,(IF(AU303=AR303,'Parâmetros'!$A$17,IF(AU303=AS303,'Parâmetros'!$A$16,'Parâmetros'!$A$14)))))</f>
        <v>N/A</v>
      </c>
      <c r="AW303" s="86" t="str">
        <f>IF(AQ303="N/A","N/A",IF(AV303='Parâmetros'!$A$15,'Parâmetros'!$C$15,(IF(AV303='Parâmetros'!$A$17,'Parâmetros'!$C$17,IF(AV303='Parâmetros'!$A$16,'Parâmetros'!$C$16,IF(AV303='Parâmetros'!$A$14,'Parâmetros'!$C$12))))))</f>
        <v>N/A</v>
      </c>
      <c r="AX303" s="82" t="b">
        <f>IF(Consultas!F303&gt;1,(IF(Consultas!F303&gt;5000,"SOLICITAR PED COMPRA","N/A")))</f>
        <v>0</v>
      </c>
      <c r="AY303" s="167" t="str">
        <f>IF(AND(Consultas!M303&lt;&gt;"S", Consultas!H303="S"), "CHECAGEM REVERSA", "N/A")</f>
        <v>N/A</v>
      </c>
      <c r="AZ303" s="167" t="str">
        <f>IF(Consultas!U303="N","PRECISA CORRIGIR END DIVERGENTE","N/A")</f>
        <v>N/A</v>
      </c>
    </row>
    <row r="304" ht="12.0" customHeight="1">
      <c r="A304" s="39" t="s">
        <v>90</v>
      </c>
      <c r="B304" s="82" t="str">
        <f>Consultas!B304</f>
        <v/>
      </c>
      <c r="C304" s="82" t="str">
        <f>Consultas!D304</f>
        <v/>
      </c>
      <c r="D304" s="96" t="str">
        <f>Consultas!E304</f>
        <v/>
      </c>
      <c r="E304" s="104" t="str">
        <f>IF(Consultas!AB304&gt;0,YEAR('Parâmetros'!$B$1)-YEAR(Consultas!AB304),"NA")</f>
        <v>NA</v>
      </c>
      <c r="F304" s="82">
        <f>IF(Consultas!F304&gt;'Parâmetros'!$B$2,-8,0)</f>
        <v>0</v>
      </c>
      <c r="G304" s="82">
        <f>IF(Consultas!H304='Parâmetros'!$E$1,100,0)</f>
        <v>0</v>
      </c>
      <c r="H304" s="82">
        <f>IF(Consultas!I304='Parâmetros'!$E$1,-4,12)</f>
        <v>12</v>
      </c>
      <c r="I304" s="82">
        <f>IF(Consultas!J304='Parâmetros'!$E$1,1,-13)</f>
        <v>-13</v>
      </c>
      <c r="J304" s="82">
        <f>IF(Consultas!K304='Parâmetros'!$E$1,2,-5)</f>
        <v>-5</v>
      </c>
      <c r="K304" s="82" t="str">
        <f>IF(Consultas!L304='Parâmetros'!$D$1,"SOLIC CONTRATO DE ENTREGA","N/A")</f>
        <v>N/A</v>
      </c>
      <c r="L304" s="82">
        <f>IF(Consultas!R304='Parâmetros'!$E$1,1,-3)</f>
        <v>-3</v>
      </c>
      <c r="M304" s="82" t="b">
        <f>IF(Consultas!S304&gt;1,(IF(Consultas!S304='Parâmetros'!$E$1,-3,9)))</f>
        <v>0</v>
      </c>
      <c r="N304" s="82">
        <f>IF(Consultas!T304="S",23,0)</f>
        <v>0</v>
      </c>
      <c r="O304" s="82">
        <f>IF(Consultas!U304='Parâmetros'!$E$1,-3,3)</f>
        <v>3</v>
      </c>
      <c r="P304" s="82">
        <f>IF(Consultas!V304='Parâmetros'!$E$1,-100,2)</f>
        <v>2</v>
      </c>
      <c r="Q304" s="82">
        <f>IF(Consultas!M304='Parâmetros'!$D$1,2,-9)</f>
        <v>-9</v>
      </c>
      <c r="R304" s="82">
        <f>IF(Consultas!N304="RJ",-12,0)</f>
        <v>0</v>
      </c>
      <c r="S304" s="82">
        <f>IF(Consultas!O304="-",-3,IF(Consultas!O304=0,-6,IF(Consultas!O304=5,0,IF(Consultas!O304=10,6))))</f>
        <v>-6</v>
      </c>
      <c r="T304" s="82">
        <f>IF(Consultas!M304="S",0,(IF(Consultas!P304="S",6,0)))</f>
        <v>0</v>
      </c>
      <c r="U304" s="82">
        <f>IF(Consultas!Q304&gt;97,9,IF(Consultas!Q304&gt;75,0,-7))</f>
        <v>-7</v>
      </c>
      <c r="V304" s="82">
        <f>IF(Consultas!W304='Parâmetros'!$E$1,1,-5)</f>
        <v>-5</v>
      </c>
      <c r="W304" s="82">
        <f>IF(Consultas!X304="S",3,-3)</f>
        <v>-3</v>
      </c>
      <c r="X304" s="82">
        <f>IF(Consultas!Y304="S",0,-7)</f>
        <v>-7</v>
      </c>
      <c r="Y304" s="82">
        <f>IF(Consultas!Z304='Parâmetros'!$E$1,2,-8)</f>
        <v>-8</v>
      </c>
      <c r="Z304" s="82">
        <f>IF(Consultas!AA304='Parâmetros'!$E$1,-15,1)</f>
        <v>1</v>
      </c>
      <c r="AA304" s="147" t="s">
        <v>140</v>
      </c>
      <c r="AB304" s="82" t="str">
        <f>IF(E304="NA","NA",IF(E304&gt;'Parâmetros'!$A$9,8,IF(E304&gt;'Parâmetros'!$A$8,4,IF(E304&gt;'Parâmetros'!$A$7,0,-6))))</f>
        <v>NA</v>
      </c>
      <c r="AC304" s="82">
        <f>IF(Consultas!AC304='Parâmetros'!$E$1,0,5)</f>
        <v>5</v>
      </c>
      <c r="AD304" s="82">
        <f>IF(Consultas!AH304='Parâmetros'!$D$1,-10,5)</f>
        <v>5</v>
      </c>
      <c r="AE304" s="82">
        <f>IF(Consultas!AI304&gt;(Consultas!F304*2),-10,0)</f>
        <v>0</v>
      </c>
      <c r="AF304" s="82" t="b">
        <f>IF(Consultas!AD304&gt;1,(IF(Consultas!AI304&gt;(Consultas!AD304),-20,4)))</f>
        <v>0</v>
      </c>
      <c r="AG304" s="82">
        <f>IF(Consultas!AG304='Parâmetros'!$E$1,0,-6)</f>
        <v>-6</v>
      </c>
      <c r="AH304" s="82">
        <f>IF(Consultas!AF304='Parâmetros'!$E$1,1,-5)</f>
        <v>-5</v>
      </c>
      <c r="AI304" s="82">
        <f>IF(Consultas!AJ304&gt;700,8,IF(Consultas!AJ304&gt;500,4,IF(Consultas!AJ304&gt;200,-4,IF(Consultas!AJ304&gt;1,-15,-20))))</f>
        <v>-20</v>
      </c>
      <c r="AJ304" s="82">
        <f>IF(Consultas!AD304='Parâmetros'!$E$10,0,IF(Consultas!AD304&gt;'Parâmetros'!$A$30,12,IF(Consultas!AD304&gt;'Parâmetros'!$A$31,6,IF(Consultas!AD304&gt;'Parâmetros'!$A$32,0,IF(Consultas!AD304&gt;'Parâmetros'!$A$33,0,IF(Consultas!AD304&gt;'Parâmetros'!$A$34,-3,IF(Consultas!AD304&gt;'Parâmetros'!$A$35,-7,-1)))))))</f>
        <v>-1</v>
      </c>
      <c r="AK304" s="82">
        <f>IF(Consultas!AO304='Parâmetros'!$D$1,3,-3)</f>
        <v>-3</v>
      </c>
      <c r="AL304" s="82">
        <f>IF(Consultas!AP304='Parâmetros'!$D$1,5,-3)</f>
        <v>-3</v>
      </c>
      <c r="AM304" s="82">
        <f>IF(Consultas!AL304="N",-6,0)</f>
        <v>0</v>
      </c>
      <c r="AN304" s="82">
        <f>IF(Consultas!AM304="N",-10,0)</f>
        <v>0</v>
      </c>
      <c r="AO304" s="82">
        <f>IF(Consultas!AN304="S",4,-2)</f>
        <v>-2</v>
      </c>
      <c r="AP304" s="39"/>
      <c r="AQ304" s="165" t="str">
        <f>IF(Consultas!F304&gt;1,(SUM(F304:AO304)),"N/A")</f>
        <v>N/A</v>
      </c>
      <c r="AR304" s="78">
        <f>IF((Consultas!AD304&gt;'Parâmetros'!$A$31),"X",AJ304+Y304+V304+AC304)</f>
        <v>-9</v>
      </c>
      <c r="AS304" s="78">
        <f>IF((Consultas!AD304&gt;'Parâmetros'!$A$31),"X",(H304+I304+J304+Q304+T304+Y304+Z304+AJ304+AN304))</f>
        <v>-23</v>
      </c>
      <c r="AT304" s="78" t="str">
        <f>IF((Consultas!AD304&lt;'Parâmetros'!$A$31),"X",(AD304+AC304+AB304))</f>
        <v>X</v>
      </c>
      <c r="AU304" s="78">
        <f t="shared" si="1"/>
        <v>-23</v>
      </c>
      <c r="AV304" s="82" t="str">
        <f>IF(AQ304="N/A","N/A",IF(AQ304&gt;5,'Parâmetros'!$A$15,(IF(AU304=AR304,'Parâmetros'!$A$17,IF(AU304=AS304,'Parâmetros'!$A$16,'Parâmetros'!$A$14)))))</f>
        <v>N/A</v>
      </c>
      <c r="AW304" s="86" t="str">
        <f>IF(AQ304="N/A","N/A",IF(AV304='Parâmetros'!$A$15,'Parâmetros'!$C$15,(IF(AV304='Parâmetros'!$A$17,'Parâmetros'!$C$17,IF(AV304='Parâmetros'!$A$16,'Parâmetros'!$C$16,IF(AV304='Parâmetros'!$A$14,'Parâmetros'!$C$12))))))</f>
        <v>N/A</v>
      </c>
      <c r="AX304" s="82" t="b">
        <f>IF(Consultas!F304&gt;1,(IF(Consultas!F304&gt;5000,"SOLICITAR PED COMPRA","N/A")))</f>
        <v>0</v>
      </c>
      <c r="AY304" s="167" t="str">
        <f>IF(AND(Consultas!M304&lt;&gt;"S", Consultas!H304="S"), "CHECAGEM REVERSA", "N/A")</f>
        <v>N/A</v>
      </c>
      <c r="AZ304" s="167" t="str">
        <f>IF(Consultas!U304="N","PRECISA CORRIGIR END DIVERGENTE","N/A")</f>
        <v>N/A</v>
      </c>
    </row>
    <row r="305" ht="12.0" customHeight="1">
      <c r="A305" s="39" t="s">
        <v>90</v>
      </c>
      <c r="B305" s="82" t="str">
        <f>Consultas!B305</f>
        <v/>
      </c>
      <c r="C305" s="82" t="str">
        <f>Consultas!D305</f>
        <v/>
      </c>
      <c r="D305" s="96" t="str">
        <f>Consultas!E305</f>
        <v/>
      </c>
      <c r="E305" s="104" t="str">
        <f>IF(Consultas!AB305&gt;0,YEAR('Parâmetros'!$B$1)-YEAR(Consultas!AB305),"NA")</f>
        <v>NA</v>
      </c>
      <c r="F305" s="82">
        <f>IF(Consultas!F305&gt;'Parâmetros'!$B$2,-8,0)</f>
        <v>0</v>
      </c>
      <c r="G305" s="82">
        <f>IF(Consultas!H305='Parâmetros'!$E$1,100,0)</f>
        <v>0</v>
      </c>
      <c r="H305" s="82">
        <f>IF(Consultas!I305='Parâmetros'!$E$1,-4,12)</f>
        <v>12</v>
      </c>
      <c r="I305" s="82">
        <f>IF(Consultas!J305='Parâmetros'!$E$1,1,-13)</f>
        <v>-13</v>
      </c>
      <c r="J305" s="82">
        <f>IF(Consultas!K305='Parâmetros'!$E$1,2,-5)</f>
        <v>-5</v>
      </c>
      <c r="K305" s="82" t="str">
        <f>IF(Consultas!L305='Parâmetros'!$D$1,"SOLIC CONTRATO DE ENTREGA","N/A")</f>
        <v>N/A</v>
      </c>
      <c r="L305" s="82">
        <f>IF(Consultas!R305='Parâmetros'!$E$1,1,-3)</f>
        <v>-3</v>
      </c>
      <c r="M305" s="82" t="b">
        <f>IF(Consultas!S305&gt;1,(IF(Consultas!S305='Parâmetros'!$E$1,-3,9)))</f>
        <v>0</v>
      </c>
      <c r="N305" s="82">
        <f>IF(Consultas!T305="S",23,0)</f>
        <v>0</v>
      </c>
      <c r="O305" s="82">
        <f>IF(Consultas!U305='Parâmetros'!$E$1,-3,3)</f>
        <v>3</v>
      </c>
      <c r="P305" s="82">
        <f>IF(Consultas!V305='Parâmetros'!$E$1,-100,2)</f>
        <v>2</v>
      </c>
      <c r="Q305" s="82">
        <f>IF(Consultas!M305='Parâmetros'!$D$1,2,-9)</f>
        <v>-9</v>
      </c>
      <c r="R305" s="82">
        <f>IF(Consultas!N305="RJ",-12,0)</f>
        <v>0</v>
      </c>
      <c r="S305" s="82">
        <f>IF(Consultas!O305="-",-3,IF(Consultas!O305=0,-6,IF(Consultas!O305=5,0,IF(Consultas!O305=10,6))))</f>
        <v>-6</v>
      </c>
      <c r="T305" s="82">
        <f>IF(Consultas!M305="S",0,(IF(Consultas!P305="S",6,0)))</f>
        <v>0</v>
      </c>
      <c r="U305" s="82">
        <f>IF(Consultas!Q305&gt;97,9,IF(Consultas!Q305&gt;75,0,-7))</f>
        <v>-7</v>
      </c>
      <c r="V305" s="82">
        <f>IF(Consultas!W305='Parâmetros'!$E$1,1,-5)</f>
        <v>-5</v>
      </c>
      <c r="W305" s="82">
        <f>IF(Consultas!X305="S",3,-3)</f>
        <v>-3</v>
      </c>
      <c r="X305" s="82">
        <f>IF(Consultas!Y305="S",0,-7)</f>
        <v>-7</v>
      </c>
      <c r="Y305" s="82">
        <f>IF(Consultas!Z305='Parâmetros'!$E$1,2,-8)</f>
        <v>-8</v>
      </c>
      <c r="Z305" s="82">
        <f>IF(Consultas!AA305='Parâmetros'!$E$1,-15,1)</f>
        <v>1</v>
      </c>
      <c r="AA305" s="147" t="s">
        <v>140</v>
      </c>
      <c r="AB305" s="82" t="str">
        <f>IF(E305="NA","NA",IF(E305&gt;'Parâmetros'!$A$9,8,IF(E305&gt;'Parâmetros'!$A$8,4,IF(E305&gt;'Parâmetros'!$A$7,0,-6))))</f>
        <v>NA</v>
      </c>
      <c r="AC305" s="82">
        <f>IF(Consultas!AC305='Parâmetros'!$E$1,0,5)</f>
        <v>5</v>
      </c>
      <c r="AD305" s="82">
        <f>IF(Consultas!AH305='Parâmetros'!$D$1,-10,5)</f>
        <v>5</v>
      </c>
      <c r="AE305" s="82">
        <f>IF(Consultas!AI305&gt;(Consultas!F305*2),-10,0)</f>
        <v>0</v>
      </c>
      <c r="AF305" s="82" t="b">
        <f>IF(Consultas!AD305&gt;1,(IF(Consultas!AI305&gt;(Consultas!AD305),-20,4)))</f>
        <v>0</v>
      </c>
      <c r="AG305" s="82">
        <f>IF(Consultas!AG305='Parâmetros'!$E$1,0,-6)</f>
        <v>-6</v>
      </c>
      <c r="AH305" s="82">
        <f>IF(Consultas!AF305='Parâmetros'!$E$1,1,-5)</f>
        <v>-5</v>
      </c>
      <c r="AI305" s="82">
        <f>IF(Consultas!AJ305&gt;700,8,IF(Consultas!AJ305&gt;500,4,IF(Consultas!AJ305&gt;200,-4,IF(Consultas!AJ305&gt;1,-15,-20))))</f>
        <v>-20</v>
      </c>
      <c r="AJ305" s="82">
        <f>IF(Consultas!AD305='Parâmetros'!$E$10,0,IF(Consultas!AD305&gt;'Parâmetros'!$A$30,12,IF(Consultas!AD305&gt;'Parâmetros'!$A$31,6,IF(Consultas!AD305&gt;'Parâmetros'!$A$32,0,IF(Consultas!AD305&gt;'Parâmetros'!$A$33,0,IF(Consultas!AD305&gt;'Parâmetros'!$A$34,-3,IF(Consultas!AD305&gt;'Parâmetros'!$A$35,-7,-1)))))))</f>
        <v>-1</v>
      </c>
      <c r="AK305" s="82">
        <f>IF(Consultas!AO305='Parâmetros'!$D$1,3,-3)</f>
        <v>-3</v>
      </c>
      <c r="AL305" s="82">
        <f>IF(Consultas!AP305='Parâmetros'!$D$1,5,-3)</f>
        <v>-3</v>
      </c>
      <c r="AM305" s="82">
        <f>IF(Consultas!AL305="N",-6,0)</f>
        <v>0</v>
      </c>
      <c r="AN305" s="82">
        <f>IF(Consultas!AM305="N",-10,0)</f>
        <v>0</v>
      </c>
      <c r="AO305" s="82">
        <f>IF(Consultas!AN305="S",4,-2)</f>
        <v>-2</v>
      </c>
      <c r="AP305" s="39"/>
      <c r="AQ305" s="165" t="str">
        <f>IF(Consultas!F305&gt;1,(SUM(F305:AO305)),"N/A")</f>
        <v>N/A</v>
      </c>
      <c r="AR305" s="78">
        <f>IF((Consultas!AD305&gt;'Parâmetros'!$A$31),"X",AJ305+Y305+V305+AC305)</f>
        <v>-9</v>
      </c>
      <c r="AS305" s="78">
        <f>IF((Consultas!AD305&gt;'Parâmetros'!$A$31),"X",(H305+I305+J305+Q305+T305+Y305+Z305+AJ305+AN305))</f>
        <v>-23</v>
      </c>
      <c r="AT305" s="78" t="str">
        <f>IF((Consultas!AD305&lt;'Parâmetros'!$A$31),"X",(AD305+AC305+AB305))</f>
        <v>X</v>
      </c>
      <c r="AU305" s="78">
        <f t="shared" si="1"/>
        <v>-23</v>
      </c>
      <c r="AV305" s="82" t="str">
        <f>IF(AQ305="N/A","N/A",IF(AQ305&gt;5,'Parâmetros'!$A$15,(IF(AU305=AR305,'Parâmetros'!$A$17,IF(AU305=AS305,'Parâmetros'!$A$16,'Parâmetros'!$A$14)))))</f>
        <v>N/A</v>
      </c>
      <c r="AW305" s="86" t="str">
        <f>IF(AQ305="N/A","N/A",IF(AV305='Parâmetros'!$A$15,'Parâmetros'!$C$15,(IF(AV305='Parâmetros'!$A$17,'Parâmetros'!$C$17,IF(AV305='Parâmetros'!$A$16,'Parâmetros'!$C$16,IF(AV305='Parâmetros'!$A$14,'Parâmetros'!$C$12))))))</f>
        <v>N/A</v>
      </c>
      <c r="AX305" s="82" t="b">
        <f>IF(Consultas!F305&gt;1,(IF(Consultas!F305&gt;5000,"SOLICITAR PED COMPRA","N/A")))</f>
        <v>0</v>
      </c>
      <c r="AY305" s="167" t="str">
        <f>IF(AND(Consultas!M305&lt;&gt;"S", Consultas!H305="S"), "CHECAGEM REVERSA", "N/A")</f>
        <v>N/A</v>
      </c>
      <c r="AZ305" s="167" t="str">
        <f>IF(Consultas!U305="N","PRECISA CORRIGIR END DIVERGENTE","N/A")</f>
        <v>N/A</v>
      </c>
    </row>
    <row r="306" ht="12.0" customHeight="1">
      <c r="A306" s="39" t="s">
        <v>90</v>
      </c>
      <c r="B306" s="82" t="str">
        <f>Consultas!B306</f>
        <v/>
      </c>
      <c r="C306" s="82" t="str">
        <f>Consultas!D306</f>
        <v/>
      </c>
      <c r="D306" s="96" t="str">
        <f>Consultas!E306</f>
        <v/>
      </c>
      <c r="E306" s="104" t="str">
        <f>IF(Consultas!AB306&gt;0,YEAR('Parâmetros'!$B$1)-YEAR(Consultas!AB306),"NA")</f>
        <v>NA</v>
      </c>
      <c r="F306" s="82">
        <f>IF(Consultas!F306&gt;'Parâmetros'!$B$2,-8,0)</f>
        <v>0</v>
      </c>
      <c r="G306" s="82">
        <f>IF(Consultas!H306='Parâmetros'!$E$1,100,0)</f>
        <v>0</v>
      </c>
      <c r="H306" s="82">
        <f>IF(Consultas!I306='Parâmetros'!$E$1,-4,12)</f>
        <v>12</v>
      </c>
      <c r="I306" s="82">
        <f>IF(Consultas!J306='Parâmetros'!$E$1,1,-13)</f>
        <v>-13</v>
      </c>
      <c r="J306" s="82">
        <f>IF(Consultas!K306='Parâmetros'!$E$1,2,-5)</f>
        <v>-5</v>
      </c>
      <c r="K306" s="82" t="str">
        <f>IF(Consultas!L306='Parâmetros'!$D$1,"SOLIC CONTRATO DE ENTREGA","N/A")</f>
        <v>N/A</v>
      </c>
      <c r="L306" s="82">
        <f>IF(Consultas!R306='Parâmetros'!$E$1,1,-3)</f>
        <v>-3</v>
      </c>
      <c r="M306" s="82" t="b">
        <f>IF(Consultas!S306&gt;1,(IF(Consultas!S306='Parâmetros'!$E$1,-3,9)))</f>
        <v>0</v>
      </c>
      <c r="N306" s="82">
        <f>IF(Consultas!T306="S",23,0)</f>
        <v>0</v>
      </c>
      <c r="O306" s="82">
        <f>IF(Consultas!U306='Parâmetros'!$E$1,-3,3)</f>
        <v>3</v>
      </c>
      <c r="P306" s="82">
        <f>IF(Consultas!V306='Parâmetros'!$E$1,-100,2)</f>
        <v>2</v>
      </c>
      <c r="Q306" s="82">
        <f>IF(Consultas!M306='Parâmetros'!$D$1,2,-9)</f>
        <v>-9</v>
      </c>
      <c r="R306" s="82">
        <f>IF(Consultas!N306="RJ",-12,0)</f>
        <v>0</v>
      </c>
      <c r="S306" s="82">
        <f>IF(Consultas!O306="-",-3,IF(Consultas!O306=0,-6,IF(Consultas!O306=5,0,IF(Consultas!O306=10,6))))</f>
        <v>-6</v>
      </c>
      <c r="T306" s="82">
        <f>IF(Consultas!M306="S",0,(IF(Consultas!P306="S",6,0)))</f>
        <v>0</v>
      </c>
      <c r="U306" s="82">
        <f>IF(Consultas!Q306&gt;97,9,IF(Consultas!Q306&gt;75,0,-7))</f>
        <v>-7</v>
      </c>
      <c r="V306" s="82">
        <f>IF(Consultas!W306='Parâmetros'!$E$1,1,-5)</f>
        <v>-5</v>
      </c>
      <c r="W306" s="82">
        <f>IF(Consultas!X306="S",3,-3)</f>
        <v>-3</v>
      </c>
      <c r="X306" s="82">
        <f>IF(Consultas!Y306="S",0,-7)</f>
        <v>-7</v>
      </c>
      <c r="Y306" s="82">
        <f>IF(Consultas!Z306='Parâmetros'!$E$1,2,-8)</f>
        <v>-8</v>
      </c>
      <c r="Z306" s="82">
        <f>IF(Consultas!AA306='Parâmetros'!$E$1,-15,1)</f>
        <v>1</v>
      </c>
      <c r="AA306" s="147" t="s">
        <v>140</v>
      </c>
      <c r="AB306" s="82" t="str">
        <f>IF(E306="NA","NA",IF(E306&gt;'Parâmetros'!$A$9,8,IF(E306&gt;'Parâmetros'!$A$8,4,IF(E306&gt;'Parâmetros'!$A$7,0,-6))))</f>
        <v>NA</v>
      </c>
      <c r="AC306" s="82">
        <f>IF(Consultas!AC306='Parâmetros'!$E$1,0,5)</f>
        <v>5</v>
      </c>
      <c r="AD306" s="82">
        <f>IF(Consultas!AH306='Parâmetros'!$D$1,-10,5)</f>
        <v>5</v>
      </c>
      <c r="AE306" s="82">
        <f>IF(Consultas!AI306&gt;(Consultas!F306*2),-10,0)</f>
        <v>0</v>
      </c>
      <c r="AF306" s="82" t="b">
        <f>IF(Consultas!AD306&gt;1,(IF(Consultas!AI306&gt;(Consultas!AD306),-20,4)))</f>
        <v>0</v>
      </c>
      <c r="AG306" s="82">
        <f>IF(Consultas!AG306='Parâmetros'!$E$1,0,-6)</f>
        <v>-6</v>
      </c>
      <c r="AH306" s="82">
        <f>IF(Consultas!AF306='Parâmetros'!$E$1,1,-5)</f>
        <v>-5</v>
      </c>
      <c r="AI306" s="82">
        <f>IF(Consultas!AJ306&gt;700,8,IF(Consultas!AJ306&gt;500,4,IF(Consultas!AJ306&gt;200,-4,IF(Consultas!AJ306&gt;1,-15,-20))))</f>
        <v>-20</v>
      </c>
      <c r="AJ306" s="82">
        <f>IF(Consultas!AD306='Parâmetros'!$E$10,0,IF(Consultas!AD306&gt;'Parâmetros'!$A$30,12,IF(Consultas!AD306&gt;'Parâmetros'!$A$31,6,IF(Consultas!AD306&gt;'Parâmetros'!$A$32,0,IF(Consultas!AD306&gt;'Parâmetros'!$A$33,0,IF(Consultas!AD306&gt;'Parâmetros'!$A$34,-3,IF(Consultas!AD306&gt;'Parâmetros'!$A$35,-7,-1)))))))</f>
        <v>-1</v>
      </c>
      <c r="AK306" s="82">
        <f>IF(Consultas!AO306='Parâmetros'!$D$1,3,-3)</f>
        <v>-3</v>
      </c>
      <c r="AL306" s="82">
        <f>IF(Consultas!AP306='Parâmetros'!$D$1,5,-3)</f>
        <v>-3</v>
      </c>
      <c r="AM306" s="82">
        <f>IF(Consultas!AL306="N",-6,0)</f>
        <v>0</v>
      </c>
      <c r="AN306" s="82">
        <f>IF(Consultas!AM306="N",-10,0)</f>
        <v>0</v>
      </c>
      <c r="AO306" s="82">
        <f>IF(Consultas!AN306="S",4,-2)</f>
        <v>-2</v>
      </c>
      <c r="AP306" s="39"/>
      <c r="AQ306" s="165" t="str">
        <f>IF(Consultas!F306&gt;1,(SUM(F306:AO306)),"N/A")</f>
        <v>N/A</v>
      </c>
      <c r="AR306" s="78">
        <f>IF((Consultas!AD306&gt;'Parâmetros'!$A$31),"X",AJ306+Y306+V306+AC306)</f>
        <v>-9</v>
      </c>
      <c r="AS306" s="78">
        <f>IF((Consultas!AD306&gt;'Parâmetros'!$A$31),"X",(H306+I306+J306+Q306+T306+Y306+Z306+AJ306+AN306))</f>
        <v>-23</v>
      </c>
      <c r="AT306" s="78" t="str">
        <f>IF((Consultas!AD306&lt;'Parâmetros'!$A$31),"X",(AD306+AC306+AB306))</f>
        <v>X</v>
      </c>
      <c r="AU306" s="78">
        <f t="shared" si="1"/>
        <v>-23</v>
      </c>
      <c r="AV306" s="82" t="str">
        <f>IF(AQ306="N/A","N/A",IF(AQ306&gt;5,'Parâmetros'!$A$15,(IF(AU306=AR306,'Parâmetros'!$A$17,IF(AU306=AS306,'Parâmetros'!$A$16,'Parâmetros'!$A$14)))))</f>
        <v>N/A</v>
      </c>
      <c r="AW306" s="86" t="str">
        <f>IF(AQ306="N/A","N/A",IF(AV306='Parâmetros'!$A$15,'Parâmetros'!$C$15,(IF(AV306='Parâmetros'!$A$17,'Parâmetros'!$C$17,IF(AV306='Parâmetros'!$A$16,'Parâmetros'!$C$16,IF(AV306='Parâmetros'!$A$14,'Parâmetros'!$C$12))))))</f>
        <v>N/A</v>
      </c>
      <c r="AX306" s="82" t="b">
        <f>IF(Consultas!F306&gt;1,(IF(Consultas!F306&gt;5000,"SOLICITAR PED COMPRA","N/A")))</f>
        <v>0</v>
      </c>
      <c r="AY306" s="167" t="str">
        <f>IF(AND(Consultas!M306&lt;&gt;"S", Consultas!H306="S"), "CHECAGEM REVERSA", "N/A")</f>
        <v>N/A</v>
      </c>
      <c r="AZ306" s="167" t="str">
        <f>IF(Consultas!U306="N","PRECISA CORRIGIR END DIVERGENTE","N/A")</f>
        <v>N/A</v>
      </c>
    </row>
    <row r="307" ht="12.0" customHeight="1">
      <c r="A307" s="39" t="s">
        <v>90</v>
      </c>
      <c r="B307" s="82" t="str">
        <f>Consultas!B307</f>
        <v/>
      </c>
      <c r="C307" s="82" t="str">
        <f>Consultas!D307</f>
        <v/>
      </c>
      <c r="D307" s="96" t="str">
        <f>Consultas!E307</f>
        <v/>
      </c>
      <c r="E307" s="104" t="str">
        <f>IF(Consultas!AB307&gt;0,YEAR('Parâmetros'!$B$1)-YEAR(Consultas!AB307),"NA")</f>
        <v>NA</v>
      </c>
      <c r="F307" s="82">
        <f>IF(Consultas!F307&gt;'Parâmetros'!$B$2,-8,0)</f>
        <v>0</v>
      </c>
      <c r="G307" s="82">
        <f>IF(Consultas!H307='Parâmetros'!$E$1,100,0)</f>
        <v>0</v>
      </c>
      <c r="H307" s="82">
        <f>IF(Consultas!I307='Parâmetros'!$E$1,-4,12)</f>
        <v>12</v>
      </c>
      <c r="I307" s="82">
        <f>IF(Consultas!J307='Parâmetros'!$E$1,1,-13)</f>
        <v>-13</v>
      </c>
      <c r="J307" s="82">
        <f>IF(Consultas!K307='Parâmetros'!$E$1,2,-5)</f>
        <v>-5</v>
      </c>
      <c r="K307" s="82" t="str">
        <f>IF(Consultas!L307='Parâmetros'!$D$1,"SOLIC CONTRATO DE ENTREGA","N/A")</f>
        <v>N/A</v>
      </c>
      <c r="L307" s="82">
        <f>IF(Consultas!R307='Parâmetros'!$E$1,1,-3)</f>
        <v>-3</v>
      </c>
      <c r="M307" s="82" t="b">
        <f>IF(Consultas!S307&gt;1,(IF(Consultas!S307='Parâmetros'!$E$1,-3,9)))</f>
        <v>0</v>
      </c>
      <c r="N307" s="82">
        <f>IF(Consultas!T307="S",23,0)</f>
        <v>0</v>
      </c>
      <c r="O307" s="82">
        <f>IF(Consultas!U307='Parâmetros'!$E$1,-3,3)</f>
        <v>3</v>
      </c>
      <c r="P307" s="82">
        <f>IF(Consultas!V307='Parâmetros'!$E$1,-100,2)</f>
        <v>2</v>
      </c>
      <c r="Q307" s="82">
        <f>IF(Consultas!M307='Parâmetros'!$D$1,2,-9)</f>
        <v>-9</v>
      </c>
      <c r="R307" s="82">
        <f>IF(Consultas!N307="RJ",-12,0)</f>
        <v>0</v>
      </c>
      <c r="S307" s="82">
        <f>IF(Consultas!O307="-",-3,IF(Consultas!O307=0,-6,IF(Consultas!O307=5,0,IF(Consultas!O307=10,6))))</f>
        <v>-6</v>
      </c>
      <c r="T307" s="82">
        <f>IF(Consultas!M307="S",0,(IF(Consultas!P307="S",6,0)))</f>
        <v>0</v>
      </c>
      <c r="U307" s="82">
        <f>IF(Consultas!Q307&gt;97,9,IF(Consultas!Q307&gt;75,0,-7))</f>
        <v>-7</v>
      </c>
      <c r="V307" s="82">
        <f>IF(Consultas!W307='Parâmetros'!$E$1,1,-5)</f>
        <v>-5</v>
      </c>
      <c r="W307" s="82">
        <f>IF(Consultas!X307="S",3,-3)</f>
        <v>-3</v>
      </c>
      <c r="X307" s="82">
        <f>IF(Consultas!Y307="S",0,-7)</f>
        <v>-7</v>
      </c>
      <c r="Y307" s="82">
        <f>IF(Consultas!Z307='Parâmetros'!$E$1,2,-8)</f>
        <v>-8</v>
      </c>
      <c r="Z307" s="82">
        <f>IF(Consultas!AA307='Parâmetros'!$E$1,-15,1)</f>
        <v>1</v>
      </c>
      <c r="AA307" s="147" t="s">
        <v>140</v>
      </c>
      <c r="AB307" s="82" t="str">
        <f>IF(E307="NA","NA",IF(E307&gt;'Parâmetros'!$A$9,8,IF(E307&gt;'Parâmetros'!$A$8,4,IF(E307&gt;'Parâmetros'!$A$7,0,-6))))</f>
        <v>NA</v>
      </c>
      <c r="AC307" s="82">
        <f>IF(Consultas!AC307='Parâmetros'!$E$1,0,5)</f>
        <v>5</v>
      </c>
      <c r="AD307" s="82">
        <f>IF(Consultas!AH307='Parâmetros'!$D$1,-10,5)</f>
        <v>5</v>
      </c>
      <c r="AE307" s="82">
        <f>IF(Consultas!AI307&gt;(Consultas!F307*2),-10,0)</f>
        <v>0</v>
      </c>
      <c r="AF307" s="82" t="b">
        <f>IF(Consultas!AD307&gt;1,(IF(Consultas!AI307&gt;(Consultas!AD307),-20,4)))</f>
        <v>0</v>
      </c>
      <c r="AG307" s="82">
        <f>IF(Consultas!AG307='Parâmetros'!$E$1,0,-6)</f>
        <v>-6</v>
      </c>
      <c r="AH307" s="82">
        <f>IF(Consultas!AF307='Parâmetros'!$E$1,1,-5)</f>
        <v>-5</v>
      </c>
      <c r="AI307" s="82">
        <f>IF(Consultas!AJ307&gt;700,8,IF(Consultas!AJ307&gt;500,4,IF(Consultas!AJ307&gt;200,-4,IF(Consultas!AJ307&gt;1,-15,-20))))</f>
        <v>-20</v>
      </c>
      <c r="AJ307" s="82">
        <f>IF(Consultas!AD307='Parâmetros'!$E$10,0,IF(Consultas!AD307&gt;'Parâmetros'!$A$30,12,IF(Consultas!AD307&gt;'Parâmetros'!$A$31,6,IF(Consultas!AD307&gt;'Parâmetros'!$A$32,0,IF(Consultas!AD307&gt;'Parâmetros'!$A$33,0,IF(Consultas!AD307&gt;'Parâmetros'!$A$34,-3,IF(Consultas!AD307&gt;'Parâmetros'!$A$35,-7,-1)))))))</f>
        <v>-1</v>
      </c>
      <c r="AK307" s="82">
        <f>IF(Consultas!AO307='Parâmetros'!$D$1,3,-3)</f>
        <v>-3</v>
      </c>
      <c r="AL307" s="82">
        <f>IF(Consultas!AP307='Parâmetros'!$D$1,5,-3)</f>
        <v>-3</v>
      </c>
      <c r="AM307" s="82">
        <f>IF(Consultas!AL307="N",-6,0)</f>
        <v>0</v>
      </c>
      <c r="AN307" s="82">
        <f>IF(Consultas!AM307="N",-10,0)</f>
        <v>0</v>
      </c>
      <c r="AO307" s="82">
        <f>IF(Consultas!AN307="S",4,-2)</f>
        <v>-2</v>
      </c>
      <c r="AP307" s="39"/>
      <c r="AQ307" s="165" t="str">
        <f>IF(Consultas!F307&gt;1,(SUM(F307:AO307)),"N/A")</f>
        <v>N/A</v>
      </c>
      <c r="AR307" s="78">
        <f>IF((Consultas!AD307&gt;'Parâmetros'!$A$31),"X",AJ307+Y307+V307+AC307)</f>
        <v>-9</v>
      </c>
      <c r="AS307" s="78">
        <f>IF((Consultas!AD307&gt;'Parâmetros'!$A$31),"X",(H307+I307+J307+Q307+T307+Y307+Z307+AJ307+AN307))</f>
        <v>-23</v>
      </c>
      <c r="AT307" s="78" t="str">
        <f>IF((Consultas!AD307&lt;'Parâmetros'!$A$31),"X",(AD307+AC307+AB307))</f>
        <v>X</v>
      </c>
      <c r="AU307" s="78">
        <f t="shared" si="1"/>
        <v>-23</v>
      </c>
      <c r="AV307" s="82" t="str">
        <f>IF(AQ307="N/A","N/A",IF(AQ307&gt;5,'Parâmetros'!$A$15,(IF(AU307=AR307,'Parâmetros'!$A$17,IF(AU307=AS307,'Parâmetros'!$A$16,'Parâmetros'!$A$14)))))</f>
        <v>N/A</v>
      </c>
      <c r="AW307" s="86" t="str">
        <f>IF(AQ307="N/A","N/A",IF(AV307='Parâmetros'!$A$15,'Parâmetros'!$C$15,(IF(AV307='Parâmetros'!$A$17,'Parâmetros'!$C$17,IF(AV307='Parâmetros'!$A$16,'Parâmetros'!$C$16,IF(AV307='Parâmetros'!$A$14,'Parâmetros'!$C$12))))))</f>
        <v>N/A</v>
      </c>
      <c r="AX307" s="82" t="b">
        <f>IF(Consultas!F307&gt;1,(IF(Consultas!F307&gt;5000,"SOLICITAR PED COMPRA","N/A")))</f>
        <v>0</v>
      </c>
      <c r="AY307" s="167" t="str">
        <f>IF(AND(Consultas!M307&lt;&gt;"S", Consultas!H307="S"), "CHECAGEM REVERSA", "N/A")</f>
        <v>N/A</v>
      </c>
      <c r="AZ307" s="167" t="str">
        <f>IF(Consultas!U307="N","PRECISA CORRIGIR END DIVERGENTE","N/A")</f>
        <v>N/A</v>
      </c>
    </row>
    <row r="308" ht="12.0" customHeight="1">
      <c r="A308" s="39" t="s">
        <v>90</v>
      </c>
      <c r="B308" s="82" t="str">
        <f>Consultas!B308</f>
        <v/>
      </c>
      <c r="C308" s="82" t="str">
        <f>Consultas!D308</f>
        <v/>
      </c>
      <c r="D308" s="96" t="str">
        <f>Consultas!E308</f>
        <v/>
      </c>
      <c r="E308" s="104" t="str">
        <f>IF(Consultas!AB308&gt;0,YEAR('Parâmetros'!$B$1)-YEAR(Consultas!AB308),"NA")</f>
        <v>NA</v>
      </c>
      <c r="F308" s="82">
        <f>IF(Consultas!F308&gt;'Parâmetros'!$B$2,-8,0)</f>
        <v>0</v>
      </c>
      <c r="G308" s="82">
        <f>IF(Consultas!H308='Parâmetros'!$E$1,100,0)</f>
        <v>0</v>
      </c>
      <c r="H308" s="82">
        <f>IF(Consultas!I308='Parâmetros'!$E$1,-4,12)</f>
        <v>12</v>
      </c>
      <c r="I308" s="82">
        <f>IF(Consultas!J308='Parâmetros'!$E$1,1,-13)</f>
        <v>-13</v>
      </c>
      <c r="J308" s="82">
        <f>IF(Consultas!K308='Parâmetros'!$E$1,2,-5)</f>
        <v>-5</v>
      </c>
      <c r="K308" s="82" t="str">
        <f>IF(Consultas!L308='Parâmetros'!$D$1,"SOLIC CONTRATO DE ENTREGA","N/A")</f>
        <v>N/A</v>
      </c>
      <c r="L308" s="82">
        <f>IF(Consultas!R308='Parâmetros'!$E$1,1,-3)</f>
        <v>-3</v>
      </c>
      <c r="M308" s="82" t="b">
        <f>IF(Consultas!S308&gt;1,(IF(Consultas!S308='Parâmetros'!$E$1,-3,9)))</f>
        <v>0</v>
      </c>
      <c r="N308" s="82">
        <f>IF(Consultas!T308="S",23,0)</f>
        <v>0</v>
      </c>
      <c r="O308" s="82">
        <f>IF(Consultas!U308='Parâmetros'!$E$1,-3,3)</f>
        <v>3</v>
      </c>
      <c r="P308" s="82">
        <f>IF(Consultas!V308='Parâmetros'!$E$1,-100,2)</f>
        <v>2</v>
      </c>
      <c r="Q308" s="82">
        <f>IF(Consultas!M308='Parâmetros'!$D$1,2,-9)</f>
        <v>-9</v>
      </c>
      <c r="R308" s="82">
        <f>IF(Consultas!N308="RJ",-12,0)</f>
        <v>0</v>
      </c>
      <c r="S308" s="82">
        <f>IF(Consultas!O308="-",-3,IF(Consultas!O308=0,-6,IF(Consultas!O308=5,0,IF(Consultas!O308=10,6))))</f>
        <v>-6</v>
      </c>
      <c r="T308" s="82">
        <f>IF(Consultas!M308="S",0,(IF(Consultas!P308="S",6,0)))</f>
        <v>0</v>
      </c>
      <c r="U308" s="82">
        <f>IF(Consultas!Q308&gt;97,9,IF(Consultas!Q308&gt;75,0,-7))</f>
        <v>-7</v>
      </c>
      <c r="V308" s="82">
        <f>IF(Consultas!W308='Parâmetros'!$E$1,1,-5)</f>
        <v>-5</v>
      </c>
      <c r="W308" s="82">
        <f>IF(Consultas!X308="S",3,-3)</f>
        <v>-3</v>
      </c>
      <c r="X308" s="82">
        <f>IF(Consultas!Y308="S",0,-7)</f>
        <v>-7</v>
      </c>
      <c r="Y308" s="82">
        <f>IF(Consultas!Z308='Parâmetros'!$E$1,2,-8)</f>
        <v>-8</v>
      </c>
      <c r="Z308" s="82">
        <f>IF(Consultas!AA308='Parâmetros'!$E$1,-15,1)</f>
        <v>1</v>
      </c>
      <c r="AA308" s="147" t="s">
        <v>140</v>
      </c>
      <c r="AB308" s="82" t="str">
        <f>IF(E308="NA","NA",IF(E308&gt;'Parâmetros'!$A$9,8,IF(E308&gt;'Parâmetros'!$A$8,4,IF(E308&gt;'Parâmetros'!$A$7,0,-6))))</f>
        <v>NA</v>
      </c>
      <c r="AC308" s="82">
        <f>IF(Consultas!AC308='Parâmetros'!$E$1,0,5)</f>
        <v>5</v>
      </c>
      <c r="AD308" s="82">
        <f>IF(Consultas!AH308='Parâmetros'!$D$1,-10,5)</f>
        <v>5</v>
      </c>
      <c r="AE308" s="82">
        <f>IF(Consultas!AI308&gt;(Consultas!F308*2),-10,0)</f>
        <v>0</v>
      </c>
      <c r="AF308" s="82" t="b">
        <f>IF(Consultas!AD308&gt;1,(IF(Consultas!AI308&gt;(Consultas!AD308),-20,4)))</f>
        <v>0</v>
      </c>
      <c r="AG308" s="82">
        <f>IF(Consultas!AG308='Parâmetros'!$E$1,0,-6)</f>
        <v>-6</v>
      </c>
      <c r="AH308" s="82">
        <f>IF(Consultas!AF308='Parâmetros'!$E$1,1,-5)</f>
        <v>-5</v>
      </c>
      <c r="AI308" s="82">
        <f>IF(Consultas!AJ308&gt;700,8,IF(Consultas!AJ308&gt;500,4,IF(Consultas!AJ308&gt;200,-4,IF(Consultas!AJ308&gt;1,-15,-20))))</f>
        <v>-20</v>
      </c>
      <c r="AJ308" s="82">
        <f>IF(Consultas!AD308='Parâmetros'!$E$10,0,IF(Consultas!AD308&gt;'Parâmetros'!$A$30,12,IF(Consultas!AD308&gt;'Parâmetros'!$A$31,6,IF(Consultas!AD308&gt;'Parâmetros'!$A$32,0,IF(Consultas!AD308&gt;'Parâmetros'!$A$33,0,IF(Consultas!AD308&gt;'Parâmetros'!$A$34,-3,IF(Consultas!AD308&gt;'Parâmetros'!$A$35,-7,-1)))))))</f>
        <v>-1</v>
      </c>
      <c r="AK308" s="82">
        <f>IF(Consultas!AO308='Parâmetros'!$D$1,3,-3)</f>
        <v>-3</v>
      </c>
      <c r="AL308" s="82">
        <f>IF(Consultas!AP308='Parâmetros'!$D$1,5,-3)</f>
        <v>-3</v>
      </c>
      <c r="AM308" s="82">
        <f>IF(Consultas!AL308="N",-6,0)</f>
        <v>0</v>
      </c>
      <c r="AN308" s="82">
        <f>IF(Consultas!AM308="N",-10,0)</f>
        <v>0</v>
      </c>
      <c r="AO308" s="82">
        <f>IF(Consultas!AN308="S",4,-2)</f>
        <v>-2</v>
      </c>
      <c r="AP308" s="39"/>
      <c r="AQ308" s="165" t="str">
        <f>IF(Consultas!F308&gt;1,(SUM(F308:AO308)),"N/A")</f>
        <v>N/A</v>
      </c>
      <c r="AR308" s="78">
        <f>IF((Consultas!AD308&gt;'Parâmetros'!$A$31),"X",AJ308+Y308+V308+AC308)</f>
        <v>-9</v>
      </c>
      <c r="AS308" s="78">
        <f>IF((Consultas!AD308&gt;'Parâmetros'!$A$31),"X",(H308+I308+J308+Q308+T308+Y308+Z308+AJ308+AN308))</f>
        <v>-23</v>
      </c>
      <c r="AT308" s="78" t="str">
        <f>IF((Consultas!AD308&lt;'Parâmetros'!$A$31),"X",(AD308+AC308+AB308))</f>
        <v>X</v>
      </c>
      <c r="AU308" s="78">
        <f t="shared" si="1"/>
        <v>-23</v>
      </c>
      <c r="AV308" s="82" t="str">
        <f>IF(AQ308="N/A","N/A",IF(AQ308&gt;5,'Parâmetros'!$A$15,(IF(AU308=AR308,'Parâmetros'!$A$17,IF(AU308=AS308,'Parâmetros'!$A$16,'Parâmetros'!$A$14)))))</f>
        <v>N/A</v>
      </c>
      <c r="AW308" s="86" t="str">
        <f>IF(AQ308="N/A","N/A",IF(AV308='Parâmetros'!$A$15,'Parâmetros'!$C$15,(IF(AV308='Parâmetros'!$A$17,'Parâmetros'!$C$17,IF(AV308='Parâmetros'!$A$16,'Parâmetros'!$C$16,IF(AV308='Parâmetros'!$A$14,'Parâmetros'!$C$12))))))</f>
        <v>N/A</v>
      </c>
      <c r="AX308" s="82" t="b">
        <f>IF(Consultas!F308&gt;1,(IF(Consultas!F308&gt;5000,"SOLICITAR PED COMPRA","N/A")))</f>
        <v>0</v>
      </c>
      <c r="AY308" s="167" t="str">
        <f>IF(AND(Consultas!M308&lt;&gt;"S", Consultas!H308="S"), "CHECAGEM REVERSA", "N/A")</f>
        <v>N/A</v>
      </c>
      <c r="AZ308" s="167" t="str">
        <f>IF(Consultas!U308="N","PRECISA CORRIGIR END DIVERGENTE","N/A")</f>
        <v>N/A</v>
      </c>
    </row>
    <row r="309" ht="12.0" customHeight="1">
      <c r="A309" s="39" t="s">
        <v>90</v>
      </c>
      <c r="B309" s="82" t="str">
        <f>Consultas!B309</f>
        <v/>
      </c>
      <c r="C309" s="82" t="str">
        <f>Consultas!D309</f>
        <v/>
      </c>
      <c r="D309" s="96" t="str">
        <f>Consultas!E309</f>
        <v/>
      </c>
      <c r="E309" s="104" t="str">
        <f>IF(Consultas!AB309&gt;0,YEAR('Parâmetros'!$B$1)-YEAR(Consultas!AB309),"NA")</f>
        <v>NA</v>
      </c>
      <c r="F309" s="82">
        <f>IF(Consultas!F309&gt;'Parâmetros'!$B$2,-8,0)</f>
        <v>0</v>
      </c>
      <c r="G309" s="82">
        <f>IF(Consultas!H309='Parâmetros'!$E$1,100,0)</f>
        <v>0</v>
      </c>
      <c r="H309" s="82">
        <f>IF(Consultas!I309='Parâmetros'!$E$1,-4,12)</f>
        <v>12</v>
      </c>
      <c r="I309" s="82">
        <f>IF(Consultas!J309='Parâmetros'!$E$1,1,-13)</f>
        <v>-13</v>
      </c>
      <c r="J309" s="82">
        <f>IF(Consultas!K309='Parâmetros'!$E$1,2,-5)</f>
        <v>-5</v>
      </c>
      <c r="K309" s="82" t="str">
        <f>IF(Consultas!L309='Parâmetros'!$D$1,"SOLIC CONTRATO DE ENTREGA","N/A")</f>
        <v>N/A</v>
      </c>
      <c r="L309" s="82">
        <f>IF(Consultas!R309='Parâmetros'!$E$1,1,-3)</f>
        <v>-3</v>
      </c>
      <c r="M309" s="82" t="b">
        <f>IF(Consultas!S309&gt;1,(IF(Consultas!S309='Parâmetros'!$E$1,-3,9)))</f>
        <v>0</v>
      </c>
      <c r="N309" s="82">
        <f>IF(Consultas!T309="S",23,0)</f>
        <v>0</v>
      </c>
      <c r="O309" s="82">
        <f>IF(Consultas!U309='Parâmetros'!$E$1,-3,3)</f>
        <v>3</v>
      </c>
      <c r="P309" s="82">
        <f>IF(Consultas!V309='Parâmetros'!$E$1,-100,2)</f>
        <v>2</v>
      </c>
      <c r="Q309" s="82">
        <f>IF(Consultas!M309='Parâmetros'!$D$1,2,-9)</f>
        <v>-9</v>
      </c>
      <c r="R309" s="82">
        <f>IF(Consultas!N309="RJ",-12,0)</f>
        <v>0</v>
      </c>
      <c r="S309" s="82">
        <f>IF(Consultas!O309="-",-3,IF(Consultas!O309=0,-6,IF(Consultas!O309=5,0,IF(Consultas!O309=10,6))))</f>
        <v>-6</v>
      </c>
      <c r="T309" s="82">
        <f>IF(Consultas!M309="S",0,(IF(Consultas!P309="S",6,0)))</f>
        <v>0</v>
      </c>
      <c r="U309" s="82">
        <f>IF(Consultas!Q309&gt;97,9,IF(Consultas!Q309&gt;75,0,-7))</f>
        <v>-7</v>
      </c>
      <c r="V309" s="82">
        <f>IF(Consultas!W309='Parâmetros'!$E$1,1,-5)</f>
        <v>-5</v>
      </c>
      <c r="W309" s="82">
        <f>IF(Consultas!X309="S",3,-3)</f>
        <v>-3</v>
      </c>
      <c r="X309" s="82">
        <f>IF(Consultas!Y309="S",0,-7)</f>
        <v>-7</v>
      </c>
      <c r="Y309" s="82">
        <f>IF(Consultas!Z309='Parâmetros'!$E$1,2,-8)</f>
        <v>-8</v>
      </c>
      <c r="Z309" s="82">
        <f>IF(Consultas!AA309='Parâmetros'!$E$1,-15,1)</f>
        <v>1</v>
      </c>
      <c r="AA309" s="147" t="s">
        <v>140</v>
      </c>
      <c r="AB309" s="82" t="str">
        <f>IF(E309="NA","NA",IF(E309&gt;'Parâmetros'!$A$9,8,IF(E309&gt;'Parâmetros'!$A$8,4,IF(E309&gt;'Parâmetros'!$A$7,0,-6))))</f>
        <v>NA</v>
      </c>
      <c r="AC309" s="82">
        <f>IF(Consultas!AC309='Parâmetros'!$E$1,0,5)</f>
        <v>5</v>
      </c>
      <c r="AD309" s="82">
        <f>IF(Consultas!AH309='Parâmetros'!$D$1,-10,5)</f>
        <v>5</v>
      </c>
      <c r="AE309" s="82">
        <f>IF(Consultas!AI309&gt;(Consultas!F309*2),-10,0)</f>
        <v>0</v>
      </c>
      <c r="AF309" s="82" t="b">
        <f>IF(Consultas!AD309&gt;1,(IF(Consultas!AI309&gt;(Consultas!AD309),-20,4)))</f>
        <v>0</v>
      </c>
      <c r="AG309" s="82">
        <f>IF(Consultas!AG309='Parâmetros'!$E$1,0,-6)</f>
        <v>-6</v>
      </c>
      <c r="AH309" s="82">
        <f>IF(Consultas!AF309='Parâmetros'!$E$1,1,-5)</f>
        <v>-5</v>
      </c>
      <c r="AI309" s="82">
        <f>IF(Consultas!AJ309&gt;700,8,IF(Consultas!AJ309&gt;500,4,IF(Consultas!AJ309&gt;200,-4,IF(Consultas!AJ309&gt;1,-15,-20))))</f>
        <v>-20</v>
      </c>
      <c r="AJ309" s="82">
        <f>IF(Consultas!AD309='Parâmetros'!$E$10,0,IF(Consultas!AD309&gt;'Parâmetros'!$A$30,12,IF(Consultas!AD309&gt;'Parâmetros'!$A$31,6,IF(Consultas!AD309&gt;'Parâmetros'!$A$32,0,IF(Consultas!AD309&gt;'Parâmetros'!$A$33,0,IF(Consultas!AD309&gt;'Parâmetros'!$A$34,-3,IF(Consultas!AD309&gt;'Parâmetros'!$A$35,-7,-1)))))))</f>
        <v>-1</v>
      </c>
      <c r="AK309" s="82">
        <f>IF(Consultas!AO309='Parâmetros'!$D$1,3,-3)</f>
        <v>-3</v>
      </c>
      <c r="AL309" s="82">
        <f>IF(Consultas!AP309='Parâmetros'!$D$1,5,-3)</f>
        <v>-3</v>
      </c>
      <c r="AM309" s="82">
        <f>IF(Consultas!AL309="N",-6,0)</f>
        <v>0</v>
      </c>
      <c r="AN309" s="82">
        <f>IF(Consultas!AM309="N",-10,0)</f>
        <v>0</v>
      </c>
      <c r="AO309" s="82">
        <f>IF(Consultas!AN309="S",4,-2)</f>
        <v>-2</v>
      </c>
      <c r="AP309" s="39"/>
      <c r="AQ309" s="165" t="str">
        <f>IF(Consultas!F309&gt;1,(SUM(F309:AO309)),"N/A")</f>
        <v>N/A</v>
      </c>
      <c r="AR309" s="78">
        <f>IF((Consultas!AD309&gt;'Parâmetros'!$A$31),"X",AJ309+Y309+V309+AC309)</f>
        <v>-9</v>
      </c>
      <c r="AS309" s="78">
        <f>IF((Consultas!AD309&gt;'Parâmetros'!$A$31),"X",(H309+I309+J309+Q309+T309+Y309+Z309+AJ309+AN309))</f>
        <v>-23</v>
      </c>
      <c r="AT309" s="78" t="str">
        <f>IF((Consultas!AD309&lt;'Parâmetros'!$A$31),"X",(AD309+AC309+AB309))</f>
        <v>X</v>
      </c>
      <c r="AU309" s="78">
        <f t="shared" si="1"/>
        <v>-23</v>
      </c>
      <c r="AV309" s="82" t="str">
        <f>IF(AQ309="N/A","N/A",IF(AQ309&gt;5,'Parâmetros'!$A$15,(IF(AU309=AR309,'Parâmetros'!$A$17,IF(AU309=AS309,'Parâmetros'!$A$16,'Parâmetros'!$A$14)))))</f>
        <v>N/A</v>
      </c>
      <c r="AW309" s="86" t="str">
        <f>IF(AQ309="N/A","N/A",IF(AV309='Parâmetros'!$A$15,'Parâmetros'!$C$15,(IF(AV309='Parâmetros'!$A$17,'Parâmetros'!$C$17,IF(AV309='Parâmetros'!$A$16,'Parâmetros'!$C$16,IF(AV309='Parâmetros'!$A$14,'Parâmetros'!$C$12))))))</f>
        <v>N/A</v>
      </c>
      <c r="AX309" s="82" t="b">
        <f>IF(Consultas!F309&gt;1,(IF(Consultas!F309&gt;5000,"SOLICITAR PED COMPRA","N/A")))</f>
        <v>0</v>
      </c>
      <c r="AY309" s="167" t="str">
        <f>IF(AND(Consultas!M309&lt;&gt;"S", Consultas!H309="S"), "CHECAGEM REVERSA", "N/A")</f>
        <v>N/A</v>
      </c>
      <c r="AZ309" s="167" t="str">
        <f>IF(Consultas!U309="N","PRECISA CORRIGIR END DIVERGENTE","N/A")</f>
        <v>N/A</v>
      </c>
    </row>
    <row r="310" ht="12.0" customHeight="1">
      <c r="A310" s="39" t="s">
        <v>90</v>
      </c>
      <c r="B310" s="82" t="str">
        <f>Consultas!B310</f>
        <v/>
      </c>
      <c r="C310" s="82" t="str">
        <f>Consultas!D310</f>
        <v/>
      </c>
      <c r="D310" s="96" t="str">
        <f>Consultas!E310</f>
        <v/>
      </c>
      <c r="E310" s="104" t="str">
        <f>IF(Consultas!AB310&gt;0,YEAR('Parâmetros'!$B$1)-YEAR(Consultas!AB310),"NA")</f>
        <v>NA</v>
      </c>
      <c r="F310" s="82">
        <f>IF(Consultas!F310&gt;'Parâmetros'!$B$2,-8,0)</f>
        <v>0</v>
      </c>
      <c r="G310" s="82">
        <f>IF(Consultas!H310='Parâmetros'!$E$1,100,0)</f>
        <v>0</v>
      </c>
      <c r="H310" s="82">
        <f>IF(Consultas!I310='Parâmetros'!$E$1,-4,12)</f>
        <v>12</v>
      </c>
      <c r="I310" s="82">
        <f>IF(Consultas!J310='Parâmetros'!$E$1,1,-13)</f>
        <v>-13</v>
      </c>
      <c r="J310" s="82">
        <f>IF(Consultas!K310='Parâmetros'!$E$1,2,-5)</f>
        <v>-5</v>
      </c>
      <c r="K310" s="82" t="str">
        <f>IF(Consultas!L310='Parâmetros'!$D$1,"SOLIC CONTRATO DE ENTREGA","N/A")</f>
        <v>N/A</v>
      </c>
      <c r="L310" s="82">
        <f>IF(Consultas!R310='Parâmetros'!$E$1,1,-3)</f>
        <v>-3</v>
      </c>
      <c r="M310" s="82" t="b">
        <f>IF(Consultas!S310&gt;1,(IF(Consultas!S310='Parâmetros'!$E$1,-3,9)))</f>
        <v>0</v>
      </c>
      <c r="N310" s="82">
        <f>IF(Consultas!T310="S",23,0)</f>
        <v>0</v>
      </c>
      <c r="O310" s="82">
        <f>IF(Consultas!U310='Parâmetros'!$E$1,-3,3)</f>
        <v>3</v>
      </c>
      <c r="P310" s="82">
        <f>IF(Consultas!V310='Parâmetros'!$E$1,-100,2)</f>
        <v>2</v>
      </c>
      <c r="Q310" s="82">
        <f>IF(Consultas!M310='Parâmetros'!$D$1,2,-9)</f>
        <v>-9</v>
      </c>
      <c r="R310" s="82">
        <f>IF(Consultas!N310="RJ",-12,0)</f>
        <v>0</v>
      </c>
      <c r="S310" s="82">
        <f>IF(Consultas!O310="-",-3,IF(Consultas!O310=0,-6,IF(Consultas!O310=5,0,IF(Consultas!O310=10,6))))</f>
        <v>-6</v>
      </c>
      <c r="T310" s="82">
        <f>IF(Consultas!M310="S",0,(IF(Consultas!P310="S",6,0)))</f>
        <v>0</v>
      </c>
      <c r="U310" s="82">
        <f>IF(Consultas!Q310&gt;97,9,IF(Consultas!Q310&gt;75,0,-7))</f>
        <v>-7</v>
      </c>
      <c r="V310" s="82">
        <f>IF(Consultas!W310='Parâmetros'!$E$1,1,-5)</f>
        <v>-5</v>
      </c>
      <c r="W310" s="82">
        <f>IF(Consultas!X310="S",3,-3)</f>
        <v>-3</v>
      </c>
      <c r="X310" s="82">
        <f>IF(Consultas!Y310="S",0,-7)</f>
        <v>-7</v>
      </c>
      <c r="Y310" s="82">
        <f>IF(Consultas!Z310='Parâmetros'!$E$1,2,-8)</f>
        <v>-8</v>
      </c>
      <c r="Z310" s="82">
        <f>IF(Consultas!AA310='Parâmetros'!$E$1,-15,1)</f>
        <v>1</v>
      </c>
      <c r="AA310" s="147" t="s">
        <v>140</v>
      </c>
      <c r="AB310" s="82" t="str">
        <f>IF(E310="NA","NA",IF(E310&gt;'Parâmetros'!$A$9,8,IF(E310&gt;'Parâmetros'!$A$8,4,IF(E310&gt;'Parâmetros'!$A$7,0,-6))))</f>
        <v>NA</v>
      </c>
      <c r="AC310" s="82">
        <f>IF(Consultas!AC310='Parâmetros'!$E$1,0,5)</f>
        <v>5</v>
      </c>
      <c r="AD310" s="82">
        <f>IF(Consultas!AH310='Parâmetros'!$D$1,-10,5)</f>
        <v>5</v>
      </c>
      <c r="AE310" s="82">
        <f>IF(Consultas!AI310&gt;(Consultas!F310*2),-10,0)</f>
        <v>0</v>
      </c>
      <c r="AF310" s="82" t="b">
        <f>IF(Consultas!AD310&gt;1,(IF(Consultas!AI310&gt;(Consultas!AD310),-20,4)))</f>
        <v>0</v>
      </c>
      <c r="AG310" s="82">
        <f>IF(Consultas!AG310='Parâmetros'!$E$1,0,-6)</f>
        <v>-6</v>
      </c>
      <c r="AH310" s="82">
        <f>IF(Consultas!AF310='Parâmetros'!$E$1,1,-5)</f>
        <v>-5</v>
      </c>
      <c r="AI310" s="82">
        <f>IF(Consultas!AJ310&gt;700,8,IF(Consultas!AJ310&gt;500,4,IF(Consultas!AJ310&gt;200,-4,IF(Consultas!AJ310&gt;1,-15,-20))))</f>
        <v>-20</v>
      </c>
      <c r="AJ310" s="82">
        <f>IF(Consultas!AD310='Parâmetros'!$E$10,0,IF(Consultas!AD310&gt;'Parâmetros'!$A$30,12,IF(Consultas!AD310&gt;'Parâmetros'!$A$31,6,IF(Consultas!AD310&gt;'Parâmetros'!$A$32,0,IF(Consultas!AD310&gt;'Parâmetros'!$A$33,0,IF(Consultas!AD310&gt;'Parâmetros'!$A$34,-3,IF(Consultas!AD310&gt;'Parâmetros'!$A$35,-7,-1)))))))</f>
        <v>-1</v>
      </c>
      <c r="AK310" s="82">
        <f>IF(Consultas!AO310='Parâmetros'!$D$1,3,-3)</f>
        <v>-3</v>
      </c>
      <c r="AL310" s="82">
        <f>IF(Consultas!AP310='Parâmetros'!$D$1,5,-3)</f>
        <v>-3</v>
      </c>
      <c r="AM310" s="82">
        <f>IF(Consultas!AL310="N",-6,0)</f>
        <v>0</v>
      </c>
      <c r="AN310" s="82">
        <f>IF(Consultas!AM310="N",-10,0)</f>
        <v>0</v>
      </c>
      <c r="AO310" s="82">
        <f>IF(Consultas!AN310="S",4,-2)</f>
        <v>-2</v>
      </c>
      <c r="AP310" s="39"/>
      <c r="AQ310" s="165" t="str">
        <f>IF(Consultas!F310&gt;1,(SUM(F310:AO310)),"N/A")</f>
        <v>N/A</v>
      </c>
      <c r="AR310" s="78">
        <f>IF((Consultas!AD310&gt;'Parâmetros'!$A$31),"X",AJ310+Y310+V310+AC310)</f>
        <v>-9</v>
      </c>
      <c r="AS310" s="78">
        <f>IF((Consultas!AD310&gt;'Parâmetros'!$A$31),"X",(H310+I310+J310+Q310+T310+Y310+Z310+AJ310+AN310))</f>
        <v>-23</v>
      </c>
      <c r="AT310" s="78" t="str">
        <f>IF((Consultas!AD310&lt;'Parâmetros'!$A$31),"X",(AD310+AC310+AB310))</f>
        <v>X</v>
      </c>
      <c r="AU310" s="78">
        <f t="shared" si="1"/>
        <v>-23</v>
      </c>
      <c r="AV310" s="82" t="str">
        <f>IF(AQ310="N/A","N/A",IF(AQ310&gt;5,'Parâmetros'!$A$15,(IF(AU310=AR310,'Parâmetros'!$A$17,IF(AU310=AS310,'Parâmetros'!$A$16,'Parâmetros'!$A$14)))))</f>
        <v>N/A</v>
      </c>
      <c r="AW310" s="86" t="str">
        <f>IF(AQ310="N/A","N/A",IF(AV310='Parâmetros'!$A$15,'Parâmetros'!$C$15,(IF(AV310='Parâmetros'!$A$17,'Parâmetros'!$C$17,IF(AV310='Parâmetros'!$A$16,'Parâmetros'!$C$16,IF(AV310='Parâmetros'!$A$14,'Parâmetros'!$C$12))))))</f>
        <v>N/A</v>
      </c>
      <c r="AX310" s="82" t="b">
        <f>IF(Consultas!F310&gt;1,(IF(Consultas!F310&gt;5000,"SOLICITAR PED COMPRA","N/A")))</f>
        <v>0</v>
      </c>
      <c r="AY310" s="167" t="str">
        <f>IF(AND(Consultas!M310&lt;&gt;"S", Consultas!H310="S"), "CHECAGEM REVERSA", "N/A")</f>
        <v>N/A</v>
      </c>
      <c r="AZ310" s="167" t="str">
        <f>IF(Consultas!U310="N","PRECISA CORRIGIR END DIVERGENTE","N/A")</f>
        <v>N/A</v>
      </c>
    </row>
    <row r="311" ht="12.0" customHeight="1">
      <c r="A311" s="39" t="s">
        <v>90</v>
      </c>
      <c r="B311" s="82" t="str">
        <f>Consultas!B311</f>
        <v/>
      </c>
      <c r="C311" s="82" t="str">
        <f>Consultas!D311</f>
        <v/>
      </c>
      <c r="D311" s="96" t="str">
        <f>Consultas!E311</f>
        <v/>
      </c>
      <c r="E311" s="104" t="str">
        <f>IF(Consultas!AB311&gt;0,YEAR('Parâmetros'!$B$1)-YEAR(Consultas!AB311),"NA")</f>
        <v>NA</v>
      </c>
      <c r="F311" s="82">
        <f>IF(Consultas!F311&gt;'Parâmetros'!$B$2,-8,0)</f>
        <v>0</v>
      </c>
      <c r="G311" s="82">
        <f>IF(Consultas!H311='Parâmetros'!$E$1,100,0)</f>
        <v>0</v>
      </c>
      <c r="H311" s="82">
        <f>IF(Consultas!I311='Parâmetros'!$E$1,-4,12)</f>
        <v>12</v>
      </c>
      <c r="I311" s="82">
        <f>IF(Consultas!J311='Parâmetros'!$E$1,1,-13)</f>
        <v>-13</v>
      </c>
      <c r="J311" s="82">
        <f>IF(Consultas!K311='Parâmetros'!$E$1,2,-5)</f>
        <v>-5</v>
      </c>
      <c r="K311" s="82" t="str">
        <f>IF(Consultas!L311='Parâmetros'!$D$1,"SOLIC CONTRATO DE ENTREGA","N/A")</f>
        <v>N/A</v>
      </c>
      <c r="L311" s="82">
        <f>IF(Consultas!R311='Parâmetros'!$E$1,1,-3)</f>
        <v>-3</v>
      </c>
      <c r="M311" s="82" t="b">
        <f>IF(Consultas!S311&gt;1,(IF(Consultas!S311='Parâmetros'!$E$1,-3,9)))</f>
        <v>0</v>
      </c>
      <c r="N311" s="82">
        <f>IF(Consultas!T311="S",23,0)</f>
        <v>0</v>
      </c>
      <c r="O311" s="82">
        <f>IF(Consultas!U311='Parâmetros'!$E$1,-3,3)</f>
        <v>3</v>
      </c>
      <c r="P311" s="82">
        <f>IF(Consultas!V311='Parâmetros'!$E$1,-100,2)</f>
        <v>2</v>
      </c>
      <c r="Q311" s="82">
        <f>IF(Consultas!M311='Parâmetros'!$D$1,2,-9)</f>
        <v>-9</v>
      </c>
      <c r="R311" s="82">
        <f>IF(Consultas!N311="RJ",-12,0)</f>
        <v>0</v>
      </c>
      <c r="S311" s="82">
        <f>IF(Consultas!O311="-",-3,IF(Consultas!O311=0,-6,IF(Consultas!O311=5,0,IF(Consultas!O311=10,6))))</f>
        <v>-6</v>
      </c>
      <c r="T311" s="82">
        <f>IF(Consultas!M311="S",0,(IF(Consultas!P311="S",6,0)))</f>
        <v>0</v>
      </c>
      <c r="U311" s="82">
        <f>IF(Consultas!Q311&gt;97,9,IF(Consultas!Q311&gt;75,0,-7))</f>
        <v>-7</v>
      </c>
      <c r="V311" s="82">
        <f>IF(Consultas!W311='Parâmetros'!$E$1,1,-5)</f>
        <v>-5</v>
      </c>
      <c r="W311" s="82">
        <f>IF(Consultas!X311="S",3,-3)</f>
        <v>-3</v>
      </c>
      <c r="X311" s="82">
        <f>IF(Consultas!Y311="S",0,-7)</f>
        <v>-7</v>
      </c>
      <c r="Y311" s="82">
        <f>IF(Consultas!Z311='Parâmetros'!$E$1,2,-8)</f>
        <v>-8</v>
      </c>
      <c r="Z311" s="82">
        <f>IF(Consultas!AA311='Parâmetros'!$E$1,-15,1)</f>
        <v>1</v>
      </c>
      <c r="AA311" s="147" t="s">
        <v>140</v>
      </c>
      <c r="AB311" s="82" t="str">
        <f>IF(E311="NA","NA",IF(E311&gt;'Parâmetros'!$A$9,8,IF(E311&gt;'Parâmetros'!$A$8,4,IF(E311&gt;'Parâmetros'!$A$7,0,-6))))</f>
        <v>NA</v>
      </c>
      <c r="AC311" s="82">
        <f>IF(Consultas!AC311='Parâmetros'!$E$1,0,5)</f>
        <v>5</v>
      </c>
      <c r="AD311" s="82">
        <f>IF(Consultas!AH311='Parâmetros'!$D$1,-10,5)</f>
        <v>5</v>
      </c>
      <c r="AE311" s="82">
        <f>IF(Consultas!AI311&gt;(Consultas!F311*2),-10,0)</f>
        <v>0</v>
      </c>
      <c r="AF311" s="82" t="b">
        <f>IF(Consultas!AD311&gt;1,(IF(Consultas!AI311&gt;(Consultas!AD311),-20,4)))</f>
        <v>0</v>
      </c>
      <c r="AG311" s="82">
        <f>IF(Consultas!AG311='Parâmetros'!$E$1,0,-6)</f>
        <v>-6</v>
      </c>
      <c r="AH311" s="82">
        <f>IF(Consultas!AF311='Parâmetros'!$E$1,1,-5)</f>
        <v>-5</v>
      </c>
      <c r="AI311" s="82">
        <f>IF(Consultas!AJ311&gt;700,8,IF(Consultas!AJ311&gt;500,4,IF(Consultas!AJ311&gt;200,-4,IF(Consultas!AJ311&gt;1,-15,-20))))</f>
        <v>-20</v>
      </c>
      <c r="AJ311" s="82">
        <f>IF(Consultas!AD311='Parâmetros'!$E$10,0,IF(Consultas!AD311&gt;'Parâmetros'!$A$30,12,IF(Consultas!AD311&gt;'Parâmetros'!$A$31,6,IF(Consultas!AD311&gt;'Parâmetros'!$A$32,0,IF(Consultas!AD311&gt;'Parâmetros'!$A$33,0,IF(Consultas!AD311&gt;'Parâmetros'!$A$34,-3,IF(Consultas!AD311&gt;'Parâmetros'!$A$35,-7,-1)))))))</f>
        <v>-1</v>
      </c>
      <c r="AK311" s="82">
        <f>IF(Consultas!AO311='Parâmetros'!$D$1,3,-3)</f>
        <v>-3</v>
      </c>
      <c r="AL311" s="82">
        <f>IF(Consultas!AP311='Parâmetros'!$D$1,5,-3)</f>
        <v>-3</v>
      </c>
      <c r="AM311" s="82">
        <f>IF(Consultas!AL311="N",-6,0)</f>
        <v>0</v>
      </c>
      <c r="AN311" s="82">
        <f>IF(Consultas!AM311="N",-10,0)</f>
        <v>0</v>
      </c>
      <c r="AO311" s="82">
        <f>IF(Consultas!AN311="S",4,-2)</f>
        <v>-2</v>
      </c>
      <c r="AP311" s="39"/>
      <c r="AQ311" s="165" t="str">
        <f>IF(Consultas!F311&gt;1,(SUM(F311:AO311)),"N/A")</f>
        <v>N/A</v>
      </c>
      <c r="AR311" s="78">
        <f>IF((Consultas!AD311&gt;'Parâmetros'!$A$31),"X",AJ311+Y311+V311+AC311)</f>
        <v>-9</v>
      </c>
      <c r="AS311" s="78">
        <f>IF((Consultas!AD311&gt;'Parâmetros'!$A$31),"X",(H311+I311+J311+Q311+T311+Y311+Z311+AJ311+AN311))</f>
        <v>-23</v>
      </c>
      <c r="AT311" s="78" t="str">
        <f>IF((Consultas!AD311&lt;'Parâmetros'!$A$31),"X",(AD311+AC311+AB311))</f>
        <v>X</v>
      </c>
      <c r="AU311" s="78">
        <f t="shared" si="1"/>
        <v>-23</v>
      </c>
      <c r="AV311" s="82" t="str">
        <f>IF(AQ311="N/A","N/A",IF(AQ311&gt;5,'Parâmetros'!$A$15,(IF(AU311=AR311,'Parâmetros'!$A$17,IF(AU311=AS311,'Parâmetros'!$A$16,'Parâmetros'!$A$14)))))</f>
        <v>N/A</v>
      </c>
      <c r="AW311" s="86" t="str">
        <f>IF(AQ311="N/A","N/A",IF(AV311='Parâmetros'!$A$15,'Parâmetros'!$C$15,(IF(AV311='Parâmetros'!$A$17,'Parâmetros'!$C$17,IF(AV311='Parâmetros'!$A$16,'Parâmetros'!$C$16,IF(AV311='Parâmetros'!$A$14,'Parâmetros'!$C$12))))))</f>
        <v>N/A</v>
      </c>
      <c r="AX311" s="82" t="b">
        <f>IF(Consultas!F311&gt;1,(IF(Consultas!F311&gt;5000,"SOLICITAR PED COMPRA","N/A")))</f>
        <v>0</v>
      </c>
      <c r="AY311" s="167" t="str">
        <f>IF(AND(Consultas!M311&lt;&gt;"S", Consultas!H311="S"), "CHECAGEM REVERSA", "N/A")</f>
        <v>N/A</v>
      </c>
      <c r="AZ311" s="167" t="str">
        <f>IF(Consultas!U311="N","PRECISA CORRIGIR END DIVERGENTE","N/A")</f>
        <v>N/A</v>
      </c>
    </row>
    <row r="312" ht="12.0" customHeight="1">
      <c r="A312" s="39" t="s">
        <v>90</v>
      </c>
      <c r="B312" s="82" t="str">
        <f>Consultas!B312</f>
        <v/>
      </c>
      <c r="C312" s="82" t="str">
        <f>Consultas!D312</f>
        <v/>
      </c>
      <c r="D312" s="96" t="str">
        <f>Consultas!E312</f>
        <v/>
      </c>
      <c r="E312" s="104" t="str">
        <f>IF(Consultas!AB312&gt;0,YEAR('Parâmetros'!$B$1)-YEAR(Consultas!AB312),"NA")</f>
        <v>NA</v>
      </c>
      <c r="F312" s="82">
        <f>IF(Consultas!F312&gt;'Parâmetros'!$B$2,-8,0)</f>
        <v>0</v>
      </c>
      <c r="G312" s="82">
        <f>IF(Consultas!H312='Parâmetros'!$E$1,100,0)</f>
        <v>0</v>
      </c>
      <c r="H312" s="82">
        <f>IF(Consultas!I312='Parâmetros'!$E$1,-4,12)</f>
        <v>12</v>
      </c>
      <c r="I312" s="82">
        <f>IF(Consultas!J312='Parâmetros'!$E$1,1,-13)</f>
        <v>-13</v>
      </c>
      <c r="J312" s="82">
        <f>IF(Consultas!K312='Parâmetros'!$E$1,2,-5)</f>
        <v>-5</v>
      </c>
      <c r="K312" s="82" t="str">
        <f>IF(Consultas!L312='Parâmetros'!$D$1,"SOLIC CONTRATO DE ENTREGA","N/A")</f>
        <v>N/A</v>
      </c>
      <c r="L312" s="82">
        <f>IF(Consultas!R312='Parâmetros'!$E$1,1,-3)</f>
        <v>-3</v>
      </c>
      <c r="M312" s="82" t="b">
        <f>IF(Consultas!S312&gt;1,(IF(Consultas!S312='Parâmetros'!$E$1,-3,9)))</f>
        <v>0</v>
      </c>
      <c r="N312" s="82">
        <f>IF(Consultas!T312="S",23,0)</f>
        <v>0</v>
      </c>
      <c r="O312" s="82">
        <f>IF(Consultas!U312='Parâmetros'!$E$1,-3,3)</f>
        <v>3</v>
      </c>
      <c r="P312" s="82">
        <f>IF(Consultas!V312='Parâmetros'!$E$1,-100,2)</f>
        <v>2</v>
      </c>
      <c r="Q312" s="82">
        <f>IF(Consultas!M312='Parâmetros'!$D$1,2,-9)</f>
        <v>-9</v>
      </c>
      <c r="R312" s="82">
        <f>IF(Consultas!N312="RJ",-12,0)</f>
        <v>0</v>
      </c>
      <c r="S312" s="82">
        <f>IF(Consultas!O312="-",-3,IF(Consultas!O312=0,-6,IF(Consultas!O312=5,0,IF(Consultas!O312=10,6))))</f>
        <v>-6</v>
      </c>
      <c r="T312" s="82">
        <f>IF(Consultas!M312="S",0,(IF(Consultas!P312="S",6,0)))</f>
        <v>0</v>
      </c>
      <c r="U312" s="82">
        <f>IF(Consultas!Q312&gt;97,9,IF(Consultas!Q312&gt;75,0,-7))</f>
        <v>-7</v>
      </c>
      <c r="V312" s="82">
        <f>IF(Consultas!W312='Parâmetros'!$E$1,1,-5)</f>
        <v>-5</v>
      </c>
      <c r="W312" s="82">
        <f>IF(Consultas!X312="S",3,-3)</f>
        <v>-3</v>
      </c>
      <c r="X312" s="82">
        <f>IF(Consultas!Y312="S",0,-7)</f>
        <v>-7</v>
      </c>
      <c r="Y312" s="82">
        <f>IF(Consultas!Z312='Parâmetros'!$E$1,2,-8)</f>
        <v>-8</v>
      </c>
      <c r="Z312" s="82">
        <f>IF(Consultas!AA312='Parâmetros'!$E$1,-15,1)</f>
        <v>1</v>
      </c>
      <c r="AA312" s="147" t="s">
        <v>140</v>
      </c>
      <c r="AB312" s="82" t="str">
        <f>IF(E312="NA","NA",IF(E312&gt;'Parâmetros'!$A$9,8,IF(E312&gt;'Parâmetros'!$A$8,4,IF(E312&gt;'Parâmetros'!$A$7,0,-6))))</f>
        <v>NA</v>
      </c>
      <c r="AC312" s="82">
        <f>IF(Consultas!AC312='Parâmetros'!$E$1,0,5)</f>
        <v>5</v>
      </c>
      <c r="AD312" s="82">
        <f>IF(Consultas!AH312='Parâmetros'!$D$1,-10,5)</f>
        <v>5</v>
      </c>
      <c r="AE312" s="82">
        <f>IF(Consultas!AI312&gt;(Consultas!F312*2),-10,0)</f>
        <v>0</v>
      </c>
      <c r="AF312" s="82" t="b">
        <f>IF(Consultas!AD312&gt;1,(IF(Consultas!AI312&gt;(Consultas!AD312),-20,4)))</f>
        <v>0</v>
      </c>
      <c r="AG312" s="82">
        <f>IF(Consultas!AG312='Parâmetros'!$E$1,0,-6)</f>
        <v>-6</v>
      </c>
      <c r="AH312" s="82">
        <f>IF(Consultas!AF312='Parâmetros'!$E$1,1,-5)</f>
        <v>-5</v>
      </c>
      <c r="AI312" s="82">
        <f>IF(Consultas!AJ312&gt;700,8,IF(Consultas!AJ312&gt;500,4,IF(Consultas!AJ312&gt;200,-4,IF(Consultas!AJ312&gt;1,-15,-20))))</f>
        <v>-20</v>
      </c>
      <c r="AJ312" s="82">
        <f>IF(Consultas!AD312='Parâmetros'!$E$10,0,IF(Consultas!AD312&gt;'Parâmetros'!$A$30,12,IF(Consultas!AD312&gt;'Parâmetros'!$A$31,6,IF(Consultas!AD312&gt;'Parâmetros'!$A$32,0,IF(Consultas!AD312&gt;'Parâmetros'!$A$33,0,IF(Consultas!AD312&gt;'Parâmetros'!$A$34,-3,IF(Consultas!AD312&gt;'Parâmetros'!$A$35,-7,-1)))))))</f>
        <v>-1</v>
      </c>
      <c r="AK312" s="82">
        <f>IF(Consultas!AO312='Parâmetros'!$D$1,3,-3)</f>
        <v>-3</v>
      </c>
      <c r="AL312" s="82">
        <f>IF(Consultas!AP312='Parâmetros'!$D$1,5,-3)</f>
        <v>-3</v>
      </c>
      <c r="AM312" s="82">
        <f>IF(Consultas!AL312="N",-6,0)</f>
        <v>0</v>
      </c>
      <c r="AN312" s="82">
        <f>IF(Consultas!AM312="N",-10,0)</f>
        <v>0</v>
      </c>
      <c r="AO312" s="82">
        <f>IF(Consultas!AN312="S",4,-2)</f>
        <v>-2</v>
      </c>
      <c r="AP312" s="39"/>
      <c r="AQ312" s="165" t="str">
        <f>IF(Consultas!F312&gt;1,(SUM(F312:AO312)),"N/A")</f>
        <v>N/A</v>
      </c>
      <c r="AR312" s="78">
        <f>IF((Consultas!AD312&gt;'Parâmetros'!$A$31),"X",AJ312+Y312+V312+AC312)</f>
        <v>-9</v>
      </c>
      <c r="AS312" s="78">
        <f>IF((Consultas!AD312&gt;'Parâmetros'!$A$31),"X",(H312+I312+J312+Q312+T312+Y312+Z312+AJ312+AN312))</f>
        <v>-23</v>
      </c>
      <c r="AT312" s="78" t="str">
        <f>IF((Consultas!AD312&lt;'Parâmetros'!$A$31),"X",(AD312+AC312+AB312))</f>
        <v>X</v>
      </c>
      <c r="AU312" s="78">
        <f t="shared" si="1"/>
        <v>-23</v>
      </c>
      <c r="AV312" s="82" t="str">
        <f>IF(AQ312="N/A","N/A",IF(AQ312&gt;5,'Parâmetros'!$A$15,(IF(AU312=AR312,'Parâmetros'!$A$17,IF(AU312=AS312,'Parâmetros'!$A$16,'Parâmetros'!$A$14)))))</f>
        <v>N/A</v>
      </c>
      <c r="AW312" s="86" t="str">
        <f>IF(AQ312="N/A","N/A",IF(AV312='Parâmetros'!$A$15,'Parâmetros'!$C$15,(IF(AV312='Parâmetros'!$A$17,'Parâmetros'!$C$17,IF(AV312='Parâmetros'!$A$16,'Parâmetros'!$C$16,IF(AV312='Parâmetros'!$A$14,'Parâmetros'!$C$12))))))</f>
        <v>N/A</v>
      </c>
      <c r="AX312" s="82" t="b">
        <f>IF(Consultas!F312&gt;1,(IF(Consultas!F312&gt;5000,"SOLICITAR PED COMPRA","N/A")))</f>
        <v>0</v>
      </c>
      <c r="AY312" s="167" t="str">
        <f>IF(AND(Consultas!M312&lt;&gt;"S", Consultas!H312="S"), "CHECAGEM REVERSA", "N/A")</f>
        <v>N/A</v>
      </c>
      <c r="AZ312" s="167" t="str">
        <f>IF(Consultas!U312="N","PRECISA CORRIGIR END DIVERGENTE","N/A")</f>
        <v>N/A</v>
      </c>
    </row>
    <row r="313" ht="12.0" customHeight="1">
      <c r="A313" s="39" t="s">
        <v>90</v>
      </c>
      <c r="B313" s="82" t="str">
        <f>Consultas!B313</f>
        <v/>
      </c>
      <c r="C313" s="82" t="str">
        <f>Consultas!D313</f>
        <v/>
      </c>
      <c r="D313" s="96" t="str">
        <f>Consultas!E313</f>
        <v/>
      </c>
      <c r="E313" s="104" t="str">
        <f>IF(Consultas!AB313&gt;0,YEAR('Parâmetros'!$B$1)-YEAR(Consultas!AB313),"NA")</f>
        <v>NA</v>
      </c>
      <c r="F313" s="82">
        <f>IF(Consultas!F313&gt;'Parâmetros'!$B$2,-8,0)</f>
        <v>0</v>
      </c>
      <c r="G313" s="82">
        <f>IF(Consultas!H313='Parâmetros'!$E$1,100,0)</f>
        <v>0</v>
      </c>
      <c r="H313" s="82">
        <f>IF(Consultas!I313='Parâmetros'!$E$1,-4,12)</f>
        <v>12</v>
      </c>
      <c r="I313" s="82">
        <f>IF(Consultas!J313='Parâmetros'!$E$1,1,-13)</f>
        <v>-13</v>
      </c>
      <c r="J313" s="82">
        <f>IF(Consultas!K313='Parâmetros'!$E$1,2,-5)</f>
        <v>-5</v>
      </c>
      <c r="K313" s="82" t="str">
        <f>IF(Consultas!L313='Parâmetros'!$D$1,"SOLIC CONTRATO DE ENTREGA","N/A")</f>
        <v>N/A</v>
      </c>
      <c r="L313" s="82">
        <f>IF(Consultas!R313='Parâmetros'!$E$1,1,-3)</f>
        <v>-3</v>
      </c>
      <c r="M313" s="82" t="b">
        <f>IF(Consultas!S313&gt;1,(IF(Consultas!S313='Parâmetros'!$E$1,-3,9)))</f>
        <v>0</v>
      </c>
      <c r="N313" s="82">
        <f>IF(Consultas!T313="S",23,0)</f>
        <v>0</v>
      </c>
      <c r="O313" s="82">
        <f>IF(Consultas!U313='Parâmetros'!$E$1,-3,3)</f>
        <v>3</v>
      </c>
      <c r="P313" s="82">
        <f>IF(Consultas!V313='Parâmetros'!$E$1,-100,2)</f>
        <v>2</v>
      </c>
      <c r="Q313" s="82">
        <f>IF(Consultas!M313='Parâmetros'!$D$1,2,-9)</f>
        <v>-9</v>
      </c>
      <c r="R313" s="82">
        <f>IF(Consultas!N313="RJ",-12,0)</f>
        <v>0</v>
      </c>
      <c r="S313" s="82">
        <f>IF(Consultas!O313="-",-3,IF(Consultas!O313=0,-6,IF(Consultas!O313=5,0,IF(Consultas!O313=10,6))))</f>
        <v>-6</v>
      </c>
      <c r="T313" s="82">
        <f>IF(Consultas!M313="S",0,(IF(Consultas!P313="S",6,0)))</f>
        <v>0</v>
      </c>
      <c r="U313" s="82">
        <f>IF(Consultas!Q313&gt;97,9,IF(Consultas!Q313&gt;75,0,-7))</f>
        <v>-7</v>
      </c>
      <c r="V313" s="82">
        <f>IF(Consultas!W313='Parâmetros'!$E$1,1,-5)</f>
        <v>-5</v>
      </c>
      <c r="W313" s="82">
        <f>IF(Consultas!X313="S",3,-3)</f>
        <v>-3</v>
      </c>
      <c r="X313" s="82">
        <f>IF(Consultas!Y313="S",0,-7)</f>
        <v>-7</v>
      </c>
      <c r="Y313" s="82">
        <f>IF(Consultas!Z313='Parâmetros'!$E$1,2,-8)</f>
        <v>-8</v>
      </c>
      <c r="Z313" s="82">
        <f>IF(Consultas!AA313='Parâmetros'!$E$1,-15,1)</f>
        <v>1</v>
      </c>
      <c r="AA313" s="147" t="s">
        <v>140</v>
      </c>
      <c r="AB313" s="82" t="str">
        <f>IF(E313="NA","NA",IF(E313&gt;'Parâmetros'!$A$9,8,IF(E313&gt;'Parâmetros'!$A$8,4,IF(E313&gt;'Parâmetros'!$A$7,0,-6))))</f>
        <v>NA</v>
      </c>
      <c r="AC313" s="82">
        <f>IF(Consultas!AC313='Parâmetros'!$E$1,0,5)</f>
        <v>5</v>
      </c>
      <c r="AD313" s="82">
        <f>IF(Consultas!AH313='Parâmetros'!$D$1,-10,5)</f>
        <v>5</v>
      </c>
      <c r="AE313" s="82">
        <f>IF(Consultas!AI313&gt;(Consultas!F313*2),-10,0)</f>
        <v>0</v>
      </c>
      <c r="AF313" s="82" t="b">
        <f>IF(Consultas!AD313&gt;1,(IF(Consultas!AI313&gt;(Consultas!AD313),-20,4)))</f>
        <v>0</v>
      </c>
      <c r="AG313" s="82">
        <f>IF(Consultas!AG313='Parâmetros'!$E$1,0,-6)</f>
        <v>-6</v>
      </c>
      <c r="AH313" s="82">
        <f>IF(Consultas!AF313='Parâmetros'!$E$1,1,-5)</f>
        <v>-5</v>
      </c>
      <c r="AI313" s="82">
        <f>IF(Consultas!AJ313&gt;700,8,IF(Consultas!AJ313&gt;500,4,IF(Consultas!AJ313&gt;200,-4,IF(Consultas!AJ313&gt;1,-15,-20))))</f>
        <v>-20</v>
      </c>
      <c r="AJ313" s="82">
        <f>IF(Consultas!AD313='Parâmetros'!$E$10,0,IF(Consultas!AD313&gt;'Parâmetros'!$A$30,12,IF(Consultas!AD313&gt;'Parâmetros'!$A$31,6,IF(Consultas!AD313&gt;'Parâmetros'!$A$32,0,IF(Consultas!AD313&gt;'Parâmetros'!$A$33,0,IF(Consultas!AD313&gt;'Parâmetros'!$A$34,-3,IF(Consultas!AD313&gt;'Parâmetros'!$A$35,-7,-1)))))))</f>
        <v>-1</v>
      </c>
      <c r="AK313" s="82">
        <f>IF(Consultas!AO313='Parâmetros'!$D$1,3,-3)</f>
        <v>-3</v>
      </c>
      <c r="AL313" s="82">
        <f>IF(Consultas!AP313='Parâmetros'!$D$1,5,-3)</f>
        <v>-3</v>
      </c>
      <c r="AM313" s="82">
        <f>IF(Consultas!AL313="N",-6,0)</f>
        <v>0</v>
      </c>
      <c r="AN313" s="82">
        <f>IF(Consultas!AM313="N",-10,0)</f>
        <v>0</v>
      </c>
      <c r="AO313" s="82">
        <f>IF(Consultas!AN313="S",4,-2)</f>
        <v>-2</v>
      </c>
      <c r="AP313" s="39"/>
      <c r="AQ313" s="165" t="str">
        <f>IF(Consultas!F313&gt;1,(SUM(F313:AO313)),"N/A")</f>
        <v>N/A</v>
      </c>
      <c r="AR313" s="78">
        <f>IF((Consultas!AD313&gt;'Parâmetros'!$A$31),"X",AJ313+Y313+V313+AC313)</f>
        <v>-9</v>
      </c>
      <c r="AS313" s="78">
        <f>IF((Consultas!AD313&gt;'Parâmetros'!$A$31),"X",(H313+I313+J313+Q313+T313+Y313+Z313+AJ313+AN313))</f>
        <v>-23</v>
      </c>
      <c r="AT313" s="78" t="str">
        <f>IF((Consultas!AD313&lt;'Parâmetros'!$A$31),"X",(AD313+AC313+AB313))</f>
        <v>X</v>
      </c>
      <c r="AU313" s="78">
        <f t="shared" si="1"/>
        <v>-23</v>
      </c>
      <c r="AV313" s="82" t="str">
        <f>IF(AQ313="N/A","N/A",IF(AQ313&gt;5,'Parâmetros'!$A$15,(IF(AU313=AR313,'Parâmetros'!$A$17,IF(AU313=AS313,'Parâmetros'!$A$16,'Parâmetros'!$A$14)))))</f>
        <v>N/A</v>
      </c>
      <c r="AW313" s="86" t="str">
        <f>IF(AQ313="N/A","N/A",IF(AV313='Parâmetros'!$A$15,'Parâmetros'!$C$15,(IF(AV313='Parâmetros'!$A$17,'Parâmetros'!$C$17,IF(AV313='Parâmetros'!$A$16,'Parâmetros'!$C$16,IF(AV313='Parâmetros'!$A$14,'Parâmetros'!$C$12))))))</f>
        <v>N/A</v>
      </c>
      <c r="AX313" s="82" t="b">
        <f>IF(Consultas!F313&gt;1,(IF(Consultas!F313&gt;5000,"SOLICITAR PED COMPRA","N/A")))</f>
        <v>0</v>
      </c>
      <c r="AY313" s="167" t="str">
        <f>IF(AND(Consultas!M313&lt;&gt;"S", Consultas!H313="S"), "CHECAGEM REVERSA", "N/A")</f>
        <v>N/A</v>
      </c>
      <c r="AZ313" s="167" t="str">
        <f>IF(Consultas!U313="N","PRECISA CORRIGIR END DIVERGENTE","N/A")</f>
        <v>N/A</v>
      </c>
    </row>
    <row r="314" ht="12.0" customHeight="1">
      <c r="A314" s="39" t="s">
        <v>90</v>
      </c>
      <c r="B314" s="82" t="str">
        <f>Consultas!B314</f>
        <v/>
      </c>
      <c r="C314" s="82" t="str">
        <f>Consultas!D314</f>
        <v/>
      </c>
      <c r="D314" s="96" t="str">
        <f>Consultas!E314</f>
        <v/>
      </c>
      <c r="E314" s="104" t="str">
        <f>IF(Consultas!AB314&gt;0,YEAR('Parâmetros'!$B$1)-YEAR(Consultas!AB314),"NA")</f>
        <v>NA</v>
      </c>
      <c r="F314" s="82">
        <f>IF(Consultas!F314&gt;'Parâmetros'!$B$2,-8,0)</f>
        <v>0</v>
      </c>
      <c r="G314" s="82">
        <f>IF(Consultas!H314='Parâmetros'!$E$1,100,0)</f>
        <v>0</v>
      </c>
      <c r="H314" s="82">
        <f>IF(Consultas!I314='Parâmetros'!$E$1,-4,12)</f>
        <v>12</v>
      </c>
      <c r="I314" s="82">
        <f>IF(Consultas!J314='Parâmetros'!$E$1,1,-13)</f>
        <v>-13</v>
      </c>
      <c r="J314" s="82">
        <f>IF(Consultas!K314='Parâmetros'!$E$1,2,-5)</f>
        <v>-5</v>
      </c>
      <c r="K314" s="82" t="str">
        <f>IF(Consultas!L314='Parâmetros'!$D$1,"SOLIC CONTRATO DE ENTREGA","N/A")</f>
        <v>N/A</v>
      </c>
      <c r="L314" s="82">
        <f>IF(Consultas!R314='Parâmetros'!$E$1,1,-3)</f>
        <v>-3</v>
      </c>
      <c r="M314" s="82" t="b">
        <f>IF(Consultas!S314&gt;1,(IF(Consultas!S314='Parâmetros'!$E$1,-3,9)))</f>
        <v>0</v>
      </c>
      <c r="N314" s="82">
        <f>IF(Consultas!T314="S",23,0)</f>
        <v>0</v>
      </c>
      <c r="O314" s="82">
        <f>IF(Consultas!U314='Parâmetros'!$E$1,-3,3)</f>
        <v>3</v>
      </c>
      <c r="P314" s="82">
        <f>IF(Consultas!V314='Parâmetros'!$E$1,-100,2)</f>
        <v>2</v>
      </c>
      <c r="Q314" s="82">
        <f>IF(Consultas!M314='Parâmetros'!$D$1,2,-9)</f>
        <v>-9</v>
      </c>
      <c r="R314" s="82">
        <f>IF(Consultas!N314="RJ",-12,0)</f>
        <v>0</v>
      </c>
      <c r="S314" s="82">
        <f>IF(Consultas!O314="-",-3,IF(Consultas!O314=0,-6,IF(Consultas!O314=5,0,IF(Consultas!O314=10,6))))</f>
        <v>-6</v>
      </c>
      <c r="T314" s="82">
        <f>IF(Consultas!M314="S",0,(IF(Consultas!P314="S",6,0)))</f>
        <v>0</v>
      </c>
      <c r="U314" s="82">
        <f>IF(Consultas!Q314&gt;97,9,IF(Consultas!Q314&gt;75,0,-7))</f>
        <v>-7</v>
      </c>
      <c r="V314" s="82">
        <f>IF(Consultas!W314='Parâmetros'!$E$1,1,-5)</f>
        <v>-5</v>
      </c>
      <c r="W314" s="82">
        <f>IF(Consultas!X314="S",3,-3)</f>
        <v>-3</v>
      </c>
      <c r="X314" s="82">
        <f>IF(Consultas!Y314="S",0,-7)</f>
        <v>-7</v>
      </c>
      <c r="Y314" s="82">
        <f>IF(Consultas!Z314='Parâmetros'!$E$1,2,-8)</f>
        <v>-8</v>
      </c>
      <c r="Z314" s="82">
        <f>IF(Consultas!AA314='Parâmetros'!$E$1,-15,1)</f>
        <v>1</v>
      </c>
      <c r="AA314" s="147" t="s">
        <v>140</v>
      </c>
      <c r="AB314" s="82" t="str">
        <f>IF(E314="NA","NA",IF(E314&gt;'Parâmetros'!$A$9,8,IF(E314&gt;'Parâmetros'!$A$8,4,IF(E314&gt;'Parâmetros'!$A$7,0,-6))))</f>
        <v>NA</v>
      </c>
      <c r="AC314" s="82">
        <f>IF(Consultas!AC314='Parâmetros'!$E$1,0,5)</f>
        <v>5</v>
      </c>
      <c r="AD314" s="82">
        <f>IF(Consultas!AH314='Parâmetros'!$D$1,-10,5)</f>
        <v>5</v>
      </c>
      <c r="AE314" s="82">
        <f>IF(Consultas!AI314&gt;(Consultas!F314*2),-10,0)</f>
        <v>0</v>
      </c>
      <c r="AF314" s="82" t="b">
        <f>IF(Consultas!AD314&gt;1,(IF(Consultas!AI314&gt;(Consultas!AD314),-20,4)))</f>
        <v>0</v>
      </c>
      <c r="AG314" s="82">
        <f>IF(Consultas!AG314='Parâmetros'!$E$1,0,-6)</f>
        <v>-6</v>
      </c>
      <c r="AH314" s="82">
        <f>IF(Consultas!AF314='Parâmetros'!$E$1,1,-5)</f>
        <v>-5</v>
      </c>
      <c r="AI314" s="82">
        <f>IF(Consultas!AJ314&gt;700,8,IF(Consultas!AJ314&gt;500,4,IF(Consultas!AJ314&gt;200,-4,IF(Consultas!AJ314&gt;1,-15,-20))))</f>
        <v>-20</v>
      </c>
      <c r="AJ314" s="82">
        <f>IF(Consultas!AD314='Parâmetros'!$E$10,0,IF(Consultas!AD314&gt;'Parâmetros'!$A$30,12,IF(Consultas!AD314&gt;'Parâmetros'!$A$31,6,IF(Consultas!AD314&gt;'Parâmetros'!$A$32,0,IF(Consultas!AD314&gt;'Parâmetros'!$A$33,0,IF(Consultas!AD314&gt;'Parâmetros'!$A$34,-3,IF(Consultas!AD314&gt;'Parâmetros'!$A$35,-7,-1)))))))</f>
        <v>-1</v>
      </c>
      <c r="AK314" s="82">
        <f>IF(Consultas!AO314='Parâmetros'!$D$1,3,-3)</f>
        <v>-3</v>
      </c>
      <c r="AL314" s="82">
        <f>IF(Consultas!AP314='Parâmetros'!$D$1,5,-3)</f>
        <v>-3</v>
      </c>
      <c r="AM314" s="82">
        <f>IF(Consultas!AL314="N",-6,0)</f>
        <v>0</v>
      </c>
      <c r="AN314" s="82">
        <f>IF(Consultas!AM314="N",-10,0)</f>
        <v>0</v>
      </c>
      <c r="AO314" s="82">
        <f>IF(Consultas!AN314="S",4,-2)</f>
        <v>-2</v>
      </c>
      <c r="AP314" s="39"/>
      <c r="AQ314" s="165" t="str">
        <f>IF(Consultas!F314&gt;1,(SUM(F314:AO314)),"N/A")</f>
        <v>N/A</v>
      </c>
      <c r="AR314" s="78">
        <f>IF((Consultas!AD314&gt;'Parâmetros'!$A$31),"X",AJ314+Y314+V314+AC314)</f>
        <v>-9</v>
      </c>
      <c r="AS314" s="78">
        <f>IF((Consultas!AD314&gt;'Parâmetros'!$A$31),"X",(H314+I314+J314+Q314+T314+Y314+Z314+AJ314+AN314))</f>
        <v>-23</v>
      </c>
      <c r="AT314" s="78" t="str">
        <f>IF((Consultas!AD314&lt;'Parâmetros'!$A$31),"X",(AD314+AC314+AB314))</f>
        <v>X</v>
      </c>
      <c r="AU314" s="78">
        <f t="shared" si="1"/>
        <v>-23</v>
      </c>
      <c r="AV314" s="82" t="str">
        <f>IF(AQ314="N/A","N/A",IF(AQ314&gt;5,'Parâmetros'!$A$15,(IF(AU314=AR314,'Parâmetros'!$A$17,IF(AU314=AS314,'Parâmetros'!$A$16,'Parâmetros'!$A$14)))))</f>
        <v>N/A</v>
      </c>
      <c r="AW314" s="86" t="str">
        <f>IF(AQ314="N/A","N/A",IF(AV314='Parâmetros'!$A$15,'Parâmetros'!$C$15,(IF(AV314='Parâmetros'!$A$17,'Parâmetros'!$C$17,IF(AV314='Parâmetros'!$A$16,'Parâmetros'!$C$16,IF(AV314='Parâmetros'!$A$14,'Parâmetros'!$C$12))))))</f>
        <v>N/A</v>
      </c>
      <c r="AX314" s="82" t="b">
        <f>IF(Consultas!F314&gt;1,(IF(Consultas!F314&gt;5000,"SOLICITAR PED COMPRA","N/A")))</f>
        <v>0</v>
      </c>
      <c r="AY314" s="167" t="str">
        <f>IF(AND(Consultas!M314&lt;&gt;"S", Consultas!H314="S"), "CHECAGEM REVERSA", "N/A")</f>
        <v>N/A</v>
      </c>
      <c r="AZ314" s="167" t="str">
        <f>IF(Consultas!U314="N","PRECISA CORRIGIR END DIVERGENTE","N/A")</f>
        <v>N/A</v>
      </c>
    </row>
    <row r="315" ht="12.0" customHeight="1">
      <c r="A315" s="39" t="s">
        <v>90</v>
      </c>
      <c r="B315" s="82" t="str">
        <f>Consultas!B315</f>
        <v/>
      </c>
      <c r="C315" s="82" t="str">
        <f>Consultas!D315</f>
        <v/>
      </c>
      <c r="D315" s="96" t="str">
        <f>Consultas!E315</f>
        <v/>
      </c>
      <c r="E315" s="104" t="str">
        <f>IF(Consultas!AB315&gt;0,YEAR('Parâmetros'!$B$1)-YEAR(Consultas!AB315),"NA")</f>
        <v>NA</v>
      </c>
      <c r="F315" s="82">
        <f>IF(Consultas!F315&gt;'Parâmetros'!$B$2,-8,0)</f>
        <v>0</v>
      </c>
      <c r="G315" s="82">
        <f>IF(Consultas!H315='Parâmetros'!$E$1,100,0)</f>
        <v>0</v>
      </c>
      <c r="H315" s="82">
        <f>IF(Consultas!I315='Parâmetros'!$E$1,-4,12)</f>
        <v>12</v>
      </c>
      <c r="I315" s="82">
        <f>IF(Consultas!J315='Parâmetros'!$E$1,1,-13)</f>
        <v>-13</v>
      </c>
      <c r="J315" s="82">
        <f>IF(Consultas!K315='Parâmetros'!$E$1,2,-5)</f>
        <v>-5</v>
      </c>
      <c r="K315" s="82" t="str">
        <f>IF(Consultas!L315='Parâmetros'!$D$1,"SOLIC CONTRATO DE ENTREGA","N/A")</f>
        <v>N/A</v>
      </c>
      <c r="L315" s="82">
        <f>IF(Consultas!R315='Parâmetros'!$E$1,1,-3)</f>
        <v>-3</v>
      </c>
      <c r="M315" s="82" t="b">
        <f>IF(Consultas!S315&gt;1,(IF(Consultas!S315='Parâmetros'!$E$1,-3,9)))</f>
        <v>0</v>
      </c>
      <c r="N315" s="82">
        <f>IF(Consultas!T315="S",23,0)</f>
        <v>0</v>
      </c>
      <c r="O315" s="82">
        <f>IF(Consultas!U315='Parâmetros'!$E$1,-3,3)</f>
        <v>3</v>
      </c>
      <c r="P315" s="82">
        <f>IF(Consultas!V315='Parâmetros'!$E$1,-100,2)</f>
        <v>2</v>
      </c>
      <c r="Q315" s="82">
        <f>IF(Consultas!M315='Parâmetros'!$D$1,2,-9)</f>
        <v>-9</v>
      </c>
      <c r="R315" s="82">
        <f>IF(Consultas!N315="RJ",-12,0)</f>
        <v>0</v>
      </c>
      <c r="S315" s="82">
        <f>IF(Consultas!O315="-",-3,IF(Consultas!O315=0,-6,IF(Consultas!O315=5,0,IF(Consultas!O315=10,6))))</f>
        <v>-6</v>
      </c>
      <c r="T315" s="82">
        <f>IF(Consultas!M315="S",0,(IF(Consultas!P315="S",6,0)))</f>
        <v>0</v>
      </c>
      <c r="U315" s="82">
        <f>IF(Consultas!Q315&gt;97,9,IF(Consultas!Q315&gt;75,0,-7))</f>
        <v>-7</v>
      </c>
      <c r="V315" s="82">
        <f>IF(Consultas!W315='Parâmetros'!$E$1,1,-5)</f>
        <v>-5</v>
      </c>
      <c r="W315" s="82">
        <f>IF(Consultas!X315="S",3,-3)</f>
        <v>-3</v>
      </c>
      <c r="X315" s="82">
        <f>IF(Consultas!Y315="S",0,-7)</f>
        <v>-7</v>
      </c>
      <c r="Y315" s="82">
        <f>IF(Consultas!Z315='Parâmetros'!$E$1,2,-8)</f>
        <v>-8</v>
      </c>
      <c r="Z315" s="82">
        <f>IF(Consultas!AA315='Parâmetros'!$E$1,-15,1)</f>
        <v>1</v>
      </c>
      <c r="AA315" s="147" t="s">
        <v>140</v>
      </c>
      <c r="AB315" s="82" t="str">
        <f>IF(E315="NA","NA",IF(E315&gt;'Parâmetros'!$A$9,8,IF(E315&gt;'Parâmetros'!$A$8,4,IF(E315&gt;'Parâmetros'!$A$7,0,-6))))</f>
        <v>NA</v>
      </c>
      <c r="AC315" s="82">
        <f>IF(Consultas!AC315='Parâmetros'!$E$1,0,5)</f>
        <v>5</v>
      </c>
      <c r="AD315" s="82">
        <f>IF(Consultas!AH315='Parâmetros'!$D$1,-10,5)</f>
        <v>5</v>
      </c>
      <c r="AE315" s="82">
        <f>IF(Consultas!AI315&gt;(Consultas!F315*2),-10,0)</f>
        <v>0</v>
      </c>
      <c r="AF315" s="82" t="b">
        <f>IF(Consultas!AD315&gt;1,(IF(Consultas!AI315&gt;(Consultas!AD315),-20,4)))</f>
        <v>0</v>
      </c>
      <c r="AG315" s="82">
        <f>IF(Consultas!AG315='Parâmetros'!$E$1,0,-6)</f>
        <v>-6</v>
      </c>
      <c r="AH315" s="82">
        <f>IF(Consultas!AF315='Parâmetros'!$E$1,1,-5)</f>
        <v>-5</v>
      </c>
      <c r="AI315" s="82">
        <f>IF(Consultas!AJ315&gt;700,8,IF(Consultas!AJ315&gt;500,4,IF(Consultas!AJ315&gt;200,-4,IF(Consultas!AJ315&gt;1,-15,-20))))</f>
        <v>-20</v>
      </c>
      <c r="AJ315" s="82">
        <f>IF(Consultas!AD315='Parâmetros'!$E$10,0,IF(Consultas!AD315&gt;'Parâmetros'!$A$30,12,IF(Consultas!AD315&gt;'Parâmetros'!$A$31,6,IF(Consultas!AD315&gt;'Parâmetros'!$A$32,0,IF(Consultas!AD315&gt;'Parâmetros'!$A$33,0,IF(Consultas!AD315&gt;'Parâmetros'!$A$34,-3,IF(Consultas!AD315&gt;'Parâmetros'!$A$35,-7,-1)))))))</f>
        <v>-1</v>
      </c>
      <c r="AK315" s="82">
        <f>IF(Consultas!AO315='Parâmetros'!$D$1,3,-3)</f>
        <v>-3</v>
      </c>
      <c r="AL315" s="82">
        <f>IF(Consultas!AP315='Parâmetros'!$D$1,5,-3)</f>
        <v>-3</v>
      </c>
      <c r="AM315" s="82">
        <f>IF(Consultas!AL315="N",-6,0)</f>
        <v>0</v>
      </c>
      <c r="AN315" s="82">
        <f>IF(Consultas!AM315="N",-10,0)</f>
        <v>0</v>
      </c>
      <c r="AO315" s="82">
        <f>IF(Consultas!AN315="S",4,-2)</f>
        <v>-2</v>
      </c>
      <c r="AP315" s="39"/>
      <c r="AQ315" s="165" t="str">
        <f>IF(Consultas!F315&gt;1,(SUM(F315:AO315)),"N/A")</f>
        <v>N/A</v>
      </c>
      <c r="AR315" s="78">
        <f>IF((Consultas!AD315&gt;'Parâmetros'!$A$31),"X",AJ315+Y315+V315+AC315)</f>
        <v>-9</v>
      </c>
      <c r="AS315" s="78">
        <f>IF((Consultas!AD315&gt;'Parâmetros'!$A$31),"X",(H315+I315+J315+Q315+T315+Y315+Z315+AJ315+AN315))</f>
        <v>-23</v>
      </c>
      <c r="AT315" s="78" t="str">
        <f>IF((Consultas!AD315&lt;'Parâmetros'!$A$31),"X",(AD315+AC315+AB315))</f>
        <v>X</v>
      </c>
      <c r="AU315" s="78">
        <f t="shared" si="1"/>
        <v>-23</v>
      </c>
      <c r="AV315" s="82" t="str">
        <f>IF(AQ315="N/A","N/A",IF(AQ315&gt;5,'Parâmetros'!$A$15,(IF(AU315=AR315,'Parâmetros'!$A$17,IF(AU315=AS315,'Parâmetros'!$A$16,'Parâmetros'!$A$14)))))</f>
        <v>N/A</v>
      </c>
      <c r="AW315" s="86" t="str">
        <f>IF(AQ315="N/A","N/A",IF(AV315='Parâmetros'!$A$15,'Parâmetros'!$C$15,(IF(AV315='Parâmetros'!$A$17,'Parâmetros'!$C$17,IF(AV315='Parâmetros'!$A$16,'Parâmetros'!$C$16,IF(AV315='Parâmetros'!$A$14,'Parâmetros'!$C$12))))))</f>
        <v>N/A</v>
      </c>
      <c r="AX315" s="82" t="b">
        <f>IF(Consultas!F315&gt;1,(IF(Consultas!F315&gt;5000,"SOLICITAR PED COMPRA","N/A")))</f>
        <v>0</v>
      </c>
      <c r="AY315" s="167" t="str">
        <f>IF(AND(Consultas!M315&lt;&gt;"S", Consultas!H315="S"), "CHECAGEM REVERSA", "N/A")</f>
        <v>N/A</v>
      </c>
      <c r="AZ315" s="167" t="str">
        <f>IF(Consultas!U315="N","PRECISA CORRIGIR END DIVERGENTE","N/A")</f>
        <v>N/A</v>
      </c>
    </row>
    <row r="316" ht="12.0" customHeight="1">
      <c r="A316" s="39" t="s">
        <v>90</v>
      </c>
      <c r="B316" s="82" t="str">
        <f>Consultas!B316</f>
        <v/>
      </c>
      <c r="C316" s="82" t="str">
        <f>Consultas!D316</f>
        <v/>
      </c>
      <c r="D316" s="96" t="str">
        <f>Consultas!E316</f>
        <v/>
      </c>
      <c r="E316" s="104" t="str">
        <f>IF(Consultas!AB316&gt;0,YEAR('Parâmetros'!$B$1)-YEAR(Consultas!AB316),"NA")</f>
        <v>NA</v>
      </c>
      <c r="F316" s="82">
        <f>IF(Consultas!F316&gt;'Parâmetros'!$B$2,-8,0)</f>
        <v>0</v>
      </c>
      <c r="G316" s="82">
        <f>IF(Consultas!H316='Parâmetros'!$E$1,100,0)</f>
        <v>0</v>
      </c>
      <c r="H316" s="82">
        <f>IF(Consultas!I316='Parâmetros'!$E$1,-4,12)</f>
        <v>12</v>
      </c>
      <c r="I316" s="82">
        <f>IF(Consultas!J316='Parâmetros'!$E$1,1,-13)</f>
        <v>-13</v>
      </c>
      <c r="J316" s="82">
        <f>IF(Consultas!K316='Parâmetros'!$E$1,2,-5)</f>
        <v>-5</v>
      </c>
      <c r="K316" s="82" t="str">
        <f>IF(Consultas!L316='Parâmetros'!$D$1,"SOLIC CONTRATO DE ENTREGA","N/A")</f>
        <v>N/A</v>
      </c>
      <c r="L316" s="82">
        <f>IF(Consultas!R316='Parâmetros'!$E$1,1,-3)</f>
        <v>-3</v>
      </c>
      <c r="M316" s="82" t="b">
        <f>IF(Consultas!S316&gt;1,(IF(Consultas!S316='Parâmetros'!$E$1,-3,9)))</f>
        <v>0</v>
      </c>
      <c r="N316" s="82">
        <f>IF(Consultas!T316="S",23,0)</f>
        <v>0</v>
      </c>
      <c r="O316" s="82">
        <f>IF(Consultas!U316='Parâmetros'!$E$1,-3,3)</f>
        <v>3</v>
      </c>
      <c r="P316" s="82">
        <f>IF(Consultas!V316='Parâmetros'!$E$1,-100,2)</f>
        <v>2</v>
      </c>
      <c r="Q316" s="82">
        <f>IF(Consultas!M316='Parâmetros'!$D$1,2,-9)</f>
        <v>-9</v>
      </c>
      <c r="R316" s="82">
        <f>IF(Consultas!N316="RJ",-12,0)</f>
        <v>0</v>
      </c>
      <c r="S316" s="82">
        <f>IF(Consultas!O316="-",-3,IF(Consultas!O316=0,-6,IF(Consultas!O316=5,0,IF(Consultas!O316=10,6))))</f>
        <v>-6</v>
      </c>
      <c r="T316" s="82">
        <f>IF(Consultas!M316="S",0,(IF(Consultas!P316="S",6,0)))</f>
        <v>0</v>
      </c>
      <c r="U316" s="82">
        <f>IF(Consultas!Q316&gt;97,9,IF(Consultas!Q316&gt;75,0,-7))</f>
        <v>-7</v>
      </c>
      <c r="V316" s="82">
        <f>IF(Consultas!W316='Parâmetros'!$E$1,1,-5)</f>
        <v>-5</v>
      </c>
      <c r="W316" s="82">
        <f>IF(Consultas!X316="S",3,-3)</f>
        <v>-3</v>
      </c>
      <c r="X316" s="82">
        <f>IF(Consultas!Y316="S",0,-7)</f>
        <v>-7</v>
      </c>
      <c r="Y316" s="82">
        <f>IF(Consultas!Z316='Parâmetros'!$E$1,2,-8)</f>
        <v>-8</v>
      </c>
      <c r="Z316" s="82">
        <f>IF(Consultas!AA316='Parâmetros'!$E$1,-15,1)</f>
        <v>1</v>
      </c>
      <c r="AA316" s="147" t="s">
        <v>140</v>
      </c>
      <c r="AB316" s="82" t="str">
        <f>IF(E316="NA","NA",IF(E316&gt;'Parâmetros'!$A$9,8,IF(E316&gt;'Parâmetros'!$A$8,4,IF(E316&gt;'Parâmetros'!$A$7,0,-6))))</f>
        <v>NA</v>
      </c>
      <c r="AC316" s="82">
        <f>IF(Consultas!AC316='Parâmetros'!$E$1,0,5)</f>
        <v>5</v>
      </c>
      <c r="AD316" s="82">
        <f>IF(Consultas!AH316='Parâmetros'!$D$1,-10,5)</f>
        <v>5</v>
      </c>
      <c r="AE316" s="82">
        <f>IF(Consultas!AI316&gt;(Consultas!F316*2),-10,0)</f>
        <v>0</v>
      </c>
      <c r="AF316" s="82" t="b">
        <f>IF(Consultas!AD316&gt;1,(IF(Consultas!AI316&gt;(Consultas!AD316),-20,4)))</f>
        <v>0</v>
      </c>
      <c r="AG316" s="82">
        <f>IF(Consultas!AG316='Parâmetros'!$E$1,0,-6)</f>
        <v>-6</v>
      </c>
      <c r="AH316" s="82">
        <f>IF(Consultas!AF316='Parâmetros'!$E$1,1,-5)</f>
        <v>-5</v>
      </c>
      <c r="AI316" s="82">
        <f>IF(Consultas!AJ316&gt;700,8,IF(Consultas!AJ316&gt;500,4,IF(Consultas!AJ316&gt;200,-4,IF(Consultas!AJ316&gt;1,-15,-20))))</f>
        <v>-20</v>
      </c>
      <c r="AJ316" s="82">
        <f>IF(Consultas!AD316='Parâmetros'!$E$10,0,IF(Consultas!AD316&gt;'Parâmetros'!$A$30,12,IF(Consultas!AD316&gt;'Parâmetros'!$A$31,6,IF(Consultas!AD316&gt;'Parâmetros'!$A$32,0,IF(Consultas!AD316&gt;'Parâmetros'!$A$33,0,IF(Consultas!AD316&gt;'Parâmetros'!$A$34,-3,IF(Consultas!AD316&gt;'Parâmetros'!$A$35,-7,-1)))))))</f>
        <v>-1</v>
      </c>
      <c r="AK316" s="82">
        <f>IF(Consultas!AO316='Parâmetros'!$D$1,3,-3)</f>
        <v>-3</v>
      </c>
      <c r="AL316" s="82">
        <f>IF(Consultas!AP316='Parâmetros'!$D$1,5,-3)</f>
        <v>-3</v>
      </c>
      <c r="AM316" s="82">
        <f>IF(Consultas!AL316="N",-6,0)</f>
        <v>0</v>
      </c>
      <c r="AN316" s="82">
        <f>IF(Consultas!AM316="N",-10,0)</f>
        <v>0</v>
      </c>
      <c r="AO316" s="82">
        <f>IF(Consultas!AN316="S",4,-2)</f>
        <v>-2</v>
      </c>
      <c r="AP316" s="39"/>
      <c r="AQ316" s="165" t="str">
        <f>IF(Consultas!F316&gt;1,(SUM(F316:AO316)),"N/A")</f>
        <v>N/A</v>
      </c>
      <c r="AR316" s="78">
        <f>IF((Consultas!AD316&gt;'Parâmetros'!$A$31),"X",AJ316+Y316+V316+AC316)</f>
        <v>-9</v>
      </c>
      <c r="AS316" s="78">
        <f>IF((Consultas!AD316&gt;'Parâmetros'!$A$31),"X",(H316+I316+J316+Q316+T316+Y316+Z316+AJ316+AN316))</f>
        <v>-23</v>
      </c>
      <c r="AT316" s="78" t="str">
        <f>IF((Consultas!AD316&lt;'Parâmetros'!$A$31),"X",(AD316+AC316+AB316))</f>
        <v>X</v>
      </c>
      <c r="AU316" s="78">
        <f t="shared" si="1"/>
        <v>-23</v>
      </c>
      <c r="AV316" s="82" t="str">
        <f>IF(AQ316="N/A","N/A",IF(AQ316&gt;5,'Parâmetros'!$A$15,(IF(AU316=AR316,'Parâmetros'!$A$17,IF(AU316=AS316,'Parâmetros'!$A$16,'Parâmetros'!$A$14)))))</f>
        <v>N/A</v>
      </c>
      <c r="AW316" s="86" t="str">
        <f>IF(AQ316="N/A","N/A",IF(AV316='Parâmetros'!$A$15,'Parâmetros'!$C$15,(IF(AV316='Parâmetros'!$A$17,'Parâmetros'!$C$17,IF(AV316='Parâmetros'!$A$16,'Parâmetros'!$C$16,IF(AV316='Parâmetros'!$A$14,'Parâmetros'!$C$12))))))</f>
        <v>N/A</v>
      </c>
      <c r="AX316" s="82" t="b">
        <f>IF(Consultas!F316&gt;1,(IF(Consultas!F316&gt;5000,"SOLICITAR PED COMPRA","N/A")))</f>
        <v>0</v>
      </c>
      <c r="AY316" s="167" t="str">
        <f>IF(AND(Consultas!M316&lt;&gt;"S", Consultas!H316="S"), "CHECAGEM REVERSA", "N/A")</f>
        <v>N/A</v>
      </c>
      <c r="AZ316" s="167" t="str">
        <f>IF(Consultas!U316="N","PRECISA CORRIGIR END DIVERGENTE","N/A")</f>
        <v>N/A</v>
      </c>
    </row>
    <row r="317" ht="12.0" customHeight="1">
      <c r="A317" s="39" t="s">
        <v>90</v>
      </c>
      <c r="B317" s="82" t="str">
        <f>Consultas!B317</f>
        <v/>
      </c>
      <c r="C317" s="82" t="str">
        <f>Consultas!D317</f>
        <v/>
      </c>
      <c r="D317" s="96" t="str">
        <f>Consultas!E317</f>
        <v/>
      </c>
      <c r="E317" s="104" t="str">
        <f>IF(Consultas!AB317&gt;0,YEAR('Parâmetros'!$B$1)-YEAR(Consultas!AB317),"NA")</f>
        <v>NA</v>
      </c>
      <c r="F317" s="82">
        <f>IF(Consultas!F317&gt;'Parâmetros'!$B$2,-8,0)</f>
        <v>0</v>
      </c>
      <c r="G317" s="82">
        <f>IF(Consultas!H317='Parâmetros'!$E$1,100,0)</f>
        <v>0</v>
      </c>
      <c r="H317" s="82">
        <f>IF(Consultas!I317='Parâmetros'!$E$1,-4,12)</f>
        <v>12</v>
      </c>
      <c r="I317" s="82">
        <f>IF(Consultas!J317='Parâmetros'!$E$1,1,-13)</f>
        <v>-13</v>
      </c>
      <c r="J317" s="82">
        <f>IF(Consultas!K317='Parâmetros'!$E$1,2,-5)</f>
        <v>-5</v>
      </c>
      <c r="K317" s="82" t="str">
        <f>IF(Consultas!L317='Parâmetros'!$D$1,"SOLIC CONTRATO DE ENTREGA","N/A")</f>
        <v>N/A</v>
      </c>
      <c r="L317" s="82">
        <f>IF(Consultas!R317='Parâmetros'!$E$1,1,-3)</f>
        <v>-3</v>
      </c>
      <c r="M317" s="82" t="b">
        <f>IF(Consultas!S317&gt;1,(IF(Consultas!S317='Parâmetros'!$E$1,-3,9)))</f>
        <v>0</v>
      </c>
      <c r="N317" s="82">
        <f>IF(Consultas!T317="S",23,0)</f>
        <v>0</v>
      </c>
      <c r="O317" s="82">
        <f>IF(Consultas!U317='Parâmetros'!$E$1,-3,3)</f>
        <v>3</v>
      </c>
      <c r="P317" s="82">
        <f>IF(Consultas!V317='Parâmetros'!$E$1,-100,2)</f>
        <v>2</v>
      </c>
      <c r="Q317" s="82">
        <f>IF(Consultas!M317='Parâmetros'!$D$1,2,-9)</f>
        <v>-9</v>
      </c>
      <c r="R317" s="82">
        <f>IF(Consultas!N317="RJ",-12,0)</f>
        <v>0</v>
      </c>
      <c r="S317" s="82">
        <f>IF(Consultas!O317="-",-3,IF(Consultas!O317=0,-6,IF(Consultas!O317=5,0,IF(Consultas!O317=10,6))))</f>
        <v>-6</v>
      </c>
      <c r="T317" s="82">
        <f>IF(Consultas!M317="S",0,(IF(Consultas!P317="S",6,0)))</f>
        <v>0</v>
      </c>
      <c r="U317" s="82">
        <f>IF(Consultas!Q317&gt;97,9,IF(Consultas!Q317&gt;75,0,-7))</f>
        <v>-7</v>
      </c>
      <c r="V317" s="82">
        <f>IF(Consultas!W317='Parâmetros'!$E$1,1,-5)</f>
        <v>-5</v>
      </c>
      <c r="W317" s="82">
        <f>IF(Consultas!X317="S",3,-3)</f>
        <v>-3</v>
      </c>
      <c r="X317" s="82">
        <f>IF(Consultas!Y317="S",0,-7)</f>
        <v>-7</v>
      </c>
      <c r="Y317" s="82">
        <f>IF(Consultas!Z317='Parâmetros'!$E$1,2,-8)</f>
        <v>-8</v>
      </c>
      <c r="Z317" s="82">
        <f>IF(Consultas!AA317='Parâmetros'!$E$1,-15,1)</f>
        <v>1</v>
      </c>
      <c r="AA317" s="147" t="s">
        <v>140</v>
      </c>
      <c r="AB317" s="82" t="str">
        <f>IF(E317="NA","NA",IF(E317&gt;'Parâmetros'!$A$9,8,IF(E317&gt;'Parâmetros'!$A$8,4,IF(E317&gt;'Parâmetros'!$A$7,0,-6))))</f>
        <v>NA</v>
      </c>
      <c r="AC317" s="82">
        <f>IF(Consultas!AC317='Parâmetros'!$E$1,0,5)</f>
        <v>5</v>
      </c>
      <c r="AD317" s="82">
        <f>IF(Consultas!AH317='Parâmetros'!$D$1,-10,5)</f>
        <v>5</v>
      </c>
      <c r="AE317" s="82">
        <f>IF(Consultas!AI317&gt;(Consultas!F317*2),-10,0)</f>
        <v>0</v>
      </c>
      <c r="AF317" s="82" t="b">
        <f>IF(Consultas!AD317&gt;1,(IF(Consultas!AI317&gt;(Consultas!AD317),-20,4)))</f>
        <v>0</v>
      </c>
      <c r="AG317" s="82">
        <f>IF(Consultas!AG317='Parâmetros'!$E$1,0,-6)</f>
        <v>-6</v>
      </c>
      <c r="AH317" s="82">
        <f>IF(Consultas!AF317='Parâmetros'!$E$1,1,-5)</f>
        <v>-5</v>
      </c>
      <c r="AI317" s="82">
        <f>IF(Consultas!AJ317&gt;700,8,IF(Consultas!AJ317&gt;500,4,IF(Consultas!AJ317&gt;200,-4,IF(Consultas!AJ317&gt;1,-15,-20))))</f>
        <v>-20</v>
      </c>
      <c r="AJ317" s="82">
        <f>IF(Consultas!AD317='Parâmetros'!$E$10,0,IF(Consultas!AD317&gt;'Parâmetros'!$A$30,12,IF(Consultas!AD317&gt;'Parâmetros'!$A$31,6,IF(Consultas!AD317&gt;'Parâmetros'!$A$32,0,IF(Consultas!AD317&gt;'Parâmetros'!$A$33,0,IF(Consultas!AD317&gt;'Parâmetros'!$A$34,-3,IF(Consultas!AD317&gt;'Parâmetros'!$A$35,-7,-1)))))))</f>
        <v>-1</v>
      </c>
      <c r="AK317" s="82">
        <f>IF(Consultas!AO317='Parâmetros'!$D$1,3,-3)</f>
        <v>-3</v>
      </c>
      <c r="AL317" s="82">
        <f>IF(Consultas!AP317='Parâmetros'!$D$1,5,-3)</f>
        <v>-3</v>
      </c>
      <c r="AM317" s="82">
        <f>IF(Consultas!AL317="N",-6,0)</f>
        <v>0</v>
      </c>
      <c r="AN317" s="82">
        <f>IF(Consultas!AM317="N",-10,0)</f>
        <v>0</v>
      </c>
      <c r="AO317" s="82">
        <f>IF(Consultas!AN317="S",4,-2)</f>
        <v>-2</v>
      </c>
      <c r="AP317" s="39"/>
      <c r="AQ317" s="165" t="str">
        <f>IF(Consultas!F317&gt;1,(SUM(F317:AO317)),"N/A")</f>
        <v>N/A</v>
      </c>
      <c r="AR317" s="78">
        <f>IF((Consultas!AD317&gt;'Parâmetros'!$A$31),"X",AJ317+Y317+V317+AC317)</f>
        <v>-9</v>
      </c>
      <c r="AS317" s="78">
        <f>IF((Consultas!AD317&gt;'Parâmetros'!$A$31),"X",(H317+I317+J317+Q317+T317+Y317+Z317+AJ317+AN317))</f>
        <v>-23</v>
      </c>
      <c r="AT317" s="78" t="str">
        <f>IF((Consultas!AD317&lt;'Parâmetros'!$A$31),"X",(AD317+AC317+AB317))</f>
        <v>X</v>
      </c>
      <c r="AU317" s="78">
        <f t="shared" si="1"/>
        <v>-23</v>
      </c>
      <c r="AV317" s="82" t="str">
        <f>IF(AQ317="N/A","N/A",IF(AQ317&gt;5,'Parâmetros'!$A$15,(IF(AU317=AR317,'Parâmetros'!$A$17,IF(AU317=AS317,'Parâmetros'!$A$16,'Parâmetros'!$A$14)))))</f>
        <v>N/A</v>
      </c>
      <c r="AW317" s="86" t="str">
        <f>IF(AQ317="N/A","N/A",IF(AV317='Parâmetros'!$A$15,'Parâmetros'!$C$15,(IF(AV317='Parâmetros'!$A$17,'Parâmetros'!$C$17,IF(AV317='Parâmetros'!$A$16,'Parâmetros'!$C$16,IF(AV317='Parâmetros'!$A$14,'Parâmetros'!$C$12))))))</f>
        <v>N/A</v>
      </c>
      <c r="AX317" s="82" t="b">
        <f>IF(Consultas!F317&gt;1,(IF(Consultas!F317&gt;5000,"SOLICITAR PED COMPRA","N/A")))</f>
        <v>0</v>
      </c>
      <c r="AY317" s="167" t="str">
        <f>IF(AND(Consultas!M317&lt;&gt;"S", Consultas!H317="S"), "CHECAGEM REVERSA", "N/A")</f>
        <v>N/A</v>
      </c>
      <c r="AZ317" s="167" t="str">
        <f>IF(Consultas!U317="N","PRECISA CORRIGIR END DIVERGENTE","N/A")</f>
        <v>N/A</v>
      </c>
    </row>
    <row r="318" ht="12.0" customHeight="1">
      <c r="A318" s="39" t="s">
        <v>90</v>
      </c>
      <c r="B318" s="82" t="str">
        <f>Consultas!B318</f>
        <v/>
      </c>
      <c r="C318" s="82" t="str">
        <f>Consultas!D318</f>
        <v/>
      </c>
      <c r="D318" s="96" t="str">
        <f>Consultas!E318</f>
        <v/>
      </c>
      <c r="E318" s="104" t="str">
        <f>IF(Consultas!AB318&gt;0,YEAR('Parâmetros'!$B$1)-YEAR(Consultas!AB318),"NA")</f>
        <v>NA</v>
      </c>
      <c r="F318" s="82">
        <f>IF(Consultas!F318&gt;'Parâmetros'!$B$2,-8,0)</f>
        <v>0</v>
      </c>
      <c r="G318" s="82">
        <f>IF(Consultas!H318='Parâmetros'!$E$1,100,0)</f>
        <v>0</v>
      </c>
      <c r="H318" s="82">
        <f>IF(Consultas!I318='Parâmetros'!$E$1,-4,12)</f>
        <v>12</v>
      </c>
      <c r="I318" s="82">
        <f>IF(Consultas!J318='Parâmetros'!$E$1,1,-13)</f>
        <v>-13</v>
      </c>
      <c r="J318" s="82">
        <f>IF(Consultas!K318='Parâmetros'!$E$1,2,-5)</f>
        <v>-5</v>
      </c>
      <c r="K318" s="82" t="str">
        <f>IF(Consultas!L318='Parâmetros'!$D$1,"SOLIC CONTRATO DE ENTREGA","N/A")</f>
        <v>N/A</v>
      </c>
      <c r="L318" s="82">
        <f>IF(Consultas!R318='Parâmetros'!$E$1,1,-3)</f>
        <v>-3</v>
      </c>
      <c r="M318" s="82" t="b">
        <f>IF(Consultas!S318&gt;1,(IF(Consultas!S318='Parâmetros'!$E$1,-3,9)))</f>
        <v>0</v>
      </c>
      <c r="N318" s="82">
        <f>IF(Consultas!T318="S",23,0)</f>
        <v>0</v>
      </c>
      <c r="O318" s="82">
        <f>IF(Consultas!U318='Parâmetros'!$E$1,-3,3)</f>
        <v>3</v>
      </c>
      <c r="P318" s="82">
        <f>IF(Consultas!V318='Parâmetros'!$E$1,-100,2)</f>
        <v>2</v>
      </c>
      <c r="Q318" s="82">
        <f>IF(Consultas!M318='Parâmetros'!$D$1,2,-9)</f>
        <v>-9</v>
      </c>
      <c r="R318" s="82">
        <f>IF(Consultas!N318="RJ",-12,0)</f>
        <v>0</v>
      </c>
      <c r="S318" s="82">
        <f>IF(Consultas!O318="-",-3,IF(Consultas!O318=0,-6,IF(Consultas!O318=5,0,IF(Consultas!O318=10,6))))</f>
        <v>-6</v>
      </c>
      <c r="T318" s="82">
        <f>IF(Consultas!M318="S",0,(IF(Consultas!P318="S",6,0)))</f>
        <v>0</v>
      </c>
      <c r="U318" s="82">
        <f>IF(Consultas!Q318&gt;97,9,IF(Consultas!Q318&gt;75,0,-7))</f>
        <v>-7</v>
      </c>
      <c r="V318" s="82">
        <f>IF(Consultas!W318='Parâmetros'!$E$1,1,-5)</f>
        <v>-5</v>
      </c>
      <c r="W318" s="82">
        <f>IF(Consultas!X318="S",3,-3)</f>
        <v>-3</v>
      </c>
      <c r="X318" s="82">
        <f>IF(Consultas!Y318="S",0,-7)</f>
        <v>-7</v>
      </c>
      <c r="Y318" s="82">
        <f>IF(Consultas!Z318='Parâmetros'!$E$1,2,-8)</f>
        <v>-8</v>
      </c>
      <c r="Z318" s="82">
        <f>IF(Consultas!AA318='Parâmetros'!$E$1,-15,1)</f>
        <v>1</v>
      </c>
      <c r="AA318" s="147" t="s">
        <v>140</v>
      </c>
      <c r="AB318" s="82" t="str">
        <f>IF(E318="NA","NA",IF(E318&gt;'Parâmetros'!$A$9,8,IF(E318&gt;'Parâmetros'!$A$8,4,IF(E318&gt;'Parâmetros'!$A$7,0,-6))))</f>
        <v>NA</v>
      </c>
      <c r="AC318" s="82">
        <f>IF(Consultas!AC318='Parâmetros'!$E$1,0,5)</f>
        <v>5</v>
      </c>
      <c r="AD318" s="82">
        <f>IF(Consultas!AH318='Parâmetros'!$D$1,-10,5)</f>
        <v>5</v>
      </c>
      <c r="AE318" s="82">
        <f>IF(Consultas!AI318&gt;(Consultas!F318*2),-10,0)</f>
        <v>0</v>
      </c>
      <c r="AF318" s="82" t="b">
        <f>IF(Consultas!AD318&gt;1,(IF(Consultas!AI318&gt;(Consultas!AD318),-20,4)))</f>
        <v>0</v>
      </c>
      <c r="AG318" s="82">
        <f>IF(Consultas!AG318='Parâmetros'!$E$1,0,-6)</f>
        <v>-6</v>
      </c>
      <c r="AH318" s="82">
        <f>IF(Consultas!AF318='Parâmetros'!$E$1,1,-5)</f>
        <v>-5</v>
      </c>
      <c r="AI318" s="82">
        <f>IF(Consultas!AJ318&gt;700,8,IF(Consultas!AJ318&gt;500,4,IF(Consultas!AJ318&gt;200,-4,IF(Consultas!AJ318&gt;1,-15,-20))))</f>
        <v>-20</v>
      </c>
      <c r="AJ318" s="82">
        <f>IF(Consultas!AD318='Parâmetros'!$E$10,0,IF(Consultas!AD318&gt;'Parâmetros'!$A$30,12,IF(Consultas!AD318&gt;'Parâmetros'!$A$31,6,IF(Consultas!AD318&gt;'Parâmetros'!$A$32,0,IF(Consultas!AD318&gt;'Parâmetros'!$A$33,0,IF(Consultas!AD318&gt;'Parâmetros'!$A$34,-3,IF(Consultas!AD318&gt;'Parâmetros'!$A$35,-7,-1)))))))</f>
        <v>-1</v>
      </c>
      <c r="AK318" s="82">
        <f>IF(Consultas!AO318='Parâmetros'!$D$1,3,-3)</f>
        <v>-3</v>
      </c>
      <c r="AL318" s="82">
        <f>IF(Consultas!AP318='Parâmetros'!$D$1,5,-3)</f>
        <v>-3</v>
      </c>
      <c r="AM318" s="82">
        <f>IF(Consultas!AL318="N",-6,0)</f>
        <v>0</v>
      </c>
      <c r="AN318" s="82">
        <f>IF(Consultas!AM318="N",-10,0)</f>
        <v>0</v>
      </c>
      <c r="AO318" s="82">
        <f>IF(Consultas!AN318="S",4,-2)</f>
        <v>-2</v>
      </c>
      <c r="AP318" s="39"/>
      <c r="AQ318" s="165" t="str">
        <f>IF(Consultas!F318&gt;1,(SUM(F318:AO318)),"N/A")</f>
        <v>N/A</v>
      </c>
      <c r="AR318" s="78">
        <f>IF((Consultas!AD318&gt;'Parâmetros'!$A$31),"X",AJ318+Y318+V318+AC318)</f>
        <v>-9</v>
      </c>
      <c r="AS318" s="78">
        <f>IF((Consultas!AD318&gt;'Parâmetros'!$A$31),"X",(H318+I318+J318+Q318+T318+Y318+Z318+AJ318+AN318))</f>
        <v>-23</v>
      </c>
      <c r="AT318" s="78" t="str">
        <f>IF((Consultas!AD318&lt;'Parâmetros'!$A$31),"X",(AD318+AC318+AB318))</f>
        <v>X</v>
      </c>
      <c r="AU318" s="78">
        <f t="shared" si="1"/>
        <v>-23</v>
      </c>
      <c r="AV318" s="82" t="str">
        <f>IF(AQ318="N/A","N/A",IF(AQ318&gt;5,'Parâmetros'!$A$15,(IF(AU318=AR318,'Parâmetros'!$A$17,IF(AU318=AS318,'Parâmetros'!$A$16,'Parâmetros'!$A$14)))))</f>
        <v>N/A</v>
      </c>
      <c r="AW318" s="86" t="str">
        <f>IF(AQ318="N/A","N/A",IF(AV318='Parâmetros'!$A$15,'Parâmetros'!$C$15,(IF(AV318='Parâmetros'!$A$17,'Parâmetros'!$C$17,IF(AV318='Parâmetros'!$A$16,'Parâmetros'!$C$16,IF(AV318='Parâmetros'!$A$14,'Parâmetros'!$C$12))))))</f>
        <v>N/A</v>
      </c>
      <c r="AX318" s="82" t="b">
        <f>IF(Consultas!F318&gt;1,(IF(Consultas!F318&gt;5000,"SOLICITAR PED COMPRA","N/A")))</f>
        <v>0</v>
      </c>
      <c r="AY318" s="167" t="str">
        <f>IF(AND(Consultas!M318&lt;&gt;"S", Consultas!H318="S"), "CHECAGEM REVERSA", "N/A")</f>
        <v>N/A</v>
      </c>
      <c r="AZ318" s="167" t="str">
        <f>IF(Consultas!U318="N","PRECISA CORRIGIR END DIVERGENTE","N/A")</f>
        <v>N/A</v>
      </c>
    </row>
    <row r="319" ht="12.0" customHeight="1">
      <c r="A319" s="39" t="s">
        <v>90</v>
      </c>
      <c r="B319" s="82" t="str">
        <f>Consultas!B319</f>
        <v/>
      </c>
      <c r="C319" s="82" t="str">
        <f>Consultas!D319</f>
        <v/>
      </c>
      <c r="D319" s="96" t="str">
        <f>Consultas!E319</f>
        <v/>
      </c>
      <c r="E319" s="104" t="str">
        <f>IF(Consultas!AB319&gt;0,YEAR('Parâmetros'!$B$1)-YEAR(Consultas!AB319),"NA")</f>
        <v>NA</v>
      </c>
      <c r="F319" s="82">
        <f>IF(Consultas!F319&gt;'Parâmetros'!$B$2,-8,0)</f>
        <v>0</v>
      </c>
      <c r="G319" s="82">
        <f>IF(Consultas!H319='Parâmetros'!$E$1,100,0)</f>
        <v>0</v>
      </c>
      <c r="H319" s="82">
        <f>IF(Consultas!I319='Parâmetros'!$E$1,-4,12)</f>
        <v>12</v>
      </c>
      <c r="I319" s="82">
        <f>IF(Consultas!J319='Parâmetros'!$E$1,1,-13)</f>
        <v>-13</v>
      </c>
      <c r="J319" s="82">
        <f>IF(Consultas!K319='Parâmetros'!$E$1,2,-5)</f>
        <v>-5</v>
      </c>
      <c r="K319" s="82" t="str">
        <f>IF(Consultas!L319='Parâmetros'!$D$1,"SOLIC CONTRATO DE ENTREGA","N/A")</f>
        <v>N/A</v>
      </c>
      <c r="L319" s="82">
        <f>IF(Consultas!R319='Parâmetros'!$E$1,1,-3)</f>
        <v>-3</v>
      </c>
      <c r="M319" s="82" t="b">
        <f>IF(Consultas!S319&gt;1,(IF(Consultas!S319='Parâmetros'!$E$1,-3,9)))</f>
        <v>0</v>
      </c>
      <c r="N319" s="82">
        <f>IF(Consultas!T319="S",23,0)</f>
        <v>0</v>
      </c>
      <c r="O319" s="82">
        <f>IF(Consultas!U319='Parâmetros'!$E$1,-3,3)</f>
        <v>3</v>
      </c>
      <c r="P319" s="82">
        <f>IF(Consultas!V319='Parâmetros'!$E$1,-100,2)</f>
        <v>2</v>
      </c>
      <c r="Q319" s="82">
        <f>IF(Consultas!M319='Parâmetros'!$D$1,2,-9)</f>
        <v>-9</v>
      </c>
      <c r="R319" s="82">
        <f>IF(Consultas!N319="RJ",-12,0)</f>
        <v>0</v>
      </c>
      <c r="S319" s="82">
        <f>IF(Consultas!O319="-",-3,IF(Consultas!O319=0,-6,IF(Consultas!O319=5,0,IF(Consultas!O319=10,6))))</f>
        <v>-6</v>
      </c>
      <c r="T319" s="82">
        <f>IF(Consultas!M319="S",0,(IF(Consultas!P319="S",6,0)))</f>
        <v>0</v>
      </c>
      <c r="U319" s="82">
        <f>IF(Consultas!Q319&gt;97,9,IF(Consultas!Q319&gt;75,0,-7))</f>
        <v>-7</v>
      </c>
      <c r="V319" s="82">
        <f>IF(Consultas!W319='Parâmetros'!$E$1,1,-5)</f>
        <v>-5</v>
      </c>
      <c r="W319" s="82">
        <f>IF(Consultas!X319="S",3,-3)</f>
        <v>-3</v>
      </c>
      <c r="X319" s="82">
        <f>IF(Consultas!Y319="S",0,-7)</f>
        <v>-7</v>
      </c>
      <c r="Y319" s="82">
        <f>IF(Consultas!Z319='Parâmetros'!$E$1,2,-8)</f>
        <v>-8</v>
      </c>
      <c r="Z319" s="82">
        <f>IF(Consultas!AA319='Parâmetros'!$E$1,-15,1)</f>
        <v>1</v>
      </c>
      <c r="AA319" s="147" t="s">
        <v>140</v>
      </c>
      <c r="AB319" s="82" t="str">
        <f>IF(E319="NA","NA",IF(E319&gt;'Parâmetros'!$A$9,8,IF(E319&gt;'Parâmetros'!$A$8,4,IF(E319&gt;'Parâmetros'!$A$7,0,-6))))</f>
        <v>NA</v>
      </c>
      <c r="AC319" s="82">
        <f>IF(Consultas!AC319='Parâmetros'!$E$1,0,5)</f>
        <v>5</v>
      </c>
      <c r="AD319" s="82">
        <f>IF(Consultas!AH319='Parâmetros'!$D$1,-10,5)</f>
        <v>5</v>
      </c>
      <c r="AE319" s="82">
        <f>IF(Consultas!AI319&gt;(Consultas!F319*2),-10,0)</f>
        <v>0</v>
      </c>
      <c r="AF319" s="82" t="b">
        <f>IF(Consultas!AD319&gt;1,(IF(Consultas!AI319&gt;(Consultas!AD319),-20,4)))</f>
        <v>0</v>
      </c>
      <c r="AG319" s="82">
        <f>IF(Consultas!AG319='Parâmetros'!$E$1,0,-6)</f>
        <v>-6</v>
      </c>
      <c r="AH319" s="82">
        <f>IF(Consultas!AF319='Parâmetros'!$E$1,1,-5)</f>
        <v>-5</v>
      </c>
      <c r="AI319" s="82">
        <f>IF(Consultas!AJ319&gt;700,8,IF(Consultas!AJ319&gt;500,4,IF(Consultas!AJ319&gt;200,-4,IF(Consultas!AJ319&gt;1,-15,-20))))</f>
        <v>-20</v>
      </c>
      <c r="AJ319" s="82">
        <f>IF(Consultas!AD319='Parâmetros'!$E$10,0,IF(Consultas!AD319&gt;'Parâmetros'!$A$30,12,IF(Consultas!AD319&gt;'Parâmetros'!$A$31,6,IF(Consultas!AD319&gt;'Parâmetros'!$A$32,0,IF(Consultas!AD319&gt;'Parâmetros'!$A$33,0,IF(Consultas!AD319&gt;'Parâmetros'!$A$34,-3,IF(Consultas!AD319&gt;'Parâmetros'!$A$35,-7,-1)))))))</f>
        <v>-1</v>
      </c>
      <c r="AK319" s="82">
        <f>IF(Consultas!AO319='Parâmetros'!$D$1,3,-3)</f>
        <v>-3</v>
      </c>
      <c r="AL319" s="82">
        <f>IF(Consultas!AP319='Parâmetros'!$D$1,5,-3)</f>
        <v>-3</v>
      </c>
      <c r="AM319" s="82">
        <f>IF(Consultas!AL319="N",-6,0)</f>
        <v>0</v>
      </c>
      <c r="AN319" s="82">
        <f>IF(Consultas!AM319="N",-10,0)</f>
        <v>0</v>
      </c>
      <c r="AO319" s="82">
        <f>IF(Consultas!AN319="S",4,-2)</f>
        <v>-2</v>
      </c>
      <c r="AP319" s="39"/>
      <c r="AQ319" s="165" t="str">
        <f>IF(Consultas!F319&gt;1,(SUM(F319:AO319)),"N/A")</f>
        <v>N/A</v>
      </c>
      <c r="AR319" s="78">
        <f>IF((Consultas!AD319&gt;'Parâmetros'!$A$31),"X",AJ319+Y319+V319+AC319)</f>
        <v>-9</v>
      </c>
      <c r="AS319" s="78">
        <f>IF((Consultas!AD319&gt;'Parâmetros'!$A$31),"X",(H319+I319+J319+Q319+T319+Y319+Z319+AJ319+AN319))</f>
        <v>-23</v>
      </c>
      <c r="AT319" s="78" t="str">
        <f>IF((Consultas!AD319&lt;'Parâmetros'!$A$31),"X",(AD319+AC319+AB319))</f>
        <v>X</v>
      </c>
      <c r="AU319" s="78">
        <f t="shared" si="1"/>
        <v>-23</v>
      </c>
      <c r="AV319" s="82" t="str">
        <f>IF(AQ319="N/A","N/A",IF(AQ319&gt;5,'Parâmetros'!$A$15,(IF(AU319=AR319,'Parâmetros'!$A$17,IF(AU319=AS319,'Parâmetros'!$A$16,'Parâmetros'!$A$14)))))</f>
        <v>N/A</v>
      </c>
      <c r="AW319" s="86" t="str">
        <f>IF(AQ319="N/A","N/A",IF(AV319='Parâmetros'!$A$15,'Parâmetros'!$C$15,(IF(AV319='Parâmetros'!$A$17,'Parâmetros'!$C$17,IF(AV319='Parâmetros'!$A$16,'Parâmetros'!$C$16,IF(AV319='Parâmetros'!$A$14,'Parâmetros'!$C$12))))))</f>
        <v>N/A</v>
      </c>
      <c r="AX319" s="82" t="b">
        <f>IF(Consultas!F319&gt;1,(IF(Consultas!F319&gt;5000,"SOLICITAR PED COMPRA","N/A")))</f>
        <v>0</v>
      </c>
      <c r="AY319" s="167" t="str">
        <f>IF(AND(Consultas!M319&lt;&gt;"S", Consultas!H319="S"), "CHECAGEM REVERSA", "N/A")</f>
        <v>N/A</v>
      </c>
      <c r="AZ319" s="167" t="str">
        <f>IF(Consultas!U319="N","PRECISA CORRIGIR END DIVERGENTE","N/A")</f>
        <v>N/A</v>
      </c>
    </row>
    <row r="320" ht="12.0" customHeight="1">
      <c r="A320" s="39" t="s">
        <v>90</v>
      </c>
      <c r="B320" s="82" t="str">
        <f>Consultas!B320</f>
        <v/>
      </c>
      <c r="C320" s="82" t="str">
        <f>Consultas!D320</f>
        <v/>
      </c>
      <c r="D320" s="96" t="str">
        <f>Consultas!E320</f>
        <v/>
      </c>
      <c r="E320" s="104" t="str">
        <f>IF(Consultas!AB320&gt;0,YEAR('Parâmetros'!$B$1)-YEAR(Consultas!AB320),"NA")</f>
        <v>NA</v>
      </c>
      <c r="F320" s="82">
        <f>IF(Consultas!F320&gt;'Parâmetros'!$B$2,-8,0)</f>
        <v>0</v>
      </c>
      <c r="G320" s="82">
        <f>IF(Consultas!H320='Parâmetros'!$E$1,100,0)</f>
        <v>0</v>
      </c>
      <c r="H320" s="82">
        <f>IF(Consultas!I320='Parâmetros'!$E$1,-4,12)</f>
        <v>12</v>
      </c>
      <c r="I320" s="82">
        <f>IF(Consultas!J320='Parâmetros'!$E$1,1,-13)</f>
        <v>-13</v>
      </c>
      <c r="J320" s="82">
        <f>IF(Consultas!K320='Parâmetros'!$E$1,2,-5)</f>
        <v>-5</v>
      </c>
      <c r="K320" s="82" t="str">
        <f>IF(Consultas!L320='Parâmetros'!$D$1,"SOLIC CONTRATO DE ENTREGA","N/A")</f>
        <v>N/A</v>
      </c>
      <c r="L320" s="82">
        <f>IF(Consultas!R320='Parâmetros'!$E$1,1,-3)</f>
        <v>-3</v>
      </c>
      <c r="M320" s="82" t="b">
        <f>IF(Consultas!S320&gt;1,(IF(Consultas!S320='Parâmetros'!$E$1,-3,9)))</f>
        <v>0</v>
      </c>
      <c r="N320" s="82">
        <f>IF(Consultas!T320="S",23,0)</f>
        <v>0</v>
      </c>
      <c r="O320" s="82">
        <f>IF(Consultas!U320='Parâmetros'!$E$1,-3,3)</f>
        <v>3</v>
      </c>
      <c r="P320" s="82">
        <f>IF(Consultas!V320='Parâmetros'!$E$1,-100,2)</f>
        <v>2</v>
      </c>
      <c r="Q320" s="82">
        <f>IF(Consultas!M320='Parâmetros'!$D$1,2,-9)</f>
        <v>-9</v>
      </c>
      <c r="R320" s="82">
        <f>IF(Consultas!N320="RJ",-12,0)</f>
        <v>0</v>
      </c>
      <c r="S320" s="82">
        <f>IF(Consultas!O320="-",-3,IF(Consultas!O320=0,-6,IF(Consultas!O320=5,0,IF(Consultas!O320=10,6))))</f>
        <v>-6</v>
      </c>
      <c r="T320" s="82">
        <f>IF(Consultas!M320="S",0,(IF(Consultas!P320="S",6,0)))</f>
        <v>0</v>
      </c>
      <c r="U320" s="82">
        <f>IF(Consultas!Q320&gt;97,9,IF(Consultas!Q320&gt;75,0,-7))</f>
        <v>-7</v>
      </c>
      <c r="V320" s="82">
        <f>IF(Consultas!W320='Parâmetros'!$E$1,1,-5)</f>
        <v>-5</v>
      </c>
      <c r="W320" s="82">
        <f>IF(Consultas!X320="S",3,-3)</f>
        <v>-3</v>
      </c>
      <c r="X320" s="82">
        <f>IF(Consultas!Y320="S",0,-7)</f>
        <v>-7</v>
      </c>
      <c r="Y320" s="82">
        <f>IF(Consultas!Z320='Parâmetros'!$E$1,2,-8)</f>
        <v>-8</v>
      </c>
      <c r="Z320" s="82">
        <f>IF(Consultas!AA320='Parâmetros'!$E$1,-15,1)</f>
        <v>1</v>
      </c>
      <c r="AA320" s="147" t="s">
        <v>140</v>
      </c>
      <c r="AB320" s="82" t="str">
        <f>IF(E320="NA","NA",IF(E320&gt;'Parâmetros'!$A$9,8,IF(E320&gt;'Parâmetros'!$A$8,4,IF(E320&gt;'Parâmetros'!$A$7,0,-6))))</f>
        <v>NA</v>
      </c>
      <c r="AC320" s="82">
        <f>IF(Consultas!AC320='Parâmetros'!$E$1,0,5)</f>
        <v>5</v>
      </c>
      <c r="AD320" s="82">
        <f>IF(Consultas!AH320='Parâmetros'!$D$1,-10,5)</f>
        <v>5</v>
      </c>
      <c r="AE320" s="82">
        <f>IF(Consultas!AI320&gt;(Consultas!F320*2),-10,0)</f>
        <v>0</v>
      </c>
      <c r="AF320" s="82" t="b">
        <f>IF(Consultas!AD320&gt;1,(IF(Consultas!AI320&gt;(Consultas!AD320),-20,4)))</f>
        <v>0</v>
      </c>
      <c r="AG320" s="82">
        <f>IF(Consultas!AG320='Parâmetros'!$E$1,0,-6)</f>
        <v>-6</v>
      </c>
      <c r="AH320" s="82">
        <f>IF(Consultas!AF320='Parâmetros'!$E$1,1,-5)</f>
        <v>-5</v>
      </c>
      <c r="AI320" s="82">
        <f>IF(Consultas!AJ320&gt;700,8,IF(Consultas!AJ320&gt;500,4,IF(Consultas!AJ320&gt;200,-4,IF(Consultas!AJ320&gt;1,-15,-20))))</f>
        <v>-20</v>
      </c>
      <c r="AJ320" s="82">
        <f>IF(Consultas!AD320='Parâmetros'!$E$10,0,IF(Consultas!AD320&gt;'Parâmetros'!$A$30,12,IF(Consultas!AD320&gt;'Parâmetros'!$A$31,6,IF(Consultas!AD320&gt;'Parâmetros'!$A$32,0,IF(Consultas!AD320&gt;'Parâmetros'!$A$33,0,IF(Consultas!AD320&gt;'Parâmetros'!$A$34,-3,IF(Consultas!AD320&gt;'Parâmetros'!$A$35,-7,-1)))))))</f>
        <v>-1</v>
      </c>
      <c r="AK320" s="82">
        <f>IF(Consultas!AO320='Parâmetros'!$D$1,3,-3)</f>
        <v>-3</v>
      </c>
      <c r="AL320" s="82">
        <f>IF(Consultas!AP320='Parâmetros'!$D$1,5,-3)</f>
        <v>-3</v>
      </c>
      <c r="AM320" s="82">
        <f>IF(Consultas!AL320="N",-6,0)</f>
        <v>0</v>
      </c>
      <c r="AN320" s="82">
        <f>IF(Consultas!AM320="N",-10,0)</f>
        <v>0</v>
      </c>
      <c r="AO320" s="82">
        <f>IF(Consultas!AN320="S",4,-2)</f>
        <v>-2</v>
      </c>
      <c r="AP320" s="39"/>
      <c r="AQ320" s="165" t="str">
        <f>IF(Consultas!F320&gt;1,(SUM(F320:AO320)),"N/A")</f>
        <v>N/A</v>
      </c>
      <c r="AR320" s="78">
        <f>IF((Consultas!AD320&gt;'Parâmetros'!$A$31),"X",AJ320+Y320+V320+AC320)</f>
        <v>-9</v>
      </c>
      <c r="AS320" s="78">
        <f>IF((Consultas!AD320&gt;'Parâmetros'!$A$31),"X",(H320+I320+J320+Q320+T320+Y320+Z320+AJ320+AN320))</f>
        <v>-23</v>
      </c>
      <c r="AT320" s="78" t="str">
        <f>IF((Consultas!AD320&lt;'Parâmetros'!$A$31),"X",(AD320+AC320+AB320))</f>
        <v>X</v>
      </c>
      <c r="AU320" s="78">
        <f t="shared" si="1"/>
        <v>-23</v>
      </c>
      <c r="AV320" s="82" t="str">
        <f>IF(AQ320="N/A","N/A",IF(AQ320&gt;5,'Parâmetros'!$A$15,(IF(AU320=AR320,'Parâmetros'!$A$17,IF(AU320=AS320,'Parâmetros'!$A$16,'Parâmetros'!$A$14)))))</f>
        <v>N/A</v>
      </c>
      <c r="AW320" s="86" t="str">
        <f>IF(AQ320="N/A","N/A",IF(AV320='Parâmetros'!$A$15,'Parâmetros'!$C$15,(IF(AV320='Parâmetros'!$A$17,'Parâmetros'!$C$17,IF(AV320='Parâmetros'!$A$16,'Parâmetros'!$C$16,IF(AV320='Parâmetros'!$A$14,'Parâmetros'!$C$12))))))</f>
        <v>N/A</v>
      </c>
      <c r="AX320" s="82" t="b">
        <f>IF(Consultas!F320&gt;1,(IF(Consultas!F320&gt;5000,"SOLICITAR PED COMPRA","N/A")))</f>
        <v>0</v>
      </c>
      <c r="AY320" s="167" t="str">
        <f>IF(AND(Consultas!M320&lt;&gt;"S", Consultas!H320="S"), "CHECAGEM REVERSA", "N/A")</f>
        <v>N/A</v>
      </c>
      <c r="AZ320" s="167" t="str">
        <f>IF(Consultas!U320="N","PRECISA CORRIGIR END DIVERGENTE","N/A")</f>
        <v>N/A</v>
      </c>
    </row>
    <row r="321" ht="12.0" customHeight="1">
      <c r="A321" s="39" t="s">
        <v>90</v>
      </c>
      <c r="B321" s="82" t="str">
        <f>Consultas!B321</f>
        <v/>
      </c>
      <c r="C321" s="82" t="str">
        <f>Consultas!D321</f>
        <v/>
      </c>
      <c r="D321" s="96" t="str">
        <f>Consultas!E321</f>
        <v/>
      </c>
      <c r="E321" s="104" t="str">
        <f>IF(Consultas!AB321&gt;0,YEAR('Parâmetros'!$B$1)-YEAR(Consultas!AB321),"NA")</f>
        <v>NA</v>
      </c>
      <c r="F321" s="82">
        <f>IF(Consultas!F321&gt;'Parâmetros'!$B$2,-8,0)</f>
        <v>0</v>
      </c>
      <c r="G321" s="82">
        <f>IF(Consultas!H321='Parâmetros'!$E$1,100,0)</f>
        <v>0</v>
      </c>
      <c r="H321" s="82">
        <f>IF(Consultas!I321='Parâmetros'!$E$1,-4,12)</f>
        <v>12</v>
      </c>
      <c r="I321" s="82">
        <f>IF(Consultas!J321='Parâmetros'!$E$1,1,-13)</f>
        <v>-13</v>
      </c>
      <c r="J321" s="82">
        <f>IF(Consultas!K321='Parâmetros'!$E$1,2,-5)</f>
        <v>-5</v>
      </c>
      <c r="K321" s="82" t="str">
        <f>IF(Consultas!L321='Parâmetros'!$D$1,"SOLIC CONTRATO DE ENTREGA","N/A")</f>
        <v>N/A</v>
      </c>
      <c r="L321" s="82">
        <f>IF(Consultas!R321='Parâmetros'!$E$1,1,-3)</f>
        <v>-3</v>
      </c>
      <c r="M321" s="82" t="b">
        <f>IF(Consultas!S321&gt;1,(IF(Consultas!S321='Parâmetros'!$E$1,-3,9)))</f>
        <v>0</v>
      </c>
      <c r="N321" s="82">
        <f>IF(Consultas!T321="S",23,0)</f>
        <v>0</v>
      </c>
      <c r="O321" s="82">
        <f>IF(Consultas!U321='Parâmetros'!$E$1,-3,3)</f>
        <v>3</v>
      </c>
      <c r="P321" s="82">
        <f>IF(Consultas!V321='Parâmetros'!$E$1,-100,2)</f>
        <v>2</v>
      </c>
      <c r="Q321" s="82">
        <f>IF(Consultas!M321='Parâmetros'!$D$1,2,-9)</f>
        <v>-9</v>
      </c>
      <c r="R321" s="82">
        <f>IF(Consultas!N321="RJ",-12,0)</f>
        <v>0</v>
      </c>
      <c r="S321" s="82">
        <f>IF(Consultas!O321="-",-3,IF(Consultas!O321=0,-6,IF(Consultas!O321=5,0,IF(Consultas!O321=10,6))))</f>
        <v>-6</v>
      </c>
      <c r="T321" s="82">
        <f>IF(Consultas!M321="S",0,(IF(Consultas!P321="S",6,0)))</f>
        <v>0</v>
      </c>
      <c r="U321" s="82">
        <f>IF(Consultas!Q321&gt;97,9,IF(Consultas!Q321&gt;75,0,-7))</f>
        <v>-7</v>
      </c>
      <c r="V321" s="82">
        <f>IF(Consultas!W321='Parâmetros'!$E$1,1,-5)</f>
        <v>-5</v>
      </c>
      <c r="W321" s="82">
        <f>IF(Consultas!X321="S",3,-3)</f>
        <v>-3</v>
      </c>
      <c r="X321" s="82">
        <f>IF(Consultas!Y321="S",0,-7)</f>
        <v>-7</v>
      </c>
      <c r="Y321" s="82">
        <f>IF(Consultas!Z321='Parâmetros'!$E$1,2,-8)</f>
        <v>-8</v>
      </c>
      <c r="Z321" s="82">
        <f>IF(Consultas!AA321='Parâmetros'!$E$1,-15,1)</f>
        <v>1</v>
      </c>
      <c r="AA321" s="147" t="s">
        <v>140</v>
      </c>
      <c r="AB321" s="82" t="str">
        <f>IF(E321="NA","NA",IF(E321&gt;'Parâmetros'!$A$9,8,IF(E321&gt;'Parâmetros'!$A$8,4,IF(E321&gt;'Parâmetros'!$A$7,0,-6))))</f>
        <v>NA</v>
      </c>
      <c r="AC321" s="82">
        <f>IF(Consultas!AC321='Parâmetros'!$E$1,0,5)</f>
        <v>5</v>
      </c>
      <c r="AD321" s="82">
        <f>IF(Consultas!AH321='Parâmetros'!$D$1,-10,5)</f>
        <v>5</v>
      </c>
      <c r="AE321" s="82">
        <f>IF(Consultas!AI321&gt;(Consultas!F321*2),-10,0)</f>
        <v>0</v>
      </c>
      <c r="AF321" s="82" t="b">
        <f>IF(Consultas!AD321&gt;1,(IF(Consultas!AI321&gt;(Consultas!AD321),-20,4)))</f>
        <v>0</v>
      </c>
      <c r="AG321" s="82">
        <f>IF(Consultas!AG321='Parâmetros'!$E$1,0,-6)</f>
        <v>-6</v>
      </c>
      <c r="AH321" s="82">
        <f>IF(Consultas!AF321='Parâmetros'!$E$1,1,-5)</f>
        <v>-5</v>
      </c>
      <c r="AI321" s="82">
        <f>IF(Consultas!AJ321&gt;700,8,IF(Consultas!AJ321&gt;500,4,IF(Consultas!AJ321&gt;200,-4,IF(Consultas!AJ321&gt;1,-15,-20))))</f>
        <v>-20</v>
      </c>
      <c r="AJ321" s="82">
        <f>IF(Consultas!AD321='Parâmetros'!$E$10,0,IF(Consultas!AD321&gt;'Parâmetros'!$A$30,12,IF(Consultas!AD321&gt;'Parâmetros'!$A$31,6,IF(Consultas!AD321&gt;'Parâmetros'!$A$32,0,IF(Consultas!AD321&gt;'Parâmetros'!$A$33,0,IF(Consultas!AD321&gt;'Parâmetros'!$A$34,-3,IF(Consultas!AD321&gt;'Parâmetros'!$A$35,-7,-1)))))))</f>
        <v>-1</v>
      </c>
      <c r="AK321" s="82">
        <f>IF(Consultas!AO321='Parâmetros'!$D$1,3,-3)</f>
        <v>-3</v>
      </c>
      <c r="AL321" s="82">
        <f>IF(Consultas!AP321='Parâmetros'!$D$1,5,-3)</f>
        <v>-3</v>
      </c>
      <c r="AM321" s="82">
        <f>IF(Consultas!AL321="N",-6,0)</f>
        <v>0</v>
      </c>
      <c r="AN321" s="82">
        <f>IF(Consultas!AM321="N",-10,0)</f>
        <v>0</v>
      </c>
      <c r="AO321" s="82">
        <f>IF(Consultas!AN321="S",4,-2)</f>
        <v>-2</v>
      </c>
      <c r="AP321" s="39"/>
      <c r="AQ321" s="165" t="str">
        <f>IF(Consultas!F321&gt;1,(SUM(F321:AO321)),"N/A")</f>
        <v>N/A</v>
      </c>
      <c r="AR321" s="78">
        <f>IF((Consultas!AD321&gt;'Parâmetros'!$A$31),"X",AJ321+Y321+V321+AC321)</f>
        <v>-9</v>
      </c>
      <c r="AS321" s="78">
        <f>IF((Consultas!AD321&gt;'Parâmetros'!$A$31),"X",(H321+I321+J321+Q321+T321+Y321+Z321+AJ321+AN321))</f>
        <v>-23</v>
      </c>
      <c r="AT321" s="78" t="str">
        <f>IF((Consultas!AD321&lt;'Parâmetros'!$A$31),"X",(AD321+AC321+AB321))</f>
        <v>X</v>
      </c>
      <c r="AU321" s="78">
        <f t="shared" si="1"/>
        <v>-23</v>
      </c>
      <c r="AV321" s="82" t="str">
        <f>IF(AQ321="N/A","N/A",IF(AQ321&gt;5,'Parâmetros'!$A$15,(IF(AU321=AR321,'Parâmetros'!$A$17,IF(AU321=AS321,'Parâmetros'!$A$16,'Parâmetros'!$A$14)))))</f>
        <v>N/A</v>
      </c>
      <c r="AW321" s="86" t="str">
        <f>IF(AQ321="N/A","N/A",IF(AV321='Parâmetros'!$A$15,'Parâmetros'!$C$15,(IF(AV321='Parâmetros'!$A$17,'Parâmetros'!$C$17,IF(AV321='Parâmetros'!$A$16,'Parâmetros'!$C$16,IF(AV321='Parâmetros'!$A$14,'Parâmetros'!$C$12))))))</f>
        <v>N/A</v>
      </c>
      <c r="AX321" s="82" t="b">
        <f>IF(Consultas!F321&gt;1,(IF(Consultas!F321&gt;5000,"SOLICITAR PED COMPRA","N/A")))</f>
        <v>0</v>
      </c>
      <c r="AY321" s="167" t="str">
        <f>IF(AND(Consultas!M321&lt;&gt;"S", Consultas!H321="S"), "CHECAGEM REVERSA", "N/A")</f>
        <v>N/A</v>
      </c>
      <c r="AZ321" s="167" t="str">
        <f>IF(Consultas!U321="N","PRECISA CORRIGIR END DIVERGENTE","N/A")</f>
        <v>N/A</v>
      </c>
    </row>
    <row r="322" ht="12.0" customHeight="1">
      <c r="A322" s="39" t="s">
        <v>90</v>
      </c>
      <c r="B322" s="82" t="str">
        <f>Consultas!B322</f>
        <v/>
      </c>
      <c r="C322" s="82" t="str">
        <f>Consultas!D322</f>
        <v/>
      </c>
      <c r="D322" s="96" t="str">
        <f>Consultas!E322</f>
        <v/>
      </c>
      <c r="E322" s="104" t="str">
        <f>IF(Consultas!AB322&gt;0,YEAR('Parâmetros'!$B$1)-YEAR(Consultas!AB322),"NA")</f>
        <v>NA</v>
      </c>
      <c r="F322" s="82">
        <f>IF(Consultas!F322&gt;'Parâmetros'!$B$2,-8,0)</f>
        <v>0</v>
      </c>
      <c r="G322" s="82">
        <f>IF(Consultas!H322='Parâmetros'!$E$1,100,0)</f>
        <v>0</v>
      </c>
      <c r="H322" s="82">
        <f>IF(Consultas!I322='Parâmetros'!$E$1,-4,12)</f>
        <v>12</v>
      </c>
      <c r="I322" s="82">
        <f>IF(Consultas!J322='Parâmetros'!$E$1,1,-13)</f>
        <v>-13</v>
      </c>
      <c r="J322" s="82">
        <f>IF(Consultas!K322='Parâmetros'!$E$1,2,-5)</f>
        <v>-5</v>
      </c>
      <c r="K322" s="82" t="str">
        <f>IF(Consultas!L322='Parâmetros'!$D$1,"SOLIC CONTRATO DE ENTREGA","N/A")</f>
        <v>N/A</v>
      </c>
      <c r="L322" s="82">
        <f>IF(Consultas!R322='Parâmetros'!$E$1,1,-3)</f>
        <v>-3</v>
      </c>
      <c r="M322" s="82" t="b">
        <f>IF(Consultas!S322&gt;1,(IF(Consultas!S322='Parâmetros'!$E$1,-3,9)))</f>
        <v>0</v>
      </c>
      <c r="N322" s="82">
        <f>IF(Consultas!T322="S",23,0)</f>
        <v>0</v>
      </c>
      <c r="O322" s="82">
        <f>IF(Consultas!U322='Parâmetros'!$E$1,-3,3)</f>
        <v>3</v>
      </c>
      <c r="P322" s="82">
        <f>IF(Consultas!V322='Parâmetros'!$E$1,-100,2)</f>
        <v>2</v>
      </c>
      <c r="Q322" s="82">
        <f>IF(Consultas!M322='Parâmetros'!$D$1,2,-9)</f>
        <v>-9</v>
      </c>
      <c r="R322" s="82">
        <f>IF(Consultas!N322="RJ",-12,0)</f>
        <v>0</v>
      </c>
      <c r="S322" s="82">
        <f>IF(Consultas!O322="-",-3,IF(Consultas!O322=0,-6,IF(Consultas!O322=5,0,IF(Consultas!O322=10,6))))</f>
        <v>-6</v>
      </c>
      <c r="T322" s="82">
        <f>IF(Consultas!M322="S",0,(IF(Consultas!P322="S",6,0)))</f>
        <v>0</v>
      </c>
      <c r="U322" s="82">
        <f>IF(Consultas!Q322&gt;97,9,IF(Consultas!Q322&gt;75,0,-7))</f>
        <v>-7</v>
      </c>
      <c r="V322" s="82">
        <f>IF(Consultas!W322='Parâmetros'!$E$1,1,-5)</f>
        <v>-5</v>
      </c>
      <c r="W322" s="82">
        <f>IF(Consultas!X322="S",3,-3)</f>
        <v>-3</v>
      </c>
      <c r="X322" s="82">
        <f>IF(Consultas!Y322="S",0,-7)</f>
        <v>-7</v>
      </c>
      <c r="Y322" s="82">
        <f>IF(Consultas!Z322='Parâmetros'!$E$1,2,-8)</f>
        <v>-8</v>
      </c>
      <c r="Z322" s="82">
        <f>IF(Consultas!AA322='Parâmetros'!$E$1,-15,1)</f>
        <v>1</v>
      </c>
      <c r="AA322" s="147" t="s">
        <v>140</v>
      </c>
      <c r="AB322" s="82" t="str">
        <f>IF(E322="NA","NA",IF(E322&gt;'Parâmetros'!$A$9,8,IF(E322&gt;'Parâmetros'!$A$8,4,IF(E322&gt;'Parâmetros'!$A$7,0,-6))))</f>
        <v>NA</v>
      </c>
      <c r="AC322" s="82">
        <f>IF(Consultas!AC322='Parâmetros'!$E$1,0,5)</f>
        <v>5</v>
      </c>
      <c r="AD322" s="82">
        <f>IF(Consultas!AH322='Parâmetros'!$D$1,-10,5)</f>
        <v>5</v>
      </c>
      <c r="AE322" s="82">
        <f>IF(Consultas!AI322&gt;(Consultas!F322*2),-10,0)</f>
        <v>0</v>
      </c>
      <c r="AF322" s="82" t="b">
        <f>IF(Consultas!AD322&gt;1,(IF(Consultas!AI322&gt;(Consultas!AD322),-20,4)))</f>
        <v>0</v>
      </c>
      <c r="AG322" s="82">
        <f>IF(Consultas!AG322='Parâmetros'!$E$1,0,-6)</f>
        <v>-6</v>
      </c>
      <c r="AH322" s="82">
        <f>IF(Consultas!AF322='Parâmetros'!$E$1,1,-5)</f>
        <v>-5</v>
      </c>
      <c r="AI322" s="82">
        <f>IF(Consultas!AJ322&gt;700,8,IF(Consultas!AJ322&gt;500,4,IF(Consultas!AJ322&gt;200,-4,IF(Consultas!AJ322&gt;1,-15,-20))))</f>
        <v>-20</v>
      </c>
      <c r="AJ322" s="82">
        <f>IF(Consultas!AD322='Parâmetros'!$E$10,0,IF(Consultas!AD322&gt;'Parâmetros'!$A$30,12,IF(Consultas!AD322&gt;'Parâmetros'!$A$31,6,IF(Consultas!AD322&gt;'Parâmetros'!$A$32,0,IF(Consultas!AD322&gt;'Parâmetros'!$A$33,0,IF(Consultas!AD322&gt;'Parâmetros'!$A$34,-3,IF(Consultas!AD322&gt;'Parâmetros'!$A$35,-7,-1)))))))</f>
        <v>-1</v>
      </c>
      <c r="AK322" s="82">
        <f>IF(Consultas!AO322='Parâmetros'!$D$1,3,-3)</f>
        <v>-3</v>
      </c>
      <c r="AL322" s="82">
        <f>IF(Consultas!AP322='Parâmetros'!$D$1,5,-3)</f>
        <v>-3</v>
      </c>
      <c r="AM322" s="82">
        <f>IF(Consultas!AL322="N",-6,0)</f>
        <v>0</v>
      </c>
      <c r="AN322" s="82">
        <f>IF(Consultas!AM322="N",-10,0)</f>
        <v>0</v>
      </c>
      <c r="AO322" s="82">
        <f>IF(Consultas!AN322="S",4,-2)</f>
        <v>-2</v>
      </c>
      <c r="AP322" s="39"/>
      <c r="AQ322" s="165" t="str">
        <f>IF(Consultas!F322&gt;1,(SUM(F322:AO322)),"N/A")</f>
        <v>N/A</v>
      </c>
      <c r="AR322" s="78">
        <f>IF((Consultas!AD322&gt;'Parâmetros'!$A$31),"X",AJ322+Y322+V322+AC322)</f>
        <v>-9</v>
      </c>
      <c r="AS322" s="78">
        <f>IF((Consultas!AD322&gt;'Parâmetros'!$A$31),"X",(H322+I322+J322+Q322+T322+Y322+Z322+AJ322+AN322))</f>
        <v>-23</v>
      </c>
      <c r="AT322" s="78" t="str">
        <f>IF((Consultas!AD322&lt;'Parâmetros'!$A$31),"X",(AD322+AC322+AB322))</f>
        <v>X</v>
      </c>
      <c r="AU322" s="78">
        <f t="shared" si="1"/>
        <v>-23</v>
      </c>
      <c r="AV322" s="82" t="str">
        <f>IF(AQ322="N/A","N/A",IF(AQ322&gt;5,'Parâmetros'!$A$15,(IF(AU322=AR322,'Parâmetros'!$A$17,IF(AU322=AS322,'Parâmetros'!$A$16,'Parâmetros'!$A$14)))))</f>
        <v>N/A</v>
      </c>
      <c r="AW322" s="86" t="str">
        <f>IF(AQ322="N/A","N/A",IF(AV322='Parâmetros'!$A$15,'Parâmetros'!$C$15,(IF(AV322='Parâmetros'!$A$17,'Parâmetros'!$C$17,IF(AV322='Parâmetros'!$A$16,'Parâmetros'!$C$16,IF(AV322='Parâmetros'!$A$14,'Parâmetros'!$C$12))))))</f>
        <v>N/A</v>
      </c>
      <c r="AX322" s="82" t="b">
        <f>IF(Consultas!F322&gt;1,(IF(Consultas!F322&gt;5000,"SOLICITAR PED COMPRA","N/A")))</f>
        <v>0</v>
      </c>
      <c r="AY322" s="167" t="str">
        <f>IF(AND(Consultas!M322&lt;&gt;"S", Consultas!H322="S"), "CHECAGEM REVERSA", "N/A")</f>
        <v>N/A</v>
      </c>
      <c r="AZ322" s="167" t="str">
        <f>IF(Consultas!U322="N","PRECISA CORRIGIR END DIVERGENTE","N/A")</f>
        <v>N/A</v>
      </c>
    </row>
    <row r="323" ht="12.0" customHeight="1">
      <c r="A323" s="39" t="s">
        <v>90</v>
      </c>
      <c r="B323" s="82" t="str">
        <f>Consultas!B323</f>
        <v/>
      </c>
      <c r="C323" s="82" t="str">
        <f>Consultas!D323</f>
        <v/>
      </c>
      <c r="D323" s="96" t="str">
        <f>Consultas!E323</f>
        <v/>
      </c>
      <c r="E323" s="104" t="str">
        <f>IF(Consultas!AB323&gt;0,YEAR('Parâmetros'!$B$1)-YEAR(Consultas!AB323),"NA")</f>
        <v>NA</v>
      </c>
      <c r="F323" s="82">
        <f>IF(Consultas!F323&gt;'Parâmetros'!$B$2,-8,0)</f>
        <v>0</v>
      </c>
      <c r="G323" s="82">
        <f>IF(Consultas!H323='Parâmetros'!$E$1,100,0)</f>
        <v>0</v>
      </c>
      <c r="H323" s="82">
        <f>IF(Consultas!I323='Parâmetros'!$E$1,-4,12)</f>
        <v>12</v>
      </c>
      <c r="I323" s="82">
        <f>IF(Consultas!J323='Parâmetros'!$E$1,1,-13)</f>
        <v>-13</v>
      </c>
      <c r="J323" s="82">
        <f>IF(Consultas!K323='Parâmetros'!$E$1,2,-5)</f>
        <v>-5</v>
      </c>
      <c r="K323" s="82" t="str">
        <f>IF(Consultas!L323='Parâmetros'!$D$1,"SOLIC CONTRATO DE ENTREGA","N/A")</f>
        <v>N/A</v>
      </c>
      <c r="L323" s="82">
        <f>IF(Consultas!R323='Parâmetros'!$E$1,1,-3)</f>
        <v>-3</v>
      </c>
      <c r="M323" s="82" t="b">
        <f>IF(Consultas!S323&gt;1,(IF(Consultas!S323='Parâmetros'!$E$1,-3,9)))</f>
        <v>0</v>
      </c>
      <c r="N323" s="82">
        <f>IF(Consultas!T323="S",23,0)</f>
        <v>0</v>
      </c>
      <c r="O323" s="82">
        <f>IF(Consultas!U323='Parâmetros'!$E$1,-3,3)</f>
        <v>3</v>
      </c>
      <c r="P323" s="82">
        <f>IF(Consultas!V323='Parâmetros'!$E$1,-100,2)</f>
        <v>2</v>
      </c>
      <c r="Q323" s="82">
        <f>IF(Consultas!M323='Parâmetros'!$D$1,2,-9)</f>
        <v>-9</v>
      </c>
      <c r="R323" s="82">
        <f>IF(Consultas!N323="RJ",-12,0)</f>
        <v>0</v>
      </c>
      <c r="S323" s="82">
        <f>IF(Consultas!O323="-",-3,IF(Consultas!O323=0,-6,IF(Consultas!O323=5,0,IF(Consultas!O323=10,6))))</f>
        <v>-6</v>
      </c>
      <c r="T323" s="82">
        <f>IF(Consultas!M323="S",0,(IF(Consultas!P323="S",6,0)))</f>
        <v>0</v>
      </c>
      <c r="U323" s="82">
        <f>IF(Consultas!Q323&gt;97,9,IF(Consultas!Q323&gt;75,0,-7))</f>
        <v>-7</v>
      </c>
      <c r="V323" s="82">
        <f>IF(Consultas!W323='Parâmetros'!$E$1,1,-5)</f>
        <v>-5</v>
      </c>
      <c r="W323" s="82">
        <f>IF(Consultas!X323="S",3,-3)</f>
        <v>-3</v>
      </c>
      <c r="X323" s="82">
        <f>IF(Consultas!Y323="S",0,-7)</f>
        <v>-7</v>
      </c>
      <c r="Y323" s="82">
        <f>IF(Consultas!Z323='Parâmetros'!$E$1,2,-8)</f>
        <v>-8</v>
      </c>
      <c r="Z323" s="82">
        <f>IF(Consultas!AA323='Parâmetros'!$E$1,-15,1)</f>
        <v>1</v>
      </c>
      <c r="AA323" s="147" t="s">
        <v>140</v>
      </c>
      <c r="AB323" s="82" t="str">
        <f>IF(E323="NA","NA",IF(E323&gt;'Parâmetros'!$A$9,8,IF(E323&gt;'Parâmetros'!$A$8,4,IF(E323&gt;'Parâmetros'!$A$7,0,-6))))</f>
        <v>NA</v>
      </c>
      <c r="AC323" s="82">
        <f>IF(Consultas!AC323='Parâmetros'!$E$1,0,5)</f>
        <v>5</v>
      </c>
      <c r="AD323" s="82">
        <f>IF(Consultas!AH323='Parâmetros'!$D$1,-10,5)</f>
        <v>5</v>
      </c>
      <c r="AE323" s="82">
        <f>IF(Consultas!AI323&gt;(Consultas!F323*2),-10,0)</f>
        <v>0</v>
      </c>
      <c r="AF323" s="82" t="b">
        <f>IF(Consultas!AD323&gt;1,(IF(Consultas!AI323&gt;(Consultas!AD323),-20,4)))</f>
        <v>0</v>
      </c>
      <c r="AG323" s="82">
        <f>IF(Consultas!AG323='Parâmetros'!$E$1,0,-6)</f>
        <v>-6</v>
      </c>
      <c r="AH323" s="82">
        <f>IF(Consultas!AF323='Parâmetros'!$E$1,1,-5)</f>
        <v>-5</v>
      </c>
      <c r="AI323" s="82">
        <f>IF(Consultas!AJ323&gt;700,8,IF(Consultas!AJ323&gt;500,4,IF(Consultas!AJ323&gt;200,-4,IF(Consultas!AJ323&gt;1,-15,-20))))</f>
        <v>-20</v>
      </c>
      <c r="AJ323" s="82">
        <f>IF(Consultas!AD323='Parâmetros'!$E$10,0,IF(Consultas!AD323&gt;'Parâmetros'!$A$30,12,IF(Consultas!AD323&gt;'Parâmetros'!$A$31,6,IF(Consultas!AD323&gt;'Parâmetros'!$A$32,0,IF(Consultas!AD323&gt;'Parâmetros'!$A$33,0,IF(Consultas!AD323&gt;'Parâmetros'!$A$34,-3,IF(Consultas!AD323&gt;'Parâmetros'!$A$35,-7,-1)))))))</f>
        <v>-1</v>
      </c>
      <c r="AK323" s="82">
        <f>IF(Consultas!AO323='Parâmetros'!$D$1,3,-3)</f>
        <v>-3</v>
      </c>
      <c r="AL323" s="82">
        <f>IF(Consultas!AP323='Parâmetros'!$D$1,5,-3)</f>
        <v>-3</v>
      </c>
      <c r="AM323" s="82">
        <f>IF(Consultas!AL323="N",-6,0)</f>
        <v>0</v>
      </c>
      <c r="AN323" s="82">
        <f>IF(Consultas!AM323="N",-10,0)</f>
        <v>0</v>
      </c>
      <c r="AO323" s="82">
        <f>IF(Consultas!AN323="S",4,-2)</f>
        <v>-2</v>
      </c>
      <c r="AP323" s="39"/>
      <c r="AQ323" s="165" t="str">
        <f>IF(Consultas!F323&gt;1,(SUM(F323:AO323)),"N/A")</f>
        <v>N/A</v>
      </c>
      <c r="AR323" s="78">
        <f>IF((Consultas!AD323&gt;'Parâmetros'!$A$31),"X",AJ323+Y323+V323+AC323)</f>
        <v>-9</v>
      </c>
      <c r="AS323" s="78">
        <f>IF((Consultas!AD323&gt;'Parâmetros'!$A$31),"X",(H323+I323+J323+Q323+T323+Y323+Z323+AJ323+AN323))</f>
        <v>-23</v>
      </c>
      <c r="AT323" s="78" t="str">
        <f>IF((Consultas!AD323&lt;'Parâmetros'!$A$31),"X",(AD323+AC323+AB323))</f>
        <v>X</v>
      </c>
      <c r="AU323" s="78">
        <f t="shared" si="1"/>
        <v>-23</v>
      </c>
      <c r="AV323" s="82" t="str">
        <f>IF(AQ323="N/A","N/A",IF(AQ323&gt;5,'Parâmetros'!$A$15,(IF(AU323=AR323,'Parâmetros'!$A$17,IF(AU323=AS323,'Parâmetros'!$A$16,'Parâmetros'!$A$14)))))</f>
        <v>N/A</v>
      </c>
      <c r="AW323" s="86" t="str">
        <f>IF(AQ323="N/A","N/A",IF(AV323='Parâmetros'!$A$15,'Parâmetros'!$C$15,(IF(AV323='Parâmetros'!$A$17,'Parâmetros'!$C$17,IF(AV323='Parâmetros'!$A$16,'Parâmetros'!$C$16,IF(AV323='Parâmetros'!$A$14,'Parâmetros'!$C$12))))))</f>
        <v>N/A</v>
      </c>
      <c r="AX323" s="82" t="b">
        <f>IF(Consultas!F323&gt;1,(IF(Consultas!F323&gt;5000,"SOLICITAR PED COMPRA","N/A")))</f>
        <v>0</v>
      </c>
      <c r="AY323" s="167" t="str">
        <f>IF(AND(Consultas!M323&lt;&gt;"S", Consultas!H323="S"), "CHECAGEM REVERSA", "N/A")</f>
        <v>N/A</v>
      </c>
      <c r="AZ323" s="167" t="str">
        <f>IF(Consultas!U323="N","PRECISA CORRIGIR END DIVERGENTE","N/A")</f>
        <v>N/A</v>
      </c>
    </row>
    <row r="324" ht="12.0" customHeight="1">
      <c r="A324" s="39" t="s">
        <v>90</v>
      </c>
      <c r="B324" s="82" t="str">
        <f>Consultas!B324</f>
        <v/>
      </c>
      <c r="C324" s="82" t="str">
        <f>Consultas!D324</f>
        <v/>
      </c>
      <c r="D324" s="96" t="str">
        <f>Consultas!E324</f>
        <v/>
      </c>
      <c r="E324" s="104" t="str">
        <f>IF(Consultas!AB324&gt;0,YEAR('Parâmetros'!$B$1)-YEAR(Consultas!AB324),"NA")</f>
        <v>NA</v>
      </c>
      <c r="F324" s="82">
        <f>IF(Consultas!F324&gt;'Parâmetros'!$B$2,-8,0)</f>
        <v>0</v>
      </c>
      <c r="G324" s="82">
        <f>IF(Consultas!H324='Parâmetros'!$E$1,100,0)</f>
        <v>0</v>
      </c>
      <c r="H324" s="82">
        <f>IF(Consultas!I324='Parâmetros'!$E$1,-4,12)</f>
        <v>12</v>
      </c>
      <c r="I324" s="82">
        <f>IF(Consultas!J324='Parâmetros'!$E$1,1,-13)</f>
        <v>-13</v>
      </c>
      <c r="J324" s="82">
        <f>IF(Consultas!K324='Parâmetros'!$E$1,2,-5)</f>
        <v>-5</v>
      </c>
      <c r="K324" s="82" t="str">
        <f>IF(Consultas!L324='Parâmetros'!$D$1,"SOLIC CONTRATO DE ENTREGA","N/A")</f>
        <v>N/A</v>
      </c>
      <c r="L324" s="82">
        <f>IF(Consultas!R324='Parâmetros'!$E$1,1,-3)</f>
        <v>-3</v>
      </c>
      <c r="M324" s="82" t="b">
        <f>IF(Consultas!S324&gt;1,(IF(Consultas!S324='Parâmetros'!$E$1,-3,9)))</f>
        <v>0</v>
      </c>
      <c r="N324" s="82">
        <f>IF(Consultas!T324="S",23,0)</f>
        <v>0</v>
      </c>
      <c r="O324" s="82">
        <f>IF(Consultas!U324='Parâmetros'!$E$1,-3,3)</f>
        <v>3</v>
      </c>
      <c r="P324" s="82">
        <f>IF(Consultas!V324='Parâmetros'!$E$1,-100,2)</f>
        <v>2</v>
      </c>
      <c r="Q324" s="82">
        <f>IF(Consultas!M324='Parâmetros'!$D$1,2,-9)</f>
        <v>-9</v>
      </c>
      <c r="R324" s="82">
        <f>IF(Consultas!N324="RJ",-12,0)</f>
        <v>0</v>
      </c>
      <c r="S324" s="82">
        <f>IF(Consultas!O324="-",-3,IF(Consultas!O324=0,-6,IF(Consultas!O324=5,0,IF(Consultas!O324=10,6))))</f>
        <v>-6</v>
      </c>
      <c r="T324" s="82">
        <f>IF(Consultas!M324="S",0,(IF(Consultas!P324="S",6,0)))</f>
        <v>0</v>
      </c>
      <c r="U324" s="82">
        <f>IF(Consultas!Q324&gt;97,9,IF(Consultas!Q324&gt;75,0,-7))</f>
        <v>-7</v>
      </c>
      <c r="V324" s="82">
        <f>IF(Consultas!W324='Parâmetros'!$E$1,1,-5)</f>
        <v>-5</v>
      </c>
      <c r="W324" s="82">
        <f>IF(Consultas!X324="S",3,-3)</f>
        <v>-3</v>
      </c>
      <c r="X324" s="82">
        <f>IF(Consultas!Y324="S",0,-7)</f>
        <v>-7</v>
      </c>
      <c r="Y324" s="82">
        <f>IF(Consultas!Z324='Parâmetros'!$E$1,2,-8)</f>
        <v>-8</v>
      </c>
      <c r="Z324" s="82">
        <f>IF(Consultas!AA324='Parâmetros'!$E$1,-15,1)</f>
        <v>1</v>
      </c>
      <c r="AA324" s="147" t="s">
        <v>140</v>
      </c>
      <c r="AB324" s="82" t="str">
        <f>IF(E324="NA","NA",IF(E324&gt;'Parâmetros'!$A$9,8,IF(E324&gt;'Parâmetros'!$A$8,4,IF(E324&gt;'Parâmetros'!$A$7,0,-6))))</f>
        <v>NA</v>
      </c>
      <c r="AC324" s="82">
        <f>IF(Consultas!AC324='Parâmetros'!$E$1,0,5)</f>
        <v>5</v>
      </c>
      <c r="AD324" s="82">
        <f>IF(Consultas!AH324='Parâmetros'!$D$1,-10,5)</f>
        <v>5</v>
      </c>
      <c r="AE324" s="82">
        <f>IF(Consultas!AI324&gt;(Consultas!F324*2),-10,0)</f>
        <v>0</v>
      </c>
      <c r="AF324" s="82" t="b">
        <f>IF(Consultas!AD324&gt;1,(IF(Consultas!AI324&gt;(Consultas!AD324),-20,4)))</f>
        <v>0</v>
      </c>
      <c r="AG324" s="82">
        <f>IF(Consultas!AG324='Parâmetros'!$E$1,0,-6)</f>
        <v>-6</v>
      </c>
      <c r="AH324" s="82">
        <f>IF(Consultas!AF324='Parâmetros'!$E$1,1,-5)</f>
        <v>-5</v>
      </c>
      <c r="AI324" s="82">
        <f>IF(Consultas!AJ324&gt;700,8,IF(Consultas!AJ324&gt;500,4,IF(Consultas!AJ324&gt;200,-4,IF(Consultas!AJ324&gt;1,-15,-20))))</f>
        <v>-20</v>
      </c>
      <c r="AJ324" s="82">
        <f>IF(Consultas!AD324='Parâmetros'!$E$10,0,IF(Consultas!AD324&gt;'Parâmetros'!$A$30,12,IF(Consultas!AD324&gt;'Parâmetros'!$A$31,6,IF(Consultas!AD324&gt;'Parâmetros'!$A$32,0,IF(Consultas!AD324&gt;'Parâmetros'!$A$33,0,IF(Consultas!AD324&gt;'Parâmetros'!$A$34,-3,IF(Consultas!AD324&gt;'Parâmetros'!$A$35,-7,-1)))))))</f>
        <v>-1</v>
      </c>
      <c r="AK324" s="82">
        <f>IF(Consultas!AO324='Parâmetros'!$D$1,3,-3)</f>
        <v>-3</v>
      </c>
      <c r="AL324" s="82">
        <f>IF(Consultas!AP324='Parâmetros'!$D$1,5,-3)</f>
        <v>-3</v>
      </c>
      <c r="AM324" s="82">
        <f>IF(Consultas!AL324="N",-6,0)</f>
        <v>0</v>
      </c>
      <c r="AN324" s="82">
        <f>IF(Consultas!AM324="N",-10,0)</f>
        <v>0</v>
      </c>
      <c r="AO324" s="82">
        <f>IF(Consultas!AN324="S",4,-2)</f>
        <v>-2</v>
      </c>
      <c r="AP324" s="39"/>
      <c r="AQ324" s="165" t="str">
        <f>IF(Consultas!F324&gt;1,(SUM(F324:AO324)),"N/A")</f>
        <v>N/A</v>
      </c>
      <c r="AR324" s="78">
        <f>IF((Consultas!AD324&gt;'Parâmetros'!$A$31),"X",AJ324+Y324+V324+AC324)</f>
        <v>-9</v>
      </c>
      <c r="AS324" s="78">
        <f>IF((Consultas!AD324&gt;'Parâmetros'!$A$31),"X",(H324+I324+J324+Q324+T324+Y324+Z324+AJ324+AN324))</f>
        <v>-23</v>
      </c>
      <c r="AT324" s="78" t="str">
        <f>IF((Consultas!AD324&lt;'Parâmetros'!$A$31),"X",(AD324+AC324+AB324))</f>
        <v>X</v>
      </c>
      <c r="AU324" s="78">
        <f t="shared" si="1"/>
        <v>-23</v>
      </c>
      <c r="AV324" s="82" t="str">
        <f>IF(AQ324="N/A","N/A",IF(AQ324&gt;5,'Parâmetros'!$A$15,(IF(AU324=AR324,'Parâmetros'!$A$17,IF(AU324=AS324,'Parâmetros'!$A$16,'Parâmetros'!$A$14)))))</f>
        <v>N/A</v>
      </c>
      <c r="AW324" s="86" t="str">
        <f>IF(AQ324="N/A","N/A",IF(AV324='Parâmetros'!$A$15,'Parâmetros'!$C$15,(IF(AV324='Parâmetros'!$A$17,'Parâmetros'!$C$17,IF(AV324='Parâmetros'!$A$16,'Parâmetros'!$C$16,IF(AV324='Parâmetros'!$A$14,'Parâmetros'!$C$12))))))</f>
        <v>N/A</v>
      </c>
      <c r="AX324" s="82" t="b">
        <f>IF(Consultas!F324&gt;1,(IF(Consultas!F324&gt;5000,"SOLICITAR PED COMPRA","N/A")))</f>
        <v>0</v>
      </c>
      <c r="AY324" s="167" t="str">
        <f>IF(AND(Consultas!M324&lt;&gt;"S", Consultas!H324="S"), "CHECAGEM REVERSA", "N/A")</f>
        <v>N/A</v>
      </c>
      <c r="AZ324" s="167" t="str">
        <f>IF(Consultas!U324="N","PRECISA CORRIGIR END DIVERGENTE","N/A")</f>
        <v>N/A</v>
      </c>
    </row>
    <row r="325" ht="12.0" customHeight="1">
      <c r="A325" s="39" t="s">
        <v>90</v>
      </c>
      <c r="B325" s="82" t="str">
        <f>Consultas!B325</f>
        <v/>
      </c>
      <c r="C325" s="82" t="str">
        <f>Consultas!D325</f>
        <v/>
      </c>
      <c r="D325" s="96" t="str">
        <f>Consultas!E325</f>
        <v/>
      </c>
      <c r="E325" s="104" t="str">
        <f>IF(Consultas!AB325&gt;0,YEAR('Parâmetros'!$B$1)-YEAR(Consultas!AB325),"NA")</f>
        <v>NA</v>
      </c>
      <c r="F325" s="82">
        <f>IF(Consultas!F325&gt;'Parâmetros'!$B$2,-8,0)</f>
        <v>0</v>
      </c>
      <c r="G325" s="82">
        <f>IF(Consultas!H325='Parâmetros'!$E$1,100,0)</f>
        <v>0</v>
      </c>
      <c r="H325" s="82">
        <f>IF(Consultas!I325='Parâmetros'!$E$1,-4,12)</f>
        <v>12</v>
      </c>
      <c r="I325" s="82">
        <f>IF(Consultas!J325='Parâmetros'!$E$1,1,-13)</f>
        <v>-13</v>
      </c>
      <c r="J325" s="82">
        <f>IF(Consultas!K325='Parâmetros'!$E$1,2,-5)</f>
        <v>-5</v>
      </c>
      <c r="K325" s="82" t="str">
        <f>IF(Consultas!L325='Parâmetros'!$D$1,"SOLIC CONTRATO DE ENTREGA","N/A")</f>
        <v>N/A</v>
      </c>
      <c r="L325" s="82">
        <f>IF(Consultas!R325='Parâmetros'!$E$1,1,-3)</f>
        <v>-3</v>
      </c>
      <c r="M325" s="82" t="b">
        <f>IF(Consultas!S325&gt;1,(IF(Consultas!S325='Parâmetros'!$E$1,-3,9)))</f>
        <v>0</v>
      </c>
      <c r="N325" s="82">
        <f>IF(Consultas!T325="S",23,0)</f>
        <v>0</v>
      </c>
      <c r="O325" s="82">
        <f>IF(Consultas!U325='Parâmetros'!$E$1,-3,3)</f>
        <v>3</v>
      </c>
      <c r="P325" s="82">
        <f>IF(Consultas!V325='Parâmetros'!$E$1,-100,2)</f>
        <v>2</v>
      </c>
      <c r="Q325" s="82">
        <f>IF(Consultas!M325='Parâmetros'!$D$1,2,-9)</f>
        <v>-9</v>
      </c>
      <c r="R325" s="82">
        <f>IF(Consultas!N325="RJ",-12,0)</f>
        <v>0</v>
      </c>
      <c r="S325" s="82">
        <f>IF(Consultas!O325="-",-3,IF(Consultas!O325=0,-6,IF(Consultas!O325=5,0,IF(Consultas!O325=10,6))))</f>
        <v>-6</v>
      </c>
      <c r="T325" s="82">
        <f>IF(Consultas!M325="S",0,(IF(Consultas!P325="S",6,0)))</f>
        <v>0</v>
      </c>
      <c r="U325" s="82">
        <f>IF(Consultas!Q325&gt;97,9,IF(Consultas!Q325&gt;75,0,-7))</f>
        <v>-7</v>
      </c>
      <c r="V325" s="82">
        <f>IF(Consultas!W325='Parâmetros'!$E$1,1,-5)</f>
        <v>-5</v>
      </c>
      <c r="W325" s="82">
        <f>IF(Consultas!X325="S",3,-3)</f>
        <v>-3</v>
      </c>
      <c r="X325" s="82">
        <f>IF(Consultas!Y325="S",0,-7)</f>
        <v>-7</v>
      </c>
      <c r="Y325" s="82">
        <f>IF(Consultas!Z325='Parâmetros'!$E$1,2,-8)</f>
        <v>-8</v>
      </c>
      <c r="Z325" s="82">
        <f>IF(Consultas!AA325='Parâmetros'!$E$1,-15,1)</f>
        <v>1</v>
      </c>
      <c r="AA325" s="147" t="s">
        <v>140</v>
      </c>
      <c r="AB325" s="82" t="str">
        <f>IF(E325="NA","NA",IF(E325&gt;'Parâmetros'!$A$9,8,IF(E325&gt;'Parâmetros'!$A$8,4,IF(E325&gt;'Parâmetros'!$A$7,0,-6))))</f>
        <v>NA</v>
      </c>
      <c r="AC325" s="82">
        <f>IF(Consultas!AC325='Parâmetros'!$E$1,0,5)</f>
        <v>5</v>
      </c>
      <c r="AD325" s="82">
        <f>IF(Consultas!AH325='Parâmetros'!$D$1,-10,5)</f>
        <v>5</v>
      </c>
      <c r="AE325" s="82">
        <f>IF(Consultas!AI325&gt;(Consultas!F325*2),-10,0)</f>
        <v>0</v>
      </c>
      <c r="AF325" s="82" t="b">
        <f>IF(Consultas!AD325&gt;1,(IF(Consultas!AI325&gt;(Consultas!AD325),-20,4)))</f>
        <v>0</v>
      </c>
      <c r="AG325" s="82">
        <f>IF(Consultas!AG325='Parâmetros'!$E$1,0,-6)</f>
        <v>-6</v>
      </c>
      <c r="AH325" s="82">
        <f>IF(Consultas!AF325='Parâmetros'!$E$1,1,-5)</f>
        <v>-5</v>
      </c>
      <c r="AI325" s="82">
        <f>IF(Consultas!AJ325&gt;700,8,IF(Consultas!AJ325&gt;500,4,IF(Consultas!AJ325&gt;200,-4,IF(Consultas!AJ325&gt;1,-15,-20))))</f>
        <v>-20</v>
      </c>
      <c r="AJ325" s="82">
        <f>IF(Consultas!AD325='Parâmetros'!$E$10,0,IF(Consultas!AD325&gt;'Parâmetros'!$A$30,12,IF(Consultas!AD325&gt;'Parâmetros'!$A$31,6,IF(Consultas!AD325&gt;'Parâmetros'!$A$32,0,IF(Consultas!AD325&gt;'Parâmetros'!$A$33,0,IF(Consultas!AD325&gt;'Parâmetros'!$A$34,-3,IF(Consultas!AD325&gt;'Parâmetros'!$A$35,-7,-1)))))))</f>
        <v>-1</v>
      </c>
      <c r="AK325" s="82">
        <f>IF(Consultas!AO325='Parâmetros'!$D$1,3,-3)</f>
        <v>-3</v>
      </c>
      <c r="AL325" s="82">
        <f>IF(Consultas!AP325='Parâmetros'!$D$1,5,-3)</f>
        <v>-3</v>
      </c>
      <c r="AM325" s="82">
        <f>IF(Consultas!AL325="N",-6,0)</f>
        <v>0</v>
      </c>
      <c r="AN325" s="82">
        <f>IF(Consultas!AM325="N",-10,0)</f>
        <v>0</v>
      </c>
      <c r="AO325" s="82">
        <f>IF(Consultas!AN325="S",4,-2)</f>
        <v>-2</v>
      </c>
      <c r="AP325" s="39"/>
      <c r="AQ325" s="165" t="str">
        <f>IF(Consultas!F325&gt;1,(SUM(F325:AO325)),"N/A")</f>
        <v>N/A</v>
      </c>
      <c r="AR325" s="78">
        <f>IF((Consultas!AD325&gt;'Parâmetros'!$A$31),"X",AJ325+Y325+V325+AC325)</f>
        <v>-9</v>
      </c>
      <c r="AS325" s="78">
        <f>IF((Consultas!AD325&gt;'Parâmetros'!$A$31),"X",(H325+I325+J325+Q325+T325+Y325+Z325+AJ325+AN325))</f>
        <v>-23</v>
      </c>
      <c r="AT325" s="78" t="str">
        <f>IF((Consultas!AD325&lt;'Parâmetros'!$A$31),"X",(AD325+AC325+AB325))</f>
        <v>X</v>
      </c>
      <c r="AU325" s="78">
        <f t="shared" si="1"/>
        <v>-23</v>
      </c>
      <c r="AV325" s="82" t="str">
        <f>IF(AQ325="N/A","N/A",IF(AQ325&gt;5,'Parâmetros'!$A$15,(IF(AU325=AR325,'Parâmetros'!$A$17,IF(AU325=AS325,'Parâmetros'!$A$16,'Parâmetros'!$A$14)))))</f>
        <v>N/A</v>
      </c>
      <c r="AW325" s="86" t="str">
        <f>IF(AQ325="N/A","N/A",IF(AV325='Parâmetros'!$A$15,'Parâmetros'!$C$15,(IF(AV325='Parâmetros'!$A$17,'Parâmetros'!$C$17,IF(AV325='Parâmetros'!$A$16,'Parâmetros'!$C$16,IF(AV325='Parâmetros'!$A$14,'Parâmetros'!$C$12))))))</f>
        <v>N/A</v>
      </c>
      <c r="AX325" s="82" t="b">
        <f>IF(Consultas!F325&gt;1,(IF(Consultas!F325&gt;5000,"SOLICITAR PED COMPRA","N/A")))</f>
        <v>0</v>
      </c>
      <c r="AY325" s="167" t="str">
        <f>IF(AND(Consultas!M325&lt;&gt;"S", Consultas!H325="S"), "CHECAGEM REVERSA", "N/A")</f>
        <v>N/A</v>
      </c>
      <c r="AZ325" s="167" t="str">
        <f>IF(Consultas!U325="N","PRECISA CORRIGIR END DIVERGENTE","N/A")</f>
        <v>N/A</v>
      </c>
    </row>
    <row r="326" ht="12.0" customHeight="1">
      <c r="A326" s="39" t="s">
        <v>90</v>
      </c>
      <c r="B326" s="82" t="str">
        <f>Consultas!B326</f>
        <v/>
      </c>
      <c r="C326" s="82" t="str">
        <f>Consultas!D326</f>
        <v/>
      </c>
      <c r="D326" s="96" t="str">
        <f>Consultas!E326</f>
        <v/>
      </c>
      <c r="E326" s="104" t="str">
        <f>IF(Consultas!AB326&gt;0,YEAR('Parâmetros'!$B$1)-YEAR(Consultas!AB326),"NA")</f>
        <v>NA</v>
      </c>
      <c r="F326" s="82">
        <f>IF(Consultas!F326&gt;'Parâmetros'!$B$2,-8,0)</f>
        <v>0</v>
      </c>
      <c r="G326" s="82">
        <f>IF(Consultas!H326='Parâmetros'!$E$1,100,0)</f>
        <v>0</v>
      </c>
      <c r="H326" s="82">
        <f>IF(Consultas!I326='Parâmetros'!$E$1,-4,12)</f>
        <v>12</v>
      </c>
      <c r="I326" s="82">
        <f>IF(Consultas!J326='Parâmetros'!$E$1,1,-13)</f>
        <v>-13</v>
      </c>
      <c r="J326" s="82">
        <f>IF(Consultas!K326='Parâmetros'!$E$1,2,-5)</f>
        <v>-5</v>
      </c>
      <c r="K326" s="82" t="str">
        <f>IF(Consultas!L326='Parâmetros'!$D$1,"SOLIC CONTRATO DE ENTREGA","N/A")</f>
        <v>N/A</v>
      </c>
      <c r="L326" s="82">
        <f>IF(Consultas!R326='Parâmetros'!$E$1,1,-3)</f>
        <v>-3</v>
      </c>
      <c r="M326" s="82" t="b">
        <f>IF(Consultas!S326&gt;1,(IF(Consultas!S326='Parâmetros'!$E$1,-3,9)))</f>
        <v>0</v>
      </c>
      <c r="N326" s="82">
        <f>IF(Consultas!T326="S",23,0)</f>
        <v>0</v>
      </c>
      <c r="O326" s="82">
        <f>IF(Consultas!U326='Parâmetros'!$E$1,-3,3)</f>
        <v>3</v>
      </c>
      <c r="P326" s="82">
        <f>IF(Consultas!V326='Parâmetros'!$E$1,-100,2)</f>
        <v>2</v>
      </c>
      <c r="Q326" s="82">
        <f>IF(Consultas!M326='Parâmetros'!$D$1,2,-9)</f>
        <v>-9</v>
      </c>
      <c r="R326" s="82">
        <f>IF(Consultas!N326="RJ",-12,0)</f>
        <v>0</v>
      </c>
      <c r="S326" s="82">
        <f>IF(Consultas!O326="-",-3,IF(Consultas!O326=0,-6,IF(Consultas!O326=5,0,IF(Consultas!O326=10,6))))</f>
        <v>-6</v>
      </c>
      <c r="T326" s="82">
        <f>IF(Consultas!M326="S",0,(IF(Consultas!P326="S",6,0)))</f>
        <v>0</v>
      </c>
      <c r="U326" s="82">
        <f>IF(Consultas!Q326&gt;97,9,IF(Consultas!Q326&gt;75,0,-7))</f>
        <v>-7</v>
      </c>
      <c r="V326" s="82">
        <f>IF(Consultas!W326='Parâmetros'!$E$1,1,-5)</f>
        <v>-5</v>
      </c>
      <c r="W326" s="82">
        <f>IF(Consultas!X326="S",3,-3)</f>
        <v>-3</v>
      </c>
      <c r="X326" s="82">
        <f>IF(Consultas!Y326="S",0,-7)</f>
        <v>-7</v>
      </c>
      <c r="Y326" s="82">
        <f>IF(Consultas!Z326='Parâmetros'!$E$1,2,-8)</f>
        <v>-8</v>
      </c>
      <c r="Z326" s="82">
        <f>IF(Consultas!AA326='Parâmetros'!$E$1,-15,1)</f>
        <v>1</v>
      </c>
      <c r="AA326" s="147" t="s">
        <v>140</v>
      </c>
      <c r="AB326" s="82" t="str">
        <f>IF(E326="NA","NA",IF(E326&gt;'Parâmetros'!$A$9,8,IF(E326&gt;'Parâmetros'!$A$8,4,IF(E326&gt;'Parâmetros'!$A$7,0,-6))))</f>
        <v>NA</v>
      </c>
      <c r="AC326" s="82">
        <f>IF(Consultas!AC326='Parâmetros'!$E$1,0,5)</f>
        <v>5</v>
      </c>
      <c r="AD326" s="82">
        <f>IF(Consultas!AH326='Parâmetros'!$D$1,-10,5)</f>
        <v>5</v>
      </c>
      <c r="AE326" s="82">
        <f>IF(Consultas!AI326&gt;(Consultas!F326*2),-10,0)</f>
        <v>0</v>
      </c>
      <c r="AF326" s="82" t="b">
        <f>IF(Consultas!AD326&gt;1,(IF(Consultas!AI326&gt;(Consultas!AD326),-20,4)))</f>
        <v>0</v>
      </c>
      <c r="AG326" s="82">
        <f>IF(Consultas!AG326='Parâmetros'!$E$1,0,-6)</f>
        <v>-6</v>
      </c>
      <c r="AH326" s="82">
        <f>IF(Consultas!AF326='Parâmetros'!$E$1,1,-5)</f>
        <v>-5</v>
      </c>
      <c r="AI326" s="82">
        <f>IF(Consultas!AJ326&gt;700,8,IF(Consultas!AJ326&gt;500,4,IF(Consultas!AJ326&gt;200,-4,IF(Consultas!AJ326&gt;1,-15,-20))))</f>
        <v>-20</v>
      </c>
      <c r="AJ326" s="82">
        <f>IF(Consultas!AD326='Parâmetros'!$E$10,0,IF(Consultas!AD326&gt;'Parâmetros'!$A$30,12,IF(Consultas!AD326&gt;'Parâmetros'!$A$31,6,IF(Consultas!AD326&gt;'Parâmetros'!$A$32,0,IF(Consultas!AD326&gt;'Parâmetros'!$A$33,0,IF(Consultas!AD326&gt;'Parâmetros'!$A$34,-3,IF(Consultas!AD326&gt;'Parâmetros'!$A$35,-7,-1)))))))</f>
        <v>-1</v>
      </c>
      <c r="AK326" s="82">
        <f>IF(Consultas!AO326='Parâmetros'!$D$1,3,-3)</f>
        <v>-3</v>
      </c>
      <c r="AL326" s="82">
        <f>IF(Consultas!AP326='Parâmetros'!$D$1,5,-3)</f>
        <v>-3</v>
      </c>
      <c r="AM326" s="82">
        <f>IF(Consultas!AL326="N",-6,0)</f>
        <v>0</v>
      </c>
      <c r="AN326" s="82">
        <f>IF(Consultas!AM326="N",-10,0)</f>
        <v>0</v>
      </c>
      <c r="AO326" s="82">
        <f>IF(Consultas!AN326="S",4,-2)</f>
        <v>-2</v>
      </c>
      <c r="AP326" s="39"/>
      <c r="AQ326" s="165" t="str">
        <f>IF(Consultas!F326&gt;1,(SUM(F326:AO326)),"N/A")</f>
        <v>N/A</v>
      </c>
      <c r="AR326" s="78">
        <f>IF((Consultas!AD326&gt;'Parâmetros'!$A$31),"X",AJ326+Y326+V326+AC326)</f>
        <v>-9</v>
      </c>
      <c r="AS326" s="78">
        <f>IF((Consultas!AD326&gt;'Parâmetros'!$A$31),"X",(H326+I326+J326+Q326+T326+Y326+Z326+AJ326+AN326))</f>
        <v>-23</v>
      </c>
      <c r="AT326" s="78" t="str">
        <f>IF((Consultas!AD326&lt;'Parâmetros'!$A$31),"X",(AD326+AC326+AB326))</f>
        <v>X</v>
      </c>
      <c r="AU326" s="78">
        <f t="shared" si="1"/>
        <v>-23</v>
      </c>
      <c r="AV326" s="82" t="str">
        <f>IF(AQ326="N/A","N/A",IF(AQ326&gt;5,'Parâmetros'!$A$15,(IF(AU326=AR326,'Parâmetros'!$A$17,IF(AU326=AS326,'Parâmetros'!$A$16,'Parâmetros'!$A$14)))))</f>
        <v>N/A</v>
      </c>
      <c r="AW326" s="86" t="str">
        <f>IF(AQ326="N/A","N/A",IF(AV326='Parâmetros'!$A$15,'Parâmetros'!$C$15,(IF(AV326='Parâmetros'!$A$17,'Parâmetros'!$C$17,IF(AV326='Parâmetros'!$A$16,'Parâmetros'!$C$16,IF(AV326='Parâmetros'!$A$14,'Parâmetros'!$C$12))))))</f>
        <v>N/A</v>
      </c>
      <c r="AX326" s="82" t="b">
        <f>IF(Consultas!F326&gt;1,(IF(Consultas!F326&gt;5000,"SOLICITAR PED COMPRA","N/A")))</f>
        <v>0</v>
      </c>
      <c r="AY326" s="167" t="str">
        <f>IF(AND(Consultas!M326&lt;&gt;"S", Consultas!H326="S"), "CHECAGEM REVERSA", "N/A")</f>
        <v>N/A</v>
      </c>
      <c r="AZ326" s="167" t="str">
        <f>IF(Consultas!U326="N","PRECISA CORRIGIR END DIVERGENTE","N/A")</f>
        <v>N/A</v>
      </c>
    </row>
    <row r="327" ht="12.0" customHeight="1">
      <c r="A327" s="39" t="s">
        <v>90</v>
      </c>
      <c r="B327" s="82" t="str">
        <f>Consultas!B327</f>
        <v/>
      </c>
      <c r="C327" s="82" t="str">
        <f>Consultas!D327</f>
        <v/>
      </c>
      <c r="D327" s="96" t="str">
        <f>Consultas!E327</f>
        <v/>
      </c>
      <c r="E327" s="104" t="str">
        <f>IF(Consultas!AB327&gt;0,YEAR('Parâmetros'!$B$1)-YEAR(Consultas!AB327),"NA")</f>
        <v>NA</v>
      </c>
      <c r="F327" s="82">
        <f>IF(Consultas!F327&gt;'Parâmetros'!$B$2,-8,0)</f>
        <v>0</v>
      </c>
      <c r="G327" s="82">
        <f>IF(Consultas!H327='Parâmetros'!$E$1,100,0)</f>
        <v>0</v>
      </c>
      <c r="H327" s="82">
        <f>IF(Consultas!I327='Parâmetros'!$E$1,-4,12)</f>
        <v>12</v>
      </c>
      <c r="I327" s="82">
        <f>IF(Consultas!J327='Parâmetros'!$E$1,1,-13)</f>
        <v>-13</v>
      </c>
      <c r="J327" s="82">
        <f>IF(Consultas!K327='Parâmetros'!$E$1,2,-5)</f>
        <v>-5</v>
      </c>
      <c r="K327" s="82" t="str">
        <f>IF(Consultas!L327='Parâmetros'!$D$1,"SOLIC CONTRATO DE ENTREGA","N/A")</f>
        <v>N/A</v>
      </c>
      <c r="L327" s="82">
        <f>IF(Consultas!R327='Parâmetros'!$E$1,1,-3)</f>
        <v>-3</v>
      </c>
      <c r="M327" s="82" t="b">
        <f>IF(Consultas!S327&gt;1,(IF(Consultas!S327='Parâmetros'!$E$1,-3,9)))</f>
        <v>0</v>
      </c>
      <c r="N327" s="82">
        <f>IF(Consultas!T327="S",23,0)</f>
        <v>0</v>
      </c>
      <c r="O327" s="82">
        <f>IF(Consultas!U327='Parâmetros'!$E$1,-3,3)</f>
        <v>3</v>
      </c>
      <c r="P327" s="82">
        <f>IF(Consultas!V327='Parâmetros'!$E$1,-100,2)</f>
        <v>2</v>
      </c>
      <c r="Q327" s="82">
        <f>IF(Consultas!M327='Parâmetros'!$D$1,2,-9)</f>
        <v>-9</v>
      </c>
      <c r="R327" s="82">
        <f>IF(Consultas!N327="RJ",-12,0)</f>
        <v>0</v>
      </c>
      <c r="S327" s="82">
        <f>IF(Consultas!O327="-",-3,IF(Consultas!O327=0,-6,IF(Consultas!O327=5,0,IF(Consultas!O327=10,6))))</f>
        <v>-6</v>
      </c>
      <c r="T327" s="82">
        <f>IF(Consultas!M327="S",0,(IF(Consultas!P327="S",6,0)))</f>
        <v>0</v>
      </c>
      <c r="U327" s="82">
        <f>IF(Consultas!Q327&gt;97,9,IF(Consultas!Q327&gt;75,0,-7))</f>
        <v>-7</v>
      </c>
      <c r="V327" s="82">
        <f>IF(Consultas!W327='Parâmetros'!$E$1,1,-5)</f>
        <v>-5</v>
      </c>
      <c r="W327" s="82">
        <f>IF(Consultas!X327="S",3,-3)</f>
        <v>-3</v>
      </c>
      <c r="X327" s="82">
        <f>IF(Consultas!Y327="S",0,-7)</f>
        <v>-7</v>
      </c>
      <c r="Y327" s="82">
        <f>IF(Consultas!Z327='Parâmetros'!$E$1,2,-8)</f>
        <v>-8</v>
      </c>
      <c r="Z327" s="82">
        <f>IF(Consultas!AA327='Parâmetros'!$E$1,-15,1)</f>
        <v>1</v>
      </c>
      <c r="AA327" s="147" t="s">
        <v>140</v>
      </c>
      <c r="AB327" s="82" t="str">
        <f>IF(E327="NA","NA",IF(E327&gt;'Parâmetros'!$A$9,8,IF(E327&gt;'Parâmetros'!$A$8,4,IF(E327&gt;'Parâmetros'!$A$7,0,-6))))</f>
        <v>NA</v>
      </c>
      <c r="AC327" s="82">
        <f>IF(Consultas!AC327='Parâmetros'!$E$1,0,5)</f>
        <v>5</v>
      </c>
      <c r="AD327" s="82">
        <f>IF(Consultas!AH327='Parâmetros'!$D$1,-10,5)</f>
        <v>5</v>
      </c>
      <c r="AE327" s="82">
        <f>IF(Consultas!AI327&gt;(Consultas!F327*2),-10,0)</f>
        <v>0</v>
      </c>
      <c r="AF327" s="82" t="b">
        <f>IF(Consultas!AD327&gt;1,(IF(Consultas!AI327&gt;(Consultas!AD327),-20,4)))</f>
        <v>0</v>
      </c>
      <c r="AG327" s="82">
        <f>IF(Consultas!AG327='Parâmetros'!$E$1,0,-6)</f>
        <v>-6</v>
      </c>
      <c r="AH327" s="82">
        <f>IF(Consultas!AF327='Parâmetros'!$E$1,1,-5)</f>
        <v>-5</v>
      </c>
      <c r="AI327" s="82">
        <f>IF(Consultas!AJ327&gt;700,8,IF(Consultas!AJ327&gt;500,4,IF(Consultas!AJ327&gt;200,-4,IF(Consultas!AJ327&gt;1,-15,-20))))</f>
        <v>-20</v>
      </c>
      <c r="AJ327" s="82">
        <f>IF(Consultas!AD327='Parâmetros'!$E$10,0,IF(Consultas!AD327&gt;'Parâmetros'!$A$30,12,IF(Consultas!AD327&gt;'Parâmetros'!$A$31,6,IF(Consultas!AD327&gt;'Parâmetros'!$A$32,0,IF(Consultas!AD327&gt;'Parâmetros'!$A$33,0,IF(Consultas!AD327&gt;'Parâmetros'!$A$34,-3,IF(Consultas!AD327&gt;'Parâmetros'!$A$35,-7,-1)))))))</f>
        <v>-1</v>
      </c>
      <c r="AK327" s="82">
        <f>IF(Consultas!AO327='Parâmetros'!$D$1,3,-3)</f>
        <v>-3</v>
      </c>
      <c r="AL327" s="82">
        <f>IF(Consultas!AP327='Parâmetros'!$D$1,5,-3)</f>
        <v>-3</v>
      </c>
      <c r="AM327" s="82">
        <f>IF(Consultas!AL327="N",-6,0)</f>
        <v>0</v>
      </c>
      <c r="AN327" s="82">
        <f>IF(Consultas!AM327="N",-10,0)</f>
        <v>0</v>
      </c>
      <c r="AO327" s="82">
        <f>IF(Consultas!AN327="S",4,-2)</f>
        <v>-2</v>
      </c>
      <c r="AP327" s="39"/>
      <c r="AQ327" s="165" t="str">
        <f>IF(Consultas!F327&gt;1,(SUM(F327:AO327)),"N/A")</f>
        <v>N/A</v>
      </c>
      <c r="AR327" s="78">
        <f>IF((Consultas!AD327&gt;'Parâmetros'!$A$31),"X",AJ327+Y327+V327+AC327)</f>
        <v>-9</v>
      </c>
      <c r="AS327" s="78">
        <f>IF((Consultas!AD327&gt;'Parâmetros'!$A$31),"X",(H327+I327+J327+Q327+T327+Y327+Z327+AJ327+AN327))</f>
        <v>-23</v>
      </c>
      <c r="AT327" s="78" t="str">
        <f>IF((Consultas!AD327&lt;'Parâmetros'!$A$31),"X",(AD327+AC327+AB327))</f>
        <v>X</v>
      </c>
      <c r="AU327" s="78">
        <f t="shared" si="1"/>
        <v>-23</v>
      </c>
      <c r="AV327" s="82" t="str">
        <f>IF(AQ327="N/A","N/A",IF(AQ327&gt;5,'Parâmetros'!$A$15,(IF(AU327=AR327,'Parâmetros'!$A$17,IF(AU327=AS327,'Parâmetros'!$A$16,'Parâmetros'!$A$14)))))</f>
        <v>N/A</v>
      </c>
      <c r="AW327" s="86" t="str">
        <f>IF(AQ327="N/A","N/A",IF(AV327='Parâmetros'!$A$15,'Parâmetros'!$C$15,(IF(AV327='Parâmetros'!$A$17,'Parâmetros'!$C$17,IF(AV327='Parâmetros'!$A$16,'Parâmetros'!$C$16,IF(AV327='Parâmetros'!$A$14,'Parâmetros'!$C$12))))))</f>
        <v>N/A</v>
      </c>
      <c r="AX327" s="82" t="b">
        <f>IF(Consultas!F327&gt;1,(IF(Consultas!F327&gt;5000,"SOLICITAR PED COMPRA","N/A")))</f>
        <v>0</v>
      </c>
      <c r="AY327" s="167" t="str">
        <f>IF(AND(Consultas!M327&lt;&gt;"S", Consultas!H327="S"), "CHECAGEM REVERSA", "N/A")</f>
        <v>N/A</v>
      </c>
      <c r="AZ327" s="167" t="str">
        <f>IF(Consultas!U327="N","PRECISA CORRIGIR END DIVERGENTE","N/A")</f>
        <v>N/A</v>
      </c>
    </row>
    <row r="328" ht="12.0" customHeight="1">
      <c r="A328" s="39" t="s">
        <v>90</v>
      </c>
      <c r="B328" s="82" t="str">
        <f>Consultas!B328</f>
        <v/>
      </c>
      <c r="C328" s="82" t="str">
        <f>Consultas!D328</f>
        <v/>
      </c>
      <c r="D328" s="96" t="str">
        <f>Consultas!E328</f>
        <v/>
      </c>
      <c r="E328" s="104" t="str">
        <f>IF(Consultas!AB328&gt;0,YEAR('Parâmetros'!$B$1)-YEAR(Consultas!AB328),"NA")</f>
        <v>NA</v>
      </c>
      <c r="F328" s="82">
        <f>IF(Consultas!F328&gt;'Parâmetros'!$B$2,-8,0)</f>
        <v>0</v>
      </c>
      <c r="G328" s="82">
        <f>IF(Consultas!H328='Parâmetros'!$E$1,100,0)</f>
        <v>0</v>
      </c>
      <c r="H328" s="82">
        <f>IF(Consultas!I328='Parâmetros'!$E$1,-4,12)</f>
        <v>12</v>
      </c>
      <c r="I328" s="82">
        <f>IF(Consultas!J328='Parâmetros'!$E$1,1,-13)</f>
        <v>-13</v>
      </c>
      <c r="J328" s="82">
        <f>IF(Consultas!K328='Parâmetros'!$E$1,2,-5)</f>
        <v>-5</v>
      </c>
      <c r="K328" s="82" t="str">
        <f>IF(Consultas!L328='Parâmetros'!$D$1,"SOLIC CONTRATO DE ENTREGA","N/A")</f>
        <v>N/A</v>
      </c>
      <c r="L328" s="82">
        <f>IF(Consultas!R328='Parâmetros'!$E$1,1,-3)</f>
        <v>-3</v>
      </c>
      <c r="M328" s="82" t="b">
        <f>IF(Consultas!S328&gt;1,(IF(Consultas!S328='Parâmetros'!$E$1,-3,9)))</f>
        <v>0</v>
      </c>
      <c r="N328" s="82">
        <f>IF(Consultas!T328="S",23,0)</f>
        <v>0</v>
      </c>
      <c r="O328" s="82">
        <f>IF(Consultas!U328='Parâmetros'!$E$1,-3,3)</f>
        <v>3</v>
      </c>
      <c r="P328" s="82">
        <f>IF(Consultas!V328='Parâmetros'!$E$1,-100,2)</f>
        <v>2</v>
      </c>
      <c r="Q328" s="82">
        <f>IF(Consultas!M328='Parâmetros'!$D$1,2,-9)</f>
        <v>-9</v>
      </c>
      <c r="R328" s="82">
        <f>IF(Consultas!N328="RJ",-12,0)</f>
        <v>0</v>
      </c>
      <c r="S328" s="82">
        <f>IF(Consultas!O328="-",-3,IF(Consultas!O328=0,-6,IF(Consultas!O328=5,0,IF(Consultas!O328=10,6))))</f>
        <v>-6</v>
      </c>
      <c r="T328" s="82">
        <f>IF(Consultas!M328="S",0,(IF(Consultas!P328="S",6,0)))</f>
        <v>0</v>
      </c>
      <c r="U328" s="82">
        <f>IF(Consultas!Q328&gt;97,9,IF(Consultas!Q328&gt;75,0,-7))</f>
        <v>-7</v>
      </c>
      <c r="V328" s="82">
        <f>IF(Consultas!W328='Parâmetros'!$E$1,1,-5)</f>
        <v>-5</v>
      </c>
      <c r="W328" s="82">
        <f>IF(Consultas!X328="S",3,-3)</f>
        <v>-3</v>
      </c>
      <c r="X328" s="82">
        <f>IF(Consultas!Y328="S",0,-7)</f>
        <v>-7</v>
      </c>
      <c r="Y328" s="82">
        <f>IF(Consultas!Z328='Parâmetros'!$E$1,2,-8)</f>
        <v>-8</v>
      </c>
      <c r="Z328" s="82">
        <f>IF(Consultas!AA328='Parâmetros'!$E$1,-15,1)</f>
        <v>1</v>
      </c>
      <c r="AA328" s="147" t="s">
        <v>140</v>
      </c>
      <c r="AB328" s="82" t="str">
        <f>IF(E328="NA","NA",IF(E328&gt;'Parâmetros'!$A$9,8,IF(E328&gt;'Parâmetros'!$A$8,4,IF(E328&gt;'Parâmetros'!$A$7,0,-6))))</f>
        <v>NA</v>
      </c>
      <c r="AC328" s="82">
        <f>IF(Consultas!AC328='Parâmetros'!$E$1,0,5)</f>
        <v>5</v>
      </c>
      <c r="AD328" s="82">
        <f>IF(Consultas!AH328='Parâmetros'!$D$1,-10,5)</f>
        <v>5</v>
      </c>
      <c r="AE328" s="82">
        <f>IF(Consultas!AI328&gt;(Consultas!F328*2),-10,0)</f>
        <v>0</v>
      </c>
      <c r="AF328" s="82" t="b">
        <f>IF(Consultas!AD328&gt;1,(IF(Consultas!AI328&gt;(Consultas!AD328),-20,4)))</f>
        <v>0</v>
      </c>
      <c r="AG328" s="82">
        <f>IF(Consultas!AG328='Parâmetros'!$E$1,0,-6)</f>
        <v>-6</v>
      </c>
      <c r="AH328" s="82">
        <f>IF(Consultas!AF328='Parâmetros'!$E$1,1,-5)</f>
        <v>-5</v>
      </c>
      <c r="AI328" s="82">
        <f>IF(Consultas!AJ328&gt;700,8,IF(Consultas!AJ328&gt;500,4,IF(Consultas!AJ328&gt;200,-4,IF(Consultas!AJ328&gt;1,-15,-20))))</f>
        <v>-20</v>
      </c>
      <c r="AJ328" s="82">
        <f>IF(Consultas!AD328='Parâmetros'!$E$10,0,IF(Consultas!AD328&gt;'Parâmetros'!$A$30,12,IF(Consultas!AD328&gt;'Parâmetros'!$A$31,6,IF(Consultas!AD328&gt;'Parâmetros'!$A$32,0,IF(Consultas!AD328&gt;'Parâmetros'!$A$33,0,IF(Consultas!AD328&gt;'Parâmetros'!$A$34,-3,IF(Consultas!AD328&gt;'Parâmetros'!$A$35,-7,-1)))))))</f>
        <v>-1</v>
      </c>
      <c r="AK328" s="82">
        <f>IF(Consultas!AO328='Parâmetros'!$D$1,3,-3)</f>
        <v>-3</v>
      </c>
      <c r="AL328" s="82">
        <f>IF(Consultas!AP328='Parâmetros'!$D$1,5,-3)</f>
        <v>-3</v>
      </c>
      <c r="AM328" s="82">
        <f>IF(Consultas!AL328="N",-6,0)</f>
        <v>0</v>
      </c>
      <c r="AN328" s="82">
        <f>IF(Consultas!AM328="N",-10,0)</f>
        <v>0</v>
      </c>
      <c r="AO328" s="82">
        <f>IF(Consultas!AN328="S",4,-2)</f>
        <v>-2</v>
      </c>
      <c r="AP328" s="39"/>
      <c r="AQ328" s="165" t="str">
        <f>IF(Consultas!F328&gt;1,(SUM(F328:AO328)),"N/A")</f>
        <v>N/A</v>
      </c>
      <c r="AR328" s="78">
        <f>IF((Consultas!AD328&gt;'Parâmetros'!$A$31),"X",AJ328+Y328+V328+AC328)</f>
        <v>-9</v>
      </c>
      <c r="AS328" s="78">
        <f>IF((Consultas!AD328&gt;'Parâmetros'!$A$31),"X",(H328+I328+J328+Q328+T328+Y328+Z328+AJ328+AN328))</f>
        <v>-23</v>
      </c>
      <c r="AT328" s="78" t="str">
        <f>IF((Consultas!AD328&lt;'Parâmetros'!$A$31),"X",(AD328+AC328+AB328))</f>
        <v>X</v>
      </c>
      <c r="AU328" s="78">
        <f t="shared" si="1"/>
        <v>-23</v>
      </c>
      <c r="AV328" s="82" t="str">
        <f>IF(AQ328="N/A","N/A",IF(AQ328&gt;5,'Parâmetros'!$A$15,(IF(AU328=AR328,'Parâmetros'!$A$17,IF(AU328=AS328,'Parâmetros'!$A$16,'Parâmetros'!$A$14)))))</f>
        <v>N/A</v>
      </c>
      <c r="AW328" s="86" t="str">
        <f>IF(AQ328="N/A","N/A",IF(AV328='Parâmetros'!$A$15,'Parâmetros'!$C$15,(IF(AV328='Parâmetros'!$A$17,'Parâmetros'!$C$17,IF(AV328='Parâmetros'!$A$16,'Parâmetros'!$C$16,IF(AV328='Parâmetros'!$A$14,'Parâmetros'!$C$12))))))</f>
        <v>N/A</v>
      </c>
      <c r="AX328" s="82" t="b">
        <f>IF(Consultas!F328&gt;1,(IF(Consultas!F328&gt;5000,"SOLICITAR PED COMPRA","N/A")))</f>
        <v>0</v>
      </c>
      <c r="AY328" s="167" t="str">
        <f>IF(AND(Consultas!M328&lt;&gt;"S", Consultas!H328="S"), "CHECAGEM REVERSA", "N/A")</f>
        <v>N/A</v>
      </c>
      <c r="AZ328" s="167" t="str">
        <f>IF(Consultas!U328="N","PRECISA CORRIGIR END DIVERGENTE","N/A")</f>
        <v>N/A</v>
      </c>
    </row>
    <row r="329" ht="12.0" customHeight="1">
      <c r="A329" s="39" t="s">
        <v>90</v>
      </c>
      <c r="B329" s="82" t="str">
        <f>Consultas!B329</f>
        <v/>
      </c>
      <c r="C329" s="82" t="str">
        <f>Consultas!D329</f>
        <v/>
      </c>
      <c r="D329" s="96" t="str">
        <f>Consultas!E329</f>
        <v/>
      </c>
      <c r="E329" s="104" t="str">
        <f>IF(Consultas!AB329&gt;0,YEAR('Parâmetros'!$B$1)-YEAR(Consultas!AB329),"NA")</f>
        <v>NA</v>
      </c>
      <c r="F329" s="82">
        <f>IF(Consultas!F329&gt;'Parâmetros'!$B$2,-8,0)</f>
        <v>0</v>
      </c>
      <c r="G329" s="82">
        <f>IF(Consultas!H329='Parâmetros'!$E$1,100,0)</f>
        <v>0</v>
      </c>
      <c r="H329" s="82">
        <f>IF(Consultas!I329='Parâmetros'!$E$1,-4,12)</f>
        <v>12</v>
      </c>
      <c r="I329" s="82">
        <f>IF(Consultas!J329='Parâmetros'!$E$1,1,-13)</f>
        <v>-13</v>
      </c>
      <c r="J329" s="82">
        <f>IF(Consultas!K329='Parâmetros'!$E$1,2,-5)</f>
        <v>-5</v>
      </c>
      <c r="K329" s="82" t="str">
        <f>IF(Consultas!L329='Parâmetros'!$D$1,"SOLIC CONTRATO DE ENTREGA","N/A")</f>
        <v>N/A</v>
      </c>
      <c r="L329" s="82">
        <f>IF(Consultas!R329='Parâmetros'!$E$1,1,-3)</f>
        <v>-3</v>
      </c>
      <c r="M329" s="82" t="b">
        <f>IF(Consultas!S329&gt;1,(IF(Consultas!S329='Parâmetros'!$E$1,-3,9)))</f>
        <v>0</v>
      </c>
      <c r="N329" s="82">
        <f>IF(Consultas!T329="S",23,0)</f>
        <v>0</v>
      </c>
      <c r="O329" s="82">
        <f>IF(Consultas!U329='Parâmetros'!$E$1,-3,3)</f>
        <v>3</v>
      </c>
      <c r="P329" s="82">
        <f>IF(Consultas!V329='Parâmetros'!$E$1,-100,2)</f>
        <v>2</v>
      </c>
      <c r="Q329" s="82">
        <f>IF(Consultas!M329='Parâmetros'!$D$1,2,-9)</f>
        <v>-9</v>
      </c>
      <c r="R329" s="82">
        <f>IF(Consultas!N329="RJ",-12,0)</f>
        <v>0</v>
      </c>
      <c r="S329" s="82">
        <f>IF(Consultas!O329="-",-3,IF(Consultas!O329=0,-6,IF(Consultas!O329=5,0,IF(Consultas!O329=10,6))))</f>
        <v>-6</v>
      </c>
      <c r="T329" s="82">
        <f>IF(Consultas!M329="S",0,(IF(Consultas!P329="S",6,0)))</f>
        <v>0</v>
      </c>
      <c r="U329" s="82">
        <f>IF(Consultas!Q329&gt;97,9,IF(Consultas!Q329&gt;75,0,-7))</f>
        <v>-7</v>
      </c>
      <c r="V329" s="82">
        <f>IF(Consultas!W329='Parâmetros'!$E$1,1,-5)</f>
        <v>-5</v>
      </c>
      <c r="W329" s="82">
        <f>IF(Consultas!X329="S",3,-3)</f>
        <v>-3</v>
      </c>
      <c r="X329" s="82">
        <f>IF(Consultas!Y329="S",0,-7)</f>
        <v>-7</v>
      </c>
      <c r="Y329" s="82">
        <f>IF(Consultas!Z329='Parâmetros'!$E$1,2,-8)</f>
        <v>-8</v>
      </c>
      <c r="Z329" s="82">
        <f>IF(Consultas!AA329='Parâmetros'!$E$1,-15,1)</f>
        <v>1</v>
      </c>
      <c r="AA329" s="147" t="s">
        <v>140</v>
      </c>
      <c r="AB329" s="82" t="str">
        <f>IF(E329="NA","NA",IF(E329&gt;'Parâmetros'!$A$9,8,IF(E329&gt;'Parâmetros'!$A$8,4,IF(E329&gt;'Parâmetros'!$A$7,0,-6))))</f>
        <v>NA</v>
      </c>
      <c r="AC329" s="82">
        <f>IF(Consultas!AC329='Parâmetros'!$E$1,0,5)</f>
        <v>5</v>
      </c>
      <c r="AD329" s="82">
        <f>IF(Consultas!AH329='Parâmetros'!$D$1,-10,5)</f>
        <v>5</v>
      </c>
      <c r="AE329" s="82">
        <f>IF(Consultas!AI329&gt;(Consultas!F329*2),-10,0)</f>
        <v>0</v>
      </c>
      <c r="AF329" s="82" t="b">
        <f>IF(Consultas!AD329&gt;1,(IF(Consultas!AI329&gt;(Consultas!AD329),-20,4)))</f>
        <v>0</v>
      </c>
      <c r="AG329" s="82">
        <f>IF(Consultas!AG329='Parâmetros'!$E$1,0,-6)</f>
        <v>-6</v>
      </c>
      <c r="AH329" s="82">
        <f>IF(Consultas!AF329='Parâmetros'!$E$1,1,-5)</f>
        <v>-5</v>
      </c>
      <c r="AI329" s="82">
        <f>IF(Consultas!AJ329&gt;700,8,IF(Consultas!AJ329&gt;500,4,IF(Consultas!AJ329&gt;200,-4,IF(Consultas!AJ329&gt;1,-15,-20))))</f>
        <v>-20</v>
      </c>
      <c r="AJ329" s="82">
        <f>IF(Consultas!AD329='Parâmetros'!$E$10,0,IF(Consultas!AD329&gt;'Parâmetros'!$A$30,12,IF(Consultas!AD329&gt;'Parâmetros'!$A$31,6,IF(Consultas!AD329&gt;'Parâmetros'!$A$32,0,IF(Consultas!AD329&gt;'Parâmetros'!$A$33,0,IF(Consultas!AD329&gt;'Parâmetros'!$A$34,-3,IF(Consultas!AD329&gt;'Parâmetros'!$A$35,-7,-1)))))))</f>
        <v>-1</v>
      </c>
      <c r="AK329" s="82">
        <f>IF(Consultas!AO329='Parâmetros'!$D$1,3,-3)</f>
        <v>-3</v>
      </c>
      <c r="AL329" s="82">
        <f>IF(Consultas!AP329='Parâmetros'!$D$1,5,-3)</f>
        <v>-3</v>
      </c>
      <c r="AM329" s="82">
        <f>IF(Consultas!AL329="N",-6,0)</f>
        <v>0</v>
      </c>
      <c r="AN329" s="82">
        <f>IF(Consultas!AM329="N",-10,0)</f>
        <v>0</v>
      </c>
      <c r="AO329" s="82">
        <f>IF(Consultas!AN329="S",4,-2)</f>
        <v>-2</v>
      </c>
      <c r="AP329" s="39"/>
      <c r="AQ329" s="165" t="str">
        <f>IF(Consultas!F329&gt;1,(SUM(F329:AO329)),"N/A")</f>
        <v>N/A</v>
      </c>
      <c r="AR329" s="78">
        <f>IF((Consultas!AD329&gt;'Parâmetros'!$A$31),"X",AJ329+Y329+V329+AC329)</f>
        <v>-9</v>
      </c>
      <c r="AS329" s="78">
        <f>IF((Consultas!AD329&gt;'Parâmetros'!$A$31),"X",(H329+I329+J329+Q329+T329+Y329+Z329+AJ329+AN329))</f>
        <v>-23</v>
      </c>
      <c r="AT329" s="78" t="str">
        <f>IF((Consultas!AD329&lt;'Parâmetros'!$A$31),"X",(AD329+AC329+AB329))</f>
        <v>X</v>
      </c>
      <c r="AU329" s="78">
        <f t="shared" si="1"/>
        <v>-23</v>
      </c>
      <c r="AV329" s="82" t="str">
        <f>IF(AQ329="N/A","N/A",IF(AQ329&gt;5,'Parâmetros'!$A$15,(IF(AU329=AR329,'Parâmetros'!$A$17,IF(AU329=AS329,'Parâmetros'!$A$16,'Parâmetros'!$A$14)))))</f>
        <v>N/A</v>
      </c>
      <c r="AW329" s="86" t="str">
        <f>IF(AQ329="N/A","N/A",IF(AV329='Parâmetros'!$A$15,'Parâmetros'!$C$15,(IF(AV329='Parâmetros'!$A$17,'Parâmetros'!$C$17,IF(AV329='Parâmetros'!$A$16,'Parâmetros'!$C$16,IF(AV329='Parâmetros'!$A$14,'Parâmetros'!$C$12))))))</f>
        <v>N/A</v>
      </c>
      <c r="AX329" s="82" t="b">
        <f>IF(Consultas!F329&gt;1,(IF(Consultas!F329&gt;5000,"SOLICITAR PED COMPRA","N/A")))</f>
        <v>0</v>
      </c>
      <c r="AY329" s="167" t="str">
        <f>IF(AND(Consultas!M329&lt;&gt;"S", Consultas!H329="S"), "CHECAGEM REVERSA", "N/A")</f>
        <v>N/A</v>
      </c>
      <c r="AZ329" s="167" t="str">
        <f>IF(Consultas!U329="N","PRECISA CORRIGIR END DIVERGENTE","N/A")</f>
        <v>N/A</v>
      </c>
    </row>
    <row r="330" ht="12.0" customHeight="1">
      <c r="A330" s="39" t="s">
        <v>90</v>
      </c>
      <c r="B330" s="82" t="str">
        <f>Consultas!B330</f>
        <v/>
      </c>
      <c r="C330" s="82" t="str">
        <f>Consultas!D330</f>
        <v/>
      </c>
      <c r="D330" s="96" t="str">
        <f>Consultas!E330</f>
        <v/>
      </c>
      <c r="E330" s="104" t="str">
        <f>IF(Consultas!AB330&gt;0,YEAR('Parâmetros'!$B$1)-YEAR(Consultas!AB330),"NA")</f>
        <v>NA</v>
      </c>
      <c r="F330" s="82">
        <f>IF(Consultas!F330&gt;'Parâmetros'!$B$2,-8,0)</f>
        <v>0</v>
      </c>
      <c r="G330" s="82">
        <f>IF(Consultas!H330='Parâmetros'!$E$1,100,0)</f>
        <v>0</v>
      </c>
      <c r="H330" s="82">
        <f>IF(Consultas!I330='Parâmetros'!$E$1,-4,12)</f>
        <v>12</v>
      </c>
      <c r="I330" s="82">
        <f>IF(Consultas!J330='Parâmetros'!$E$1,1,-13)</f>
        <v>-13</v>
      </c>
      <c r="J330" s="82">
        <f>IF(Consultas!K330='Parâmetros'!$E$1,2,-5)</f>
        <v>-5</v>
      </c>
      <c r="K330" s="82" t="str">
        <f>IF(Consultas!L330='Parâmetros'!$D$1,"SOLIC CONTRATO DE ENTREGA","N/A")</f>
        <v>N/A</v>
      </c>
      <c r="L330" s="82">
        <f>IF(Consultas!R330='Parâmetros'!$E$1,1,-3)</f>
        <v>-3</v>
      </c>
      <c r="M330" s="82" t="b">
        <f>IF(Consultas!S330&gt;1,(IF(Consultas!S330='Parâmetros'!$E$1,-3,9)))</f>
        <v>0</v>
      </c>
      <c r="N330" s="82">
        <f>IF(Consultas!T330="S",23,0)</f>
        <v>0</v>
      </c>
      <c r="O330" s="82">
        <f>IF(Consultas!U330='Parâmetros'!$E$1,-3,3)</f>
        <v>3</v>
      </c>
      <c r="P330" s="82">
        <f>IF(Consultas!V330='Parâmetros'!$E$1,-100,2)</f>
        <v>2</v>
      </c>
      <c r="Q330" s="82">
        <f>IF(Consultas!M330='Parâmetros'!$D$1,2,-9)</f>
        <v>-9</v>
      </c>
      <c r="R330" s="82">
        <f>IF(Consultas!N330="RJ",-12,0)</f>
        <v>0</v>
      </c>
      <c r="S330" s="82">
        <f>IF(Consultas!O330="-",-3,IF(Consultas!O330=0,-6,IF(Consultas!O330=5,0,IF(Consultas!O330=10,6))))</f>
        <v>-6</v>
      </c>
      <c r="T330" s="82">
        <f>IF(Consultas!M330="S",0,(IF(Consultas!P330="S",6,0)))</f>
        <v>0</v>
      </c>
      <c r="U330" s="82">
        <f>IF(Consultas!Q330&gt;97,9,IF(Consultas!Q330&gt;75,0,-7))</f>
        <v>-7</v>
      </c>
      <c r="V330" s="82">
        <f>IF(Consultas!W330='Parâmetros'!$E$1,1,-5)</f>
        <v>-5</v>
      </c>
      <c r="W330" s="82">
        <f>IF(Consultas!X330="S",3,-3)</f>
        <v>-3</v>
      </c>
      <c r="X330" s="82">
        <f>IF(Consultas!Y330="S",0,-7)</f>
        <v>-7</v>
      </c>
      <c r="Y330" s="82">
        <f>IF(Consultas!Z330='Parâmetros'!$E$1,2,-8)</f>
        <v>-8</v>
      </c>
      <c r="Z330" s="82">
        <f>IF(Consultas!AA330='Parâmetros'!$E$1,-15,1)</f>
        <v>1</v>
      </c>
      <c r="AA330" s="147" t="s">
        <v>140</v>
      </c>
      <c r="AB330" s="82" t="str">
        <f>IF(E330="NA","NA",IF(E330&gt;'Parâmetros'!$A$9,8,IF(E330&gt;'Parâmetros'!$A$8,4,IF(E330&gt;'Parâmetros'!$A$7,0,-6))))</f>
        <v>NA</v>
      </c>
      <c r="AC330" s="82">
        <f>IF(Consultas!AC330='Parâmetros'!$E$1,0,5)</f>
        <v>5</v>
      </c>
      <c r="AD330" s="82">
        <f>IF(Consultas!AH330='Parâmetros'!$D$1,-10,5)</f>
        <v>5</v>
      </c>
      <c r="AE330" s="82">
        <f>IF(Consultas!AI330&gt;(Consultas!F330*2),-10,0)</f>
        <v>0</v>
      </c>
      <c r="AF330" s="82" t="b">
        <f>IF(Consultas!AD330&gt;1,(IF(Consultas!AI330&gt;(Consultas!AD330),-20,4)))</f>
        <v>0</v>
      </c>
      <c r="AG330" s="82">
        <f>IF(Consultas!AG330='Parâmetros'!$E$1,0,-6)</f>
        <v>-6</v>
      </c>
      <c r="AH330" s="82">
        <f>IF(Consultas!AF330='Parâmetros'!$E$1,1,-5)</f>
        <v>-5</v>
      </c>
      <c r="AI330" s="82">
        <f>IF(Consultas!AJ330&gt;700,8,IF(Consultas!AJ330&gt;500,4,IF(Consultas!AJ330&gt;200,-4,IF(Consultas!AJ330&gt;1,-15,-20))))</f>
        <v>-20</v>
      </c>
      <c r="AJ330" s="82">
        <f>IF(Consultas!AD330='Parâmetros'!$E$10,0,IF(Consultas!AD330&gt;'Parâmetros'!$A$30,12,IF(Consultas!AD330&gt;'Parâmetros'!$A$31,6,IF(Consultas!AD330&gt;'Parâmetros'!$A$32,0,IF(Consultas!AD330&gt;'Parâmetros'!$A$33,0,IF(Consultas!AD330&gt;'Parâmetros'!$A$34,-3,IF(Consultas!AD330&gt;'Parâmetros'!$A$35,-7,-1)))))))</f>
        <v>-1</v>
      </c>
      <c r="AK330" s="82">
        <f>IF(Consultas!AO330='Parâmetros'!$D$1,3,-3)</f>
        <v>-3</v>
      </c>
      <c r="AL330" s="82">
        <f>IF(Consultas!AP330='Parâmetros'!$D$1,5,-3)</f>
        <v>-3</v>
      </c>
      <c r="AM330" s="82">
        <f>IF(Consultas!AL330="N",-6,0)</f>
        <v>0</v>
      </c>
      <c r="AN330" s="82">
        <f>IF(Consultas!AM330="N",-10,0)</f>
        <v>0</v>
      </c>
      <c r="AO330" s="82">
        <f>IF(Consultas!AN330="S",4,-2)</f>
        <v>-2</v>
      </c>
      <c r="AP330" s="39"/>
      <c r="AQ330" s="165" t="str">
        <f>IF(Consultas!F330&gt;1,(SUM(F330:AO330)),"N/A")</f>
        <v>N/A</v>
      </c>
      <c r="AR330" s="78">
        <f>IF((Consultas!AD330&gt;'Parâmetros'!$A$31),"X",AJ330+Y330+V330+AC330)</f>
        <v>-9</v>
      </c>
      <c r="AS330" s="78">
        <f>IF((Consultas!AD330&gt;'Parâmetros'!$A$31),"X",(H330+I330+J330+Q330+T330+Y330+Z330+AJ330+AN330))</f>
        <v>-23</v>
      </c>
      <c r="AT330" s="78" t="str">
        <f>IF((Consultas!AD330&lt;'Parâmetros'!$A$31),"X",(AD330+AC330+AB330))</f>
        <v>X</v>
      </c>
      <c r="AU330" s="78">
        <f t="shared" si="1"/>
        <v>-23</v>
      </c>
      <c r="AV330" s="82" t="str">
        <f>IF(AQ330="N/A","N/A",IF(AQ330&gt;5,'Parâmetros'!$A$15,(IF(AU330=AR330,'Parâmetros'!$A$17,IF(AU330=AS330,'Parâmetros'!$A$16,'Parâmetros'!$A$14)))))</f>
        <v>N/A</v>
      </c>
      <c r="AW330" s="86" t="str">
        <f>IF(AQ330="N/A","N/A",IF(AV330='Parâmetros'!$A$15,'Parâmetros'!$C$15,(IF(AV330='Parâmetros'!$A$17,'Parâmetros'!$C$17,IF(AV330='Parâmetros'!$A$16,'Parâmetros'!$C$16,IF(AV330='Parâmetros'!$A$14,'Parâmetros'!$C$12))))))</f>
        <v>N/A</v>
      </c>
      <c r="AX330" s="82" t="b">
        <f>IF(Consultas!F330&gt;1,(IF(Consultas!F330&gt;5000,"SOLICITAR PED COMPRA","N/A")))</f>
        <v>0</v>
      </c>
      <c r="AY330" s="167" t="str">
        <f>IF(AND(Consultas!M330&lt;&gt;"S", Consultas!H330="S"), "CHECAGEM REVERSA", "N/A")</f>
        <v>N/A</v>
      </c>
      <c r="AZ330" s="167" t="str">
        <f>IF(Consultas!U330="N","PRECISA CORRIGIR END DIVERGENTE","N/A")</f>
        <v>N/A</v>
      </c>
    </row>
    <row r="331" ht="12.0" customHeight="1">
      <c r="A331" s="39" t="s">
        <v>90</v>
      </c>
      <c r="B331" s="82" t="str">
        <f>Consultas!B331</f>
        <v/>
      </c>
      <c r="C331" s="82" t="str">
        <f>Consultas!D331</f>
        <v/>
      </c>
      <c r="D331" s="96" t="str">
        <f>Consultas!E331</f>
        <v/>
      </c>
      <c r="E331" s="104" t="str">
        <f>IF(Consultas!AB331&gt;0,YEAR('Parâmetros'!$B$1)-YEAR(Consultas!AB331),"NA")</f>
        <v>NA</v>
      </c>
      <c r="F331" s="82">
        <f>IF(Consultas!F331&gt;'Parâmetros'!$B$2,-8,0)</f>
        <v>0</v>
      </c>
      <c r="G331" s="82">
        <f>IF(Consultas!H331='Parâmetros'!$E$1,100,0)</f>
        <v>0</v>
      </c>
      <c r="H331" s="82">
        <f>IF(Consultas!I331='Parâmetros'!$E$1,-4,12)</f>
        <v>12</v>
      </c>
      <c r="I331" s="82">
        <f>IF(Consultas!J331='Parâmetros'!$E$1,1,-13)</f>
        <v>-13</v>
      </c>
      <c r="J331" s="82">
        <f>IF(Consultas!K331='Parâmetros'!$E$1,2,-5)</f>
        <v>-5</v>
      </c>
      <c r="K331" s="82" t="str">
        <f>IF(Consultas!L331='Parâmetros'!$D$1,"SOLIC CONTRATO DE ENTREGA","N/A")</f>
        <v>N/A</v>
      </c>
      <c r="L331" s="82">
        <f>IF(Consultas!R331='Parâmetros'!$E$1,1,-3)</f>
        <v>-3</v>
      </c>
      <c r="M331" s="82" t="b">
        <f>IF(Consultas!S331&gt;1,(IF(Consultas!S331='Parâmetros'!$E$1,-3,9)))</f>
        <v>0</v>
      </c>
      <c r="N331" s="82">
        <f>IF(Consultas!T331="S",23,0)</f>
        <v>0</v>
      </c>
      <c r="O331" s="82">
        <f>IF(Consultas!U331='Parâmetros'!$E$1,-3,3)</f>
        <v>3</v>
      </c>
      <c r="P331" s="82">
        <f>IF(Consultas!V331='Parâmetros'!$E$1,-100,2)</f>
        <v>2</v>
      </c>
      <c r="Q331" s="82">
        <f>IF(Consultas!M331='Parâmetros'!$D$1,2,-9)</f>
        <v>-9</v>
      </c>
      <c r="R331" s="82">
        <f>IF(Consultas!N331="RJ",-12,0)</f>
        <v>0</v>
      </c>
      <c r="S331" s="82">
        <f>IF(Consultas!O331="-",-3,IF(Consultas!O331=0,-6,IF(Consultas!O331=5,0,IF(Consultas!O331=10,6))))</f>
        <v>-6</v>
      </c>
      <c r="T331" s="82">
        <f>IF(Consultas!M331="S",0,(IF(Consultas!P331="S",6,0)))</f>
        <v>0</v>
      </c>
      <c r="U331" s="82">
        <f>IF(Consultas!Q331&gt;97,9,IF(Consultas!Q331&gt;75,0,-7))</f>
        <v>-7</v>
      </c>
      <c r="V331" s="82">
        <f>IF(Consultas!W331='Parâmetros'!$E$1,1,-5)</f>
        <v>-5</v>
      </c>
      <c r="W331" s="82">
        <f>IF(Consultas!X331="S",3,-3)</f>
        <v>-3</v>
      </c>
      <c r="X331" s="82">
        <f>IF(Consultas!Y331="S",0,-7)</f>
        <v>-7</v>
      </c>
      <c r="Y331" s="82">
        <f>IF(Consultas!Z331='Parâmetros'!$E$1,2,-8)</f>
        <v>-8</v>
      </c>
      <c r="Z331" s="82">
        <f>IF(Consultas!AA331='Parâmetros'!$E$1,-15,1)</f>
        <v>1</v>
      </c>
      <c r="AA331" s="147" t="s">
        <v>140</v>
      </c>
      <c r="AB331" s="82" t="str">
        <f>IF(E331="NA","NA",IF(E331&gt;'Parâmetros'!$A$9,8,IF(E331&gt;'Parâmetros'!$A$8,4,IF(E331&gt;'Parâmetros'!$A$7,0,-6))))</f>
        <v>NA</v>
      </c>
      <c r="AC331" s="82">
        <f>IF(Consultas!AC331='Parâmetros'!$E$1,0,5)</f>
        <v>5</v>
      </c>
      <c r="AD331" s="82">
        <f>IF(Consultas!AH331='Parâmetros'!$D$1,-10,5)</f>
        <v>5</v>
      </c>
      <c r="AE331" s="82">
        <f>IF(Consultas!AI331&gt;(Consultas!F331*2),-10,0)</f>
        <v>0</v>
      </c>
      <c r="AF331" s="82" t="b">
        <f>IF(Consultas!AD331&gt;1,(IF(Consultas!AI331&gt;(Consultas!AD331),-20,4)))</f>
        <v>0</v>
      </c>
      <c r="AG331" s="82">
        <f>IF(Consultas!AG331='Parâmetros'!$E$1,0,-6)</f>
        <v>-6</v>
      </c>
      <c r="AH331" s="82">
        <f>IF(Consultas!AF331='Parâmetros'!$E$1,1,-5)</f>
        <v>-5</v>
      </c>
      <c r="AI331" s="82">
        <f>IF(Consultas!AJ331&gt;700,8,IF(Consultas!AJ331&gt;500,4,IF(Consultas!AJ331&gt;200,-4,IF(Consultas!AJ331&gt;1,-15,-20))))</f>
        <v>-20</v>
      </c>
      <c r="AJ331" s="82">
        <f>IF(Consultas!AD331='Parâmetros'!$E$10,0,IF(Consultas!AD331&gt;'Parâmetros'!$A$30,12,IF(Consultas!AD331&gt;'Parâmetros'!$A$31,6,IF(Consultas!AD331&gt;'Parâmetros'!$A$32,0,IF(Consultas!AD331&gt;'Parâmetros'!$A$33,0,IF(Consultas!AD331&gt;'Parâmetros'!$A$34,-3,IF(Consultas!AD331&gt;'Parâmetros'!$A$35,-7,-1)))))))</f>
        <v>-1</v>
      </c>
      <c r="AK331" s="82">
        <f>IF(Consultas!AO331='Parâmetros'!$D$1,3,-3)</f>
        <v>-3</v>
      </c>
      <c r="AL331" s="82">
        <f>IF(Consultas!AP331='Parâmetros'!$D$1,5,-3)</f>
        <v>-3</v>
      </c>
      <c r="AM331" s="82">
        <f>IF(Consultas!AL331="N",-6,0)</f>
        <v>0</v>
      </c>
      <c r="AN331" s="82">
        <f>IF(Consultas!AM331="N",-10,0)</f>
        <v>0</v>
      </c>
      <c r="AO331" s="82">
        <f>IF(Consultas!AN331="S",4,-2)</f>
        <v>-2</v>
      </c>
      <c r="AP331" s="39"/>
      <c r="AQ331" s="165" t="str">
        <f>IF(Consultas!F331&gt;1,(SUM(F331:AO331)),"N/A")</f>
        <v>N/A</v>
      </c>
      <c r="AR331" s="78">
        <f>IF((Consultas!AD331&gt;'Parâmetros'!$A$31),"X",AJ331+Y331+V331+AC331)</f>
        <v>-9</v>
      </c>
      <c r="AS331" s="78">
        <f>IF((Consultas!AD331&gt;'Parâmetros'!$A$31),"X",(H331+I331+J331+Q331+T331+Y331+Z331+AJ331+AN331))</f>
        <v>-23</v>
      </c>
      <c r="AT331" s="78" t="str">
        <f>IF((Consultas!AD331&lt;'Parâmetros'!$A$31),"X",(AD331+AC331+AB331))</f>
        <v>X</v>
      </c>
      <c r="AU331" s="78">
        <f t="shared" si="1"/>
        <v>-23</v>
      </c>
      <c r="AV331" s="82" t="str">
        <f>IF(AQ331="N/A","N/A",IF(AQ331&gt;5,'Parâmetros'!$A$15,(IF(AU331=AR331,'Parâmetros'!$A$17,IF(AU331=AS331,'Parâmetros'!$A$16,'Parâmetros'!$A$14)))))</f>
        <v>N/A</v>
      </c>
      <c r="AW331" s="86" t="str">
        <f>IF(AQ331="N/A","N/A",IF(AV331='Parâmetros'!$A$15,'Parâmetros'!$C$15,(IF(AV331='Parâmetros'!$A$17,'Parâmetros'!$C$17,IF(AV331='Parâmetros'!$A$16,'Parâmetros'!$C$16,IF(AV331='Parâmetros'!$A$14,'Parâmetros'!$C$12))))))</f>
        <v>N/A</v>
      </c>
      <c r="AX331" s="82" t="b">
        <f>IF(Consultas!F331&gt;1,(IF(Consultas!F331&gt;5000,"SOLICITAR PED COMPRA","N/A")))</f>
        <v>0</v>
      </c>
      <c r="AY331" s="167" t="str">
        <f>IF(AND(Consultas!M331&lt;&gt;"S", Consultas!H331="S"), "CHECAGEM REVERSA", "N/A")</f>
        <v>N/A</v>
      </c>
      <c r="AZ331" s="167" t="str">
        <f>IF(Consultas!U331="N","PRECISA CORRIGIR END DIVERGENTE","N/A")</f>
        <v>N/A</v>
      </c>
    </row>
    <row r="332" ht="12.0" customHeight="1">
      <c r="A332" s="39" t="s">
        <v>90</v>
      </c>
      <c r="B332" s="82" t="str">
        <f>Consultas!B332</f>
        <v/>
      </c>
      <c r="C332" s="82" t="str">
        <f>Consultas!D332</f>
        <v/>
      </c>
      <c r="D332" s="96" t="str">
        <f>Consultas!E332</f>
        <v/>
      </c>
      <c r="E332" s="104" t="str">
        <f>IF(Consultas!AB332&gt;0,YEAR('Parâmetros'!$B$1)-YEAR(Consultas!AB332),"NA")</f>
        <v>NA</v>
      </c>
      <c r="F332" s="82">
        <f>IF(Consultas!F332&gt;'Parâmetros'!$B$2,-8,0)</f>
        <v>0</v>
      </c>
      <c r="G332" s="82">
        <f>IF(Consultas!H332='Parâmetros'!$E$1,100,0)</f>
        <v>0</v>
      </c>
      <c r="H332" s="82">
        <f>IF(Consultas!I332='Parâmetros'!$E$1,-4,12)</f>
        <v>12</v>
      </c>
      <c r="I332" s="82">
        <f>IF(Consultas!J332='Parâmetros'!$E$1,1,-13)</f>
        <v>-13</v>
      </c>
      <c r="J332" s="82">
        <f>IF(Consultas!K332='Parâmetros'!$E$1,2,-5)</f>
        <v>-5</v>
      </c>
      <c r="K332" s="82" t="str">
        <f>IF(Consultas!L332='Parâmetros'!$D$1,"SOLIC CONTRATO DE ENTREGA","N/A")</f>
        <v>N/A</v>
      </c>
      <c r="L332" s="82">
        <f>IF(Consultas!R332='Parâmetros'!$E$1,1,-3)</f>
        <v>-3</v>
      </c>
      <c r="M332" s="82" t="b">
        <f>IF(Consultas!S332&gt;1,(IF(Consultas!S332='Parâmetros'!$E$1,-3,9)))</f>
        <v>0</v>
      </c>
      <c r="N332" s="82">
        <f>IF(Consultas!T332="S",23,0)</f>
        <v>0</v>
      </c>
      <c r="O332" s="82">
        <f>IF(Consultas!U332='Parâmetros'!$E$1,-3,3)</f>
        <v>3</v>
      </c>
      <c r="P332" s="82">
        <f>IF(Consultas!V332='Parâmetros'!$E$1,-100,2)</f>
        <v>2</v>
      </c>
      <c r="Q332" s="82">
        <f>IF(Consultas!M332='Parâmetros'!$D$1,2,-9)</f>
        <v>-9</v>
      </c>
      <c r="R332" s="82">
        <f>IF(Consultas!N332="RJ",-12,0)</f>
        <v>0</v>
      </c>
      <c r="S332" s="82">
        <f>IF(Consultas!O332="-",-3,IF(Consultas!O332=0,-6,IF(Consultas!O332=5,0,IF(Consultas!O332=10,6))))</f>
        <v>-6</v>
      </c>
      <c r="T332" s="82">
        <f>IF(Consultas!M332="S",0,(IF(Consultas!P332="S",6,0)))</f>
        <v>0</v>
      </c>
      <c r="U332" s="82">
        <f>IF(Consultas!Q332&gt;97,9,IF(Consultas!Q332&gt;75,0,-7))</f>
        <v>-7</v>
      </c>
      <c r="V332" s="82">
        <f>IF(Consultas!W332='Parâmetros'!$E$1,1,-5)</f>
        <v>-5</v>
      </c>
      <c r="W332" s="82">
        <f>IF(Consultas!X332="S",3,-3)</f>
        <v>-3</v>
      </c>
      <c r="X332" s="82">
        <f>IF(Consultas!Y332="S",0,-7)</f>
        <v>-7</v>
      </c>
      <c r="Y332" s="82">
        <f>IF(Consultas!Z332='Parâmetros'!$E$1,2,-8)</f>
        <v>-8</v>
      </c>
      <c r="Z332" s="82">
        <f>IF(Consultas!AA332='Parâmetros'!$E$1,-15,1)</f>
        <v>1</v>
      </c>
      <c r="AA332" s="147" t="s">
        <v>140</v>
      </c>
      <c r="AB332" s="82" t="str">
        <f>IF(E332="NA","NA",IF(E332&gt;'Parâmetros'!$A$9,8,IF(E332&gt;'Parâmetros'!$A$8,4,IF(E332&gt;'Parâmetros'!$A$7,0,-6))))</f>
        <v>NA</v>
      </c>
      <c r="AC332" s="82">
        <f>IF(Consultas!AC332='Parâmetros'!$E$1,0,5)</f>
        <v>5</v>
      </c>
      <c r="AD332" s="82">
        <f>IF(Consultas!AH332='Parâmetros'!$D$1,-10,5)</f>
        <v>5</v>
      </c>
      <c r="AE332" s="82">
        <f>IF(Consultas!AI332&gt;(Consultas!F332*2),-10,0)</f>
        <v>0</v>
      </c>
      <c r="AF332" s="82" t="b">
        <f>IF(Consultas!AD332&gt;1,(IF(Consultas!AI332&gt;(Consultas!AD332),-20,4)))</f>
        <v>0</v>
      </c>
      <c r="AG332" s="82">
        <f>IF(Consultas!AG332='Parâmetros'!$E$1,0,-6)</f>
        <v>-6</v>
      </c>
      <c r="AH332" s="82">
        <f>IF(Consultas!AF332='Parâmetros'!$E$1,1,-5)</f>
        <v>-5</v>
      </c>
      <c r="AI332" s="82">
        <f>IF(Consultas!AJ332&gt;700,8,IF(Consultas!AJ332&gt;500,4,IF(Consultas!AJ332&gt;200,-4,IF(Consultas!AJ332&gt;1,-15,-20))))</f>
        <v>-20</v>
      </c>
      <c r="AJ332" s="82">
        <f>IF(Consultas!AD332='Parâmetros'!$E$10,0,IF(Consultas!AD332&gt;'Parâmetros'!$A$30,12,IF(Consultas!AD332&gt;'Parâmetros'!$A$31,6,IF(Consultas!AD332&gt;'Parâmetros'!$A$32,0,IF(Consultas!AD332&gt;'Parâmetros'!$A$33,0,IF(Consultas!AD332&gt;'Parâmetros'!$A$34,-3,IF(Consultas!AD332&gt;'Parâmetros'!$A$35,-7,-1)))))))</f>
        <v>-1</v>
      </c>
      <c r="AK332" s="82">
        <f>IF(Consultas!AO332='Parâmetros'!$D$1,3,-3)</f>
        <v>-3</v>
      </c>
      <c r="AL332" s="82">
        <f>IF(Consultas!AP332='Parâmetros'!$D$1,5,-3)</f>
        <v>-3</v>
      </c>
      <c r="AM332" s="82">
        <f>IF(Consultas!AL332="N",-6,0)</f>
        <v>0</v>
      </c>
      <c r="AN332" s="82">
        <f>IF(Consultas!AM332="N",-10,0)</f>
        <v>0</v>
      </c>
      <c r="AO332" s="82">
        <f>IF(Consultas!AN332="S",4,-2)</f>
        <v>-2</v>
      </c>
      <c r="AP332" s="39"/>
      <c r="AQ332" s="165" t="str">
        <f>IF(Consultas!F332&gt;1,(SUM(F332:AO332)),"N/A")</f>
        <v>N/A</v>
      </c>
      <c r="AR332" s="78">
        <f>IF((Consultas!AD332&gt;'Parâmetros'!$A$31),"X",AJ332+Y332+V332+AC332)</f>
        <v>-9</v>
      </c>
      <c r="AS332" s="78">
        <f>IF((Consultas!AD332&gt;'Parâmetros'!$A$31),"X",(H332+I332+J332+Q332+T332+Y332+Z332+AJ332+AN332))</f>
        <v>-23</v>
      </c>
      <c r="AT332" s="78" t="str">
        <f>IF((Consultas!AD332&lt;'Parâmetros'!$A$31),"X",(AD332+AC332+AB332))</f>
        <v>X</v>
      </c>
      <c r="AU332" s="78">
        <f t="shared" si="1"/>
        <v>-23</v>
      </c>
      <c r="AV332" s="82" t="str">
        <f>IF(AQ332="N/A","N/A",IF(AQ332&gt;5,'Parâmetros'!$A$15,(IF(AU332=AR332,'Parâmetros'!$A$17,IF(AU332=AS332,'Parâmetros'!$A$16,'Parâmetros'!$A$14)))))</f>
        <v>N/A</v>
      </c>
      <c r="AW332" s="86" t="str">
        <f>IF(AQ332="N/A","N/A",IF(AV332='Parâmetros'!$A$15,'Parâmetros'!$C$15,(IF(AV332='Parâmetros'!$A$17,'Parâmetros'!$C$17,IF(AV332='Parâmetros'!$A$16,'Parâmetros'!$C$16,IF(AV332='Parâmetros'!$A$14,'Parâmetros'!$C$12))))))</f>
        <v>N/A</v>
      </c>
      <c r="AX332" s="82" t="b">
        <f>IF(Consultas!F332&gt;1,(IF(Consultas!F332&gt;5000,"SOLICITAR PED COMPRA","N/A")))</f>
        <v>0</v>
      </c>
      <c r="AY332" s="167" t="str">
        <f>IF(AND(Consultas!M332&lt;&gt;"S", Consultas!H332="S"), "CHECAGEM REVERSA", "N/A")</f>
        <v>N/A</v>
      </c>
      <c r="AZ332" s="167" t="str">
        <f>IF(Consultas!U332="N","PRECISA CORRIGIR END DIVERGENTE","N/A")</f>
        <v>N/A</v>
      </c>
    </row>
    <row r="333" ht="12.0" customHeight="1">
      <c r="A333" s="39" t="s">
        <v>90</v>
      </c>
      <c r="B333" s="82" t="str">
        <f>Consultas!B333</f>
        <v/>
      </c>
      <c r="C333" s="82" t="str">
        <f>Consultas!D333</f>
        <v/>
      </c>
      <c r="D333" s="96" t="str">
        <f>Consultas!E333</f>
        <v/>
      </c>
      <c r="E333" s="104" t="str">
        <f>IF(Consultas!AB333&gt;0,YEAR('Parâmetros'!$B$1)-YEAR(Consultas!AB333),"NA")</f>
        <v>NA</v>
      </c>
      <c r="F333" s="82">
        <f>IF(Consultas!F333&gt;'Parâmetros'!$B$2,-8,0)</f>
        <v>0</v>
      </c>
      <c r="G333" s="82">
        <f>IF(Consultas!H333='Parâmetros'!$E$1,100,0)</f>
        <v>0</v>
      </c>
      <c r="H333" s="82">
        <f>IF(Consultas!I333='Parâmetros'!$E$1,-4,12)</f>
        <v>12</v>
      </c>
      <c r="I333" s="82">
        <f>IF(Consultas!J333='Parâmetros'!$E$1,1,-13)</f>
        <v>-13</v>
      </c>
      <c r="J333" s="82">
        <f>IF(Consultas!K333='Parâmetros'!$E$1,2,-5)</f>
        <v>-5</v>
      </c>
      <c r="K333" s="82" t="str">
        <f>IF(Consultas!L333='Parâmetros'!$D$1,"SOLIC CONTRATO DE ENTREGA","N/A")</f>
        <v>N/A</v>
      </c>
      <c r="L333" s="82">
        <f>IF(Consultas!R333='Parâmetros'!$E$1,1,-3)</f>
        <v>-3</v>
      </c>
      <c r="M333" s="82" t="b">
        <f>IF(Consultas!S333&gt;1,(IF(Consultas!S333='Parâmetros'!$E$1,-3,9)))</f>
        <v>0</v>
      </c>
      <c r="N333" s="82">
        <f>IF(Consultas!T333="S",23,0)</f>
        <v>0</v>
      </c>
      <c r="O333" s="82">
        <f>IF(Consultas!U333='Parâmetros'!$E$1,-3,3)</f>
        <v>3</v>
      </c>
      <c r="P333" s="82">
        <f>IF(Consultas!V333='Parâmetros'!$E$1,-100,2)</f>
        <v>2</v>
      </c>
      <c r="Q333" s="82">
        <f>IF(Consultas!M333='Parâmetros'!$D$1,2,-9)</f>
        <v>-9</v>
      </c>
      <c r="R333" s="82">
        <f>IF(Consultas!N333="RJ",-12,0)</f>
        <v>0</v>
      </c>
      <c r="S333" s="82">
        <f>IF(Consultas!O333="-",-3,IF(Consultas!O333=0,-6,IF(Consultas!O333=5,0,IF(Consultas!O333=10,6))))</f>
        <v>-6</v>
      </c>
      <c r="T333" s="82">
        <f>IF(Consultas!M333="S",0,(IF(Consultas!P333="S",6,0)))</f>
        <v>0</v>
      </c>
      <c r="U333" s="82">
        <f>IF(Consultas!Q333&gt;97,9,IF(Consultas!Q333&gt;75,0,-7))</f>
        <v>-7</v>
      </c>
      <c r="V333" s="82">
        <f>IF(Consultas!W333='Parâmetros'!$E$1,1,-5)</f>
        <v>-5</v>
      </c>
      <c r="W333" s="82">
        <f>IF(Consultas!X333="S",3,-3)</f>
        <v>-3</v>
      </c>
      <c r="X333" s="82">
        <f>IF(Consultas!Y333="S",0,-7)</f>
        <v>-7</v>
      </c>
      <c r="Y333" s="82">
        <f>IF(Consultas!Z333='Parâmetros'!$E$1,2,-8)</f>
        <v>-8</v>
      </c>
      <c r="Z333" s="82">
        <f>IF(Consultas!AA333='Parâmetros'!$E$1,-15,1)</f>
        <v>1</v>
      </c>
      <c r="AA333" s="147" t="s">
        <v>140</v>
      </c>
      <c r="AB333" s="82" t="str">
        <f>IF(E333="NA","NA",IF(E333&gt;'Parâmetros'!$A$9,8,IF(E333&gt;'Parâmetros'!$A$8,4,IF(E333&gt;'Parâmetros'!$A$7,0,-6))))</f>
        <v>NA</v>
      </c>
      <c r="AC333" s="82">
        <f>IF(Consultas!AC333='Parâmetros'!$E$1,0,5)</f>
        <v>5</v>
      </c>
      <c r="AD333" s="82">
        <f>IF(Consultas!AH333='Parâmetros'!$D$1,-10,5)</f>
        <v>5</v>
      </c>
      <c r="AE333" s="82">
        <f>IF(Consultas!AI333&gt;(Consultas!F333*2),-10,0)</f>
        <v>0</v>
      </c>
      <c r="AF333" s="82" t="b">
        <f>IF(Consultas!AD333&gt;1,(IF(Consultas!AI333&gt;(Consultas!AD333),-20,4)))</f>
        <v>0</v>
      </c>
      <c r="AG333" s="82">
        <f>IF(Consultas!AG333='Parâmetros'!$E$1,0,-6)</f>
        <v>-6</v>
      </c>
      <c r="AH333" s="82">
        <f>IF(Consultas!AF333='Parâmetros'!$E$1,1,-5)</f>
        <v>-5</v>
      </c>
      <c r="AI333" s="82">
        <f>IF(Consultas!AJ333&gt;700,8,IF(Consultas!AJ333&gt;500,4,IF(Consultas!AJ333&gt;200,-4,IF(Consultas!AJ333&gt;1,-15,-20))))</f>
        <v>-20</v>
      </c>
      <c r="AJ333" s="82">
        <f>IF(Consultas!AD333='Parâmetros'!$E$10,0,IF(Consultas!AD333&gt;'Parâmetros'!$A$30,12,IF(Consultas!AD333&gt;'Parâmetros'!$A$31,6,IF(Consultas!AD333&gt;'Parâmetros'!$A$32,0,IF(Consultas!AD333&gt;'Parâmetros'!$A$33,0,IF(Consultas!AD333&gt;'Parâmetros'!$A$34,-3,IF(Consultas!AD333&gt;'Parâmetros'!$A$35,-7,-1)))))))</f>
        <v>-1</v>
      </c>
      <c r="AK333" s="82">
        <f>IF(Consultas!AO333='Parâmetros'!$D$1,3,-3)</f>
        <v>-3</v>
      </c>
      <c r="AL333" s="82">
        <f>IF(Consultas!AP333='Parâmetros'!$D$1,5,-3)</f>
        <v>-3</v>
      </c>
      <c r="AM333" s="82">
        <f>IF(Consultas!AL333="N",-6,0)</f>
        <v>0</v>
      </c>
      <c r="AN333" s="82">
        <f>IF(Consultas!AM333="N",-10,0)</f>
        <v>0</v>
      </c>
      <c r="AO333" s="82">
        <f>IF(Consultas!AN333="S",4,-2)</f>
        <v>-2</v>
      </c>
      <c r="AP333" s="39"/>
      <c r="AQ333" s="165" t="str">
        <f>IF(Consultas!F333&gt;1,(SUM(F333:AO333)),"N/A")</f>
        <v>N/A</v>
      </c>
      <c r="AR333" s="78">
        <f>IF((Consultas!AD333&gt;'Parâmetros'!$A$31),"X",AJ333+Y333+V333+AC333)</f>
        <v>-9</v>
      </c>
      <c r="AS333" s="78">
        <f>IF((Consultas!AD333&gt;'Parâmetros'!$A$31),"X",(H333+I333+J333+Q333+T333+Y333+Z333+AJ333+AN333))</f>
        <v>-23</v>
      </c>
      <c r="AT333" s="78" t="str">
        <f>IF((Consultas!AD333&lt;'Parâmetros'!$A$31),"X",(AD333+AC333+AB333))</f>
        <v>X</v>
      </c>
      <c r="AU333" s="78">
        <f t="shared" si="1"/>
        <v>-23</v>
      </c>
      <c r="AV333" s="82" t="str">
        <f>IF(AQ333="N/A","N/A",IF(AQ333&gt;5,'Parâmetros'!$A$15,(IF(AU333=AR333,'Parâmetros'!$A$17,IF(AU333=AS333,'Parâmetros'!$A$16,'Parâmetros'!$A$14)))))</f>
        <v>N/A</v>
      </c>
      <c r="AW333" s="86" t="str">
        <f>IF(AQ333="N/A","N/A",IF(AV333='Parâmetros'!$A$15,'Parâmetros'!$C$15,(IF(AV333='Parâmetros'!$A$17,'Parâmetros'!$C$17,IF(AV333='Parâmetros'!$A$16,'Parâmetros'!$C$16,IF(AV333='Parâmetros'!$A$14,'Parâmetros'!$C$12))))))</f>
        <v>N/A</v>
      </c>
      <c r="AX333" s="82" t="b">
        <f>IF(Consultas!F333&gt;1,(IF(Consultas!F333&gt;5000,"SOLICITAR PED COMPRA","N/A")))</f>
        <v>0</v>
      </c>
      <c r="AY333" s="167" t="str">
        <f>IF(AND(Consultas!M333&lt;&gt;"S", Consultas!H333="S"), "CHECAGEM REVERSA", "N/A")</f>
        <v>N/A</v>
      </c>
      <c r="AZ333" s="167" t="str">
        <f>IF(Consultas!U333="N","PRECISA CORRIGIR END DIVERGENTE","N/A")</f>
        <v>N/A</v>
      </c>
    </row>
    <row r="334" ht="12.0" customHeight="1">
      <c r="A334" s="39" t="s">
        <v>90</v>
      </c>
      <c r="B334" s="82" t="str">
        <f>Consultas!B334</f>
        <v/>
      </c>
      <c r="C334" s="82" t="str">
        <f>Consultas!D334</f>
        <v/>
      </c>
      <c r="D334" s="96" t="str">
        <f>Consultas!E334</f>
        <v/>
      </c>
      <c r="E334" s="104" t="str">
        <f>IF(Consultas!AB334&gt;0,YEAR('Parâmetros'!$B$1)-YEAR(Consultas!AB334),"NA")</f>
        <v>NA</v>
      </c>
      <c r="F334" s="82">
        <f>IF(Consultas!F334&gt;'Parâmetros'!$B$2,-8,0)</f>
        <v>0</v>
      </c>
      <c r="G334" s="82">
        <f>IF(Consultas!H334='Parâmetros'!$E$1,100,0)</f>
        <v>0</v>
      </c>
      <c r="H334" s="82">
        <f>IF(Consultas!I334='Parâmetros'!$E$1,-4,12)</f>
        <v>12</v>
      </c>
      <c r="I334" s="82">
        <f>IF(Consultas!J334='Parâmetros'!$E$1,1,-13)</f>
        <v>-13</v>
      </c>
      <c r="J334" s="82">
        <f>IF(Consultas!K334='Parâmetros'!$E$1,2,-5)</f>
        <v>-5</v>
      </c>
      <c r="K334" s="82" t="str">
        <f>IF(Consultas!L334='Parâmetros'!$D$1,"SOLIC CONTRATO DE ENTREGA","N/A")</f>
        <v>N/A</v>
      </c>
      <c r="L334" s="82">
        <f>IF(Consultas!R334='Parâmetros'!$E$1,1,-3)</f>
        <v>-3</v>
      </c>
      <c r="M334" s="82" t="b">
        <f>IF(Consultas!S334&gt;1,(IF(Consultas!S334='Parâmetros'!$E$1,-3,9)))</f>
        <v>0</v>
      </c>
      <c r="N334" s="82">
        <f>IF(Consultas!T334="S",23,0)</f>
        <v>0</v>
      </c>
      <c r="O334" s="82">
        <f>IF(Consultas!U334='Parâmetros'!$E$1,-3,3)</f>
        <v>3</v>
      </c>
      <c r="P334" s="82">
        <f>IF(Consultas!V334='Parâmetros'!$E$1,-100,2)</f>
        <v>2</v>
      </c>
      <c r="Q334" s="82">
        <f>IF(Consultas!M334='Parâmetros'!$D$1,2,-9)</f>
        <v>-9</v>
      </c>
      <c r="R334" s="82">
        <f>IF(Consultas!N334="RJ",-12,0)</f>
        <v>0</v>
      </c>
      <c r="S334" s="82">
        <f>IF(Consultas!O334="-",-3,IF(Consultas!O334=0,-6,IF(Consultas!O334=5,0,IF(Consultas!O334=10,6))))</f>
        <v>-6</v>
      </c>
      <c r="T334" s="82">
        <f>IF(Consultas!M334="S",0,(IF(Consultas!P334="S",6,0)))</f>
        <v>0</v>
      </c>
      <c r="U334" s="82">
        <f>IF(Consultas!Q334&gt;97,9,IF(Consultas!Q334&gt;75,0,-7))</f>
        <v>-7</v>
      </c>
      <c r="V334" s="82">
        <f>IF(Consultas!W334='Parâmetros'!$E$1,1,-5)</f>
        <v>-5</v>
      </c>
      <c r="W334" s="82">
        <f>IF(Consultas!X334="S",3,-3)</f>
        <v>-3</v>
      </c>
      <c r="X334" s="82">
        <f>IF(Consultas!Y334="S",0,-7)</f>
        <v>-7</v>
      </c>
      <c r="Y334" s="82">
        <f>IF(Consultas!Z334='Parâmetros'!$E$1,2,-8)</f>
        <v>-8</v>
      </c>
      <c r="Z334" s="82">
        <f>IF(Consultas!AA334='Parâmetros'!$E$1,-15,1)</f>
        <v>1</v>
      </c>
      <c r="AA334" s="147" t="s">
        <v>140</v>
      </c>
      <c r="AB334" s="82" t="str">
        <f>IF(E334="NA","NA",IF(E334&gt;'Parâmetros'!$A$9,8,IF(E334&gt;'Parâmetros'!$A$8,4,IF(E334&gt;'Parâmetros'!$A$7,0,-6))))</f>
        <v>NA</v>
      </c>
      <c r="AC334" s="82">
        <f>IF(Consultas!AC334='Parâmetros'!$E$1,0,5)</f>
        <v>5</v>
      </c>
      <c r="AD334" s="82">
        <f>IF(Consultas!AH334='Parâmetros'!$D$1,-10,5)</f>
        <v>5</v>
      </c>
      <c r="AE334" s="82">
        <f>IF(Consultas!AI334&gt;(Consultas!F334*2),-10,0)</f>
        <v>0</v>
      </c>
      <c r="AF334" s="82" t="b">
        <f>IF(Consultas!AD334&gt;1,(IF(Consultas!AI334&gt;(Consultas!AD334),-20,4)))</f>
        <v>0</v>
      </c>
      <c r="AG334" s="82">
        <f>IF(Consultas!AG334='Parâmetros'!$E$1,0,-6)</f>
        <v>-6</v>
      </c>
      <c r="AH334" s="82">
        <f>IF(Consultas!AF334='Parâmetros'!$E$1,1,-5)</f>
        <v>-5</v>
      </c>
      <c r="AI334" s="82">
        <f>IF(Consultas!AJ334&gt;700,8,IF(Consultas!AJ334&gt;500,4,IF(Consultas!AJ334&gt;200,-4,IF(Consultas!AJ334&gt;1,-15,-20))))</f>
        <v>-20</v>
      </c>
      <c r="AJ334" s="82">
        <f>IF(Consultas!AD334='Parâmetros'!$E$10,0,IF(Consultas!AD334&gt;'Parâmetros'!$A$30,12,IF(Consultas!AD334&gt;'Parâmetros'!$A$31,6,IF(Consultas!AD334&gt;'Parâmetros'!$A$32,0,IF(Consultas!AD334&gt;'Parâmetros'!$A$33,0,IF(Consultas!AD334&gt;'Parâmetros'!$A$34,-3,IF(Consultas!AD334&gt;'Parâmetros'!$A$35,-7,-1)))))))</f>
        <v>-1</v>
      </c>
      <c r="AK334" s="82">
        <f>IF(Consultas!AO334='Parâmetros'!$D$1,3,-3)</f>
        <v>-3</v>
      </c>
      <c r="AL334" s="82">
        <f>IF(Consultas!AP334='Parâmetros'!$D$1,5,-3)</f>
        <v>-3</v>
      </c>
      <c r="AM334" s="82">
        <f>IF(Consultas!AL334="N",-6,0)</f>
        <v>0</v>
      </c>
      <c r="AN334" s="82">
        <f>IF(Consultas!AM334="N",-10,0)</f>
        <v>0</v>
      </c>
      <c r="AO334" s="82">
        <f>IF(Consultas!AN334="S",4,-2)</f>
        <v>-2</v>
      </c>
      <c r="AP334" s="39"/>
      <c r="AQ334" s="165" t="str">
        <f>IF(Consultas!F334&gt;1,(SUM(F334:AO334)),"N/A")</f>
        <v>N/A</v>
      </c>
      <c r="AR334" s="78">
        <f>IF((Consultas!AD334&gt;'Parâmetros'!$A$31),"X",AJ334+Y334+V334+AC334)</f>
        <v>-9</v>
      </c>
      <c r="AS334" s="78">
        <f>IF((Consultas!AD334&gt;'Parâmetros'!$A$31),"X",(H334+I334+J334+Q334+T334+Y334+Z334+AJ334+AN334))</f>
        <v>-23</v>
      </c>
      <c r="AT334" s="78" t="str">
        <f>IF((Consultas!AD334&lt;'Parâmetros'!$A$31),"X",(AD334+AC334+AB334))</f>
        <v>X</v>
      </c>
      <c r="AU334" s="78">
        <f t="shared" si="1"/>
        <v>-23</v>
      </c>
      <c r="AV334" s="82" t="str">
        <f>IF(AQ334="N/A","N/A",IF(AQ334&gt;5,'Parâmetros'!$A$15,(IF(AU334=AR334,'Parâmetros'!$A$17,IF(AU334=AS334,'Parâmetros'!$A$16,'Parâmetros'!$A$14)))))</f>
        <v>N/A</v>
      </c>
      <c r="AW334" s="86" t="str">
        <f>IF(AQ334="N/A","N/A",IF(AV334='Parâmetros'!$A$15,'Parâmetros'!$C$15,(IF(AV334='Parâmetros'!$A$17,'Parâmetros'!$C$17,IF(AV334='Parâmetros'!$A$16,'Parâmetros'!$C$16,IF(AV334='Parâmetros'!$A$14,'Parâmetros'!$C$12))))))</f>
        <v>N/A</v>
      </c>
      <c r="AX334" s="82" t="b">
        <f>IF(Consultas!F334&gt;1,(IF(Consultas!F334&gt;5000,"SOLICITAR PED COMPRA","N/A")))</f>
        <v>0</v>
      </c>
      <c r="AY334" s="167" t="str">
        <f>IF(AND(Consultas!M334&lt;&gt;"S", Consultas!H334="S"), "CHECAGEM REVERSA", "N/A")</f>
        <v>N/A</v>
      </c>
      <c r="AZ334" s="167" t="str">
        <f>IF(Consultas!U334="N","PRECISA CORRIGIR END DIVERGENTE","N/A")</f>
        <v>N/A</v>
      </c>
    </row>
    <row r="335" ht="12.0" customHeight="1">
      <c r="A335" s="39" t="s">
        <v>90</v>
      </c>
      <c r="B335" s="82" t="str">
        <f>Consultas!B335</f>
        <v/>
      </c>
      <c r="C335" s="82" t="str">
        <f>Consultas!D335</f>
        <v/>
      </c>
      <c r="D335" s="96" t="str">
        <f>Consultas!E335</f>
        <v/>
      </c>
      <c r="E335" s="104" t="str">
        <f>IF(Consultas!AB335&gt;0,YEAR('Parâmetros'!$B$1)-YEAR(Consultas!AB335),"NA")</f>
        <v>NA</v>
      </c>
      <c r="F335" s="82">
        <f>IF(Consultas!F335&gt;'Parâmetros'!$B$2,-8,0)</f>
        <v>0</v>
      </c>
      <c r="G335" s="82">
        <f>IF(Consultas!H335='Parâmetros'!$E$1,100,0)</f>
        <v>0</v>
      </c>
      <c r="H335" s="82">
        <f>IF(Consultas!I335='Parâmetros'!$E$1,-4,12)</f>
        <v>12</v>
      </c>
      <c r="I335" s="82">
        <f>IF(Consultas!J335='Parâmetros'!$E$1,1,-13)</f>
        <v>-13</v>
      </c>
      <c r="J335" s="82">
        <f>IF(Consultas!K335='Parâmetros'!$E$1,2,-5)</f>
        <v>-5</v>
      </c>
      <c r="K335" s="82" t="str">
        <f>IF(Consultas!L335='Parâmetros'!$D$1,"SOLIC CONTRATO DE ENTREGA","N/A")</f>
        <v>N/A</v>
      </c>
      <c r="L335" s="82">
        <f>IF(Consultas!R335='Parâmetros'!$E$1,1,-3)</f>
        <v>-3</v>
      </c>
      <c r="M335" s="82" t="b">
        <f>IF(Consultas!S335&gt;1,(IF(Consultas!S335='Parâmetros'!$E$1,-3,9)))</f>
        <v>0</v>
      </c>
      <c r="N335" s="82">
        <f>IF(Consultas!T335="S",23,0)</f>
        <v>0</v>
      </c>
      <c r="O335" s="82">
        <f>IF(Consultas!U335='Parâmetros'!$E$1,-3,3)</f>
        <v>3</v>
      </c>
      <c r="P335" s="82">
        <f>IF(Consultas!V335='Parâmetros'!$E$1,-100,2)</f>
        <v>2</v>
      </c>
      <c r="Q335" s="82">
        <f>IF(Consultas!M335='Parâmetros'!$D$1,2,-9)</f>
        <v>-9</v>
      </c>
      <c r="R335" s="82">
        <f>IF(Consultas!N335="RJ",-12,0)</f>
        <v>0</v>
      </c>
      <c r="S335" s="82">
        <f>IF(Consultas!O335="-",-3,IF(Consultas!O335=0,-6,IF(Consultas!O335=5,0,IF(Consultas!O335=10,6))))</f>
        <v>-6</v>
      </c>
      <c r="T335" s="82">
        <f>IF(Consultas!M335="S",0,(IF(Consultas!P335="S",6,0)))</f>
        <v>0</v>
      </c>
      <c r="U335" s="82">
        <f>IF(Consultas!Q335&gt;97,9,IF(Consultas!Q335&gt;75,0,-7))</f>
        <v>-7</v>
      </c>
      <c r="V335" s="82">
        <f>IF(Consultas!W335='Parâmetros'!$E$1,1,-5)</f>
        <v>-5</v>
      </c>
      <c r="W335" s="82">
        <f>IF(Consultas!X335="S",3,-3)</f>
        <v>-3</v>
      </c>
      <c r="X335" s="82">
        <f>IF(Consultas!Y335="S",0,-7)</f>
        <v>-7</v>
      </c>
      <c r="Y335" s="82">
        <f>IF(Consultas!Z335='Parâmetros'!$E$1,2,-8)</f>
        <v>-8</v>
      </c>
      <c r="Z335" s="82">
        <f>IF(Consultas!AA335='Parâmetros'!$E$1,-15,1)</f>
        <v>1</v>
      </c>
      <c r="AA335" s="147" t="s">
        <v>140</v>
      </c>
      <c r="AB335" s="82" t="str">
        <f>IF(E335="NA","NA",IF(E335&gt;'Parâmetros'!$A$9,8,IF(E335&gt;'Parâmetros'!$A$8,4,IF(E335&gt;'Parâmetros'!$A$7,0,-6))))</f>
        <v>NA</v>
      </c>
      <c r="AC335" s="82">
        <f>IF(Consultas!AC335='Parâmetros'!$E$1,0,5)</f>
        <v>5</v>
      </c>
      <c r="AD335" s="82">
        <f>IF(Consultas!AH335='Parâmetros'!$D$1,-10,5)</f>
        <v>5</v>
      </c>
      <c r="AE335" s="82">
        <f>IF(Consultas!AI335&gt;(Consultas!F335*2),-10,0)</f>
        <v>0</v>
      </c>
      <c r="AF335" s="82" t="b">
        <f>IF(Consultas!AD335&gt;1,(IF(Consultas!AI335&gt;(Consultas!AD335),-20,4)))</f>
        <v>0</v>
      </c>
      <c r="AG335" s="82">
        <f>IF(Consultas!AG335='Parâmetros'!$E$1,0,-6)</f>
        <v>-6</v>
      </c>
      <c r="AH335" s="82">
        <f>IF(Consultas!AF335='Parâmetros'!$E$1,1,-5)</f>
        <v>-5</v>
      </c>
      <c r="AI335" s="82">
        <f>IF(Consultas!AJ335&gt;700,8,IF(Consultas!AJ335&gt;500,4,IF(Consultas!AJ335&gt;200,-4,IF(Consultas!AJ335&gt;1,-15,-20))))</f>
        <v>-20</v>
      </c>
      <c r="AJ335" s="82">
        <f>IF(Consultas!AD335='Parâmetros'!$E$10,0,IF(Consultas!AD335&gt;'Parâmetros'!$A$30,12,IF(Consultas!AD335&gt;'Parâmetros'!$A$31,6,IF(Consultas!AD335&gt;'Parâmetros'!$A$32,0,IF(Consultas!AD335&gt;'Parâmetros'!$A$33,0,IF(Consultas!AD335&gt;'Parâmetros'!$A$34,-3,IF(Consultas!AD335&gt;'Parâmetros'!$A$35,-7,-1)))))))</f>
        <v>-1</v>
      </c>
      <c r="AK335" s="82">
        <f>IF(Consultas!AO335='Parâmetros'!$D$1,3,-3)</f>
        <v>-3</v>
      </c>
      <c r="AL335" s="82">
        <f>IF(Consultas!AP335='Parâmetros'!$D$1,5,-3)</f>
        <v>-3</v>
      </c>
      <c r="AM335" s="82">
        <f>IF(Consultas!AL335="N",-6,0)</f>
        <v>0</v>
      </c>
      <c r="AN335" s="82">
        <f>IF(Consultas!AM335="N",-10,0)</f>
        <v>0</v>
      </c>
      <c r="AO335" s="82">
        <f>IF(Consultas!AN335="S",4,-2)</f>
        <v>-2</v>
      </c>
      <c r="AP335" s="39"/>
      <c r="AQ335" s="165" t="str">
        <f>IF(Consultas!F335&gt;1,(SUM(F335:AO335)),"N/A")</f>
        <v>N/A</v>
      </c>
      <c r="AR335" s="78">
        <f>IF((Consultas!AD335&gt;'Parâmetros'!$A$31),"X",AJ335+Y335+V335+AC335)</f>
        <v>-9</v>
      </c>
      <c r="AS335" s="78">
        <f>IF((Consultas!AD335&gt;'Parâmetros'!$A$31),"X",(H335+I335+J335+Q335+T335+Y335+Z335+AJ335+AN335))</f>
        <v>-23</v>
      </c>
      <c r="AT335" s="78" t="str">
        <f>IF((Consultas!AD335&lt;'Parâmetros'!$A$31),"X",(AD335+AC335+AB335))</f>
        <v>X</v>
      </c>
      <c r="AU335" s="78">
        <f t="shared" si="1"/>
        <v>-23</v>
      </c>
      <c r="AV335" s="82" t="str">
        <f>IF(AQ335="N/A","N/A",IF(AQ335&gt;5,'Parâmetros'!$A$15,(IF(AU335=AR335,'Parâmetros'!$A$17,IF(AU335=AS335,'Parâmetros'!$A$16,'Parâmetros'!$A$14)))))</f>
        <v>N/A</v>
      </c>
      <c r="AW335" s="86" t="str">
        <f>IF(AQ335="N/A","N/A",IF(AV335='Parâmetros'!$A$15,'Parâmetros'!$C$15,(IF(AV335='Parâmetros'!$A$17,'Parâmetros'!$C$17,IF(AV335='Parâmetros'!$A$16,'Parâmetros'!$C$16,IF(AV335='Parâmetros'!$A$14,'Parâmetros'!$C$12))))))</f>
        <v>N/A</v>
      </c>
      <c r="AX335" s="82" t="b">
        <f>IF(Consultas!F335&gt;1,(IF(Consultas!F335&gt;5000,"SOLICITAR PED COMPRA","N/A")))</f>
        <v>0</v>
      </c>
      <c r="AY335" s="167" t="str">
        <f>IF(AND(Consultas!M335&lt;&gt;"S", Consultas!H335="S"), "CHECAGEM REVERSA", "N/A")</f>
        <v>N/A</v>
      </c>
      <c r="AZ335" s="167" t="str">
        <f>IF(Consultas!U335="N","PRECISA CORRIGIR END DIVERGENTE","N/A")</f>
        <v>N/A</v>
      </c>
    </row>
    <row r="336" ht="12.0" customHeight="1">
      <c r="A336" s="39" t="s">
        <v>90</v>
      </c>
      <c r="B336" s="82" t="str">
        <f>Consultas!B336</f>
        <v/>
      </c>
      <c r="C336" s="82" t="str">
        <f>Consultas!D336</f>
        <v/>
      </c>
      <c r="D336" s="96" t="str">
        <f>Consultas!E336</f>
        <v/>
      </c>
      <c r="E336" s="104" t="str">
        <f>IF(Consultas!AB336&gt;0,YEAR('Parâmetros'!$B$1)-YEAR(Consultas!AB336),"NA")</f>
        <v>NA</v>
      </c>
      <c r="F336" s="82">
        <f>IF(Consultas!F336&gt;'Parâmetros'!$B$2,-8,0)</f>
        <v>0</v>
      </c>
      <c r="G336" s="82">
        <f>IF(Consultas!H336='Parâmetros'!$E$1,100,0)</f>
        <v>0</v>
      </c>
      <c r="H336" s="82">
        <f>IF(Consultas!I336='Parâmetros'!$E$1,-4,12)</f>
        <v>12</v>
      </c>
      <c r="I336" s="82">
        <f>IF(Consultas!J336='Parâmetros'!$E$1,1,-13)</f>
        <v>-13</v>
      </c>
      <c r="J336" s="82">
        <f>IF(Consultas!K336='Parâmetros'!$E$1,2,-5)</f>
        <v>-5</v>
      </c>
      <c r="K336" s="82" t="str">
        <f>IF(Consultas!L336='Parâmetros'!$D$1,"SOLIC CONTRATO DE ENTREGA","N/A")</f>
        <v>N/A</v>
      </c>
      <c r="L336" s="82">
        <f>IF(Consultas!R336='Parâmetros'!$E$1,1,-3)</f>
        <v>-3</v>
      </c>
      <c r="M336" s="82" t="b">
        <f>IF(Consultas!S336&gt;1,(IF(Consultas!S336='Parâmetros'!$E$1,-3,9)))</f>
        <v>0</v>
      </c>
      <c r="N336" s="82">
        <f>IF(Consultas!T336="S",23,0)</f>
        <v>0</v>
      </c>
      <c r="O336" s="82">
        <f>IF(Consultas!U336='Parâmetros'!$E$1,-3,3)</f>
        <v>3</v>
      </c>
      <c r="P336" s="82">
        <f>IF(Consultas!V336='Parâmetros'!$E$1,-100,2)</f>
        <v>2</v>
      </c>
      <c r="Q336" s="82">
        <f>IF(Consultas!M336='Parâmetros'!$D$1,2,-9)</f>
        <v>-9</v>
      </c>
      <c r="R336" s="82">
        <f>IF(Consultas!N336="RJ",-12,0)</f>
        <v>0</v>
      </c>
      <c r="S336" s="82">
        <f>IF(Consultas!O336="-",-3,IF(Consultas!O336=0,-6,IF(Consultas!O336=5,0,IF(Consultas!O336=10,6))))</f>
        <v>-6</v>
      </c>
      <c r="T336" s="82">
        <f>IF(Consultas!M336="S",0,(IF(Consultas!P336="S",6,0)))</f>
        <v>0</v>
      </c>
      <c r="U336" s="82">
        <f>IF(Consultas!Q336&gt;97,9,IF(Consultas!Q336&gt;75,0,-7))</f>
        <v>-7</v>
      </c>
      <c r="V336" s="82">
        <f>IF(Consultas!W336='Parâmetros'!$E$1,1,-5)</f>
        <v>-5</v>
      </c>
      <c r="W336" s="82">
        <f>IF(Consultas!X336="S",3,-3)</f>
        <v>-3</v>
      </c>
      <c r="X336" s="82">
        <f>IF(Consultas!Y336="S",0,-7)</f>
        <v>-7</v>
      </c>
      <c r="Y336" s="82">
        <f>IF(Consultas!Z336='Parâmetros'!$E$1,2,-8)</f>
        <v>-8</v>
      </c>
      <c r="Z336" s="82">
        <f>IF(Consultas!AA336='Parâmetros'!$E$1,-15,1)</f>
        <v>1</v>
      </c>
      <c r="AA336" s="147" t="s">
        <v>140</v>
      </c>
      <c r="AB336" s="82" t="str">
        <f>IF(E336="NA","NA",IF(E336&gt;'Parâmetros'!$A$9,8,IF(E336&gt;'Parâmetros'!$A$8,4,IF(E336&gt;'Parâmetros'!$A$7,0,-6))))</f>
        <v>NA</v>
      </c>
      <c r="AC336" s="82">
        <f>IF(Consultas!AC336='Parâmetros'!$E$1,0,5)</f>
        <v>5</v>
      </c>
      <c r="AD336" s="82">
        <f>IF(Consultas!AH336='Parâmetros'!$D$1,-10,5)</f>
        <v>5</v>
      </c>
      <c r="AE336" s="82">
        <f>IF(Consultas!AI336&gt;(Consultas!F336*2),-10,0)</f>
        <v>0</v>
      </c>
      <c r="AF336" s="82" t="b">
        <f>IF(Consultas!AD336&gt;1,(IF(Consultas!AI336&gt;(Consultas!AD336),-20,4)))</f>
        <v>0</v>
      </c>
      <c r="AG336" s="82">
        <f>IF(Consultas!AG336='Parâmetros'!$E$1,0,-6)</f>
        <v>-6</v>
      </c>
      <c r="AH336" s="82">
        <f>IF(Consultas!AF336='Parâmetros'!$E$1,1,-5)</f>
        <v>-5</v>
      </c>
      <c r="AI336" s="82">
        <f>IF(Consultas!AJ336&gt;700,8,IF(Consultas!AJ336&gt;500,4,IF(Consultas!AJ336&gt;200,-4,IF(Consultas!AJ336&gt;1,-15,-20))))</f>
        <v>-20</v>
      </c>
      <c r="AJ336" s="82">
        <f>IF(Consultas!AD336='Parâmetros'!$E$10,0,IF(Consultas!AD336&gt;'Parâmetros'!$A$30,12,IF(Consultas!AD336&gt;'Parâmetros'!$A$31,6,IF(Consultas!AD336&gt;'Parâmetros'!$A$32,0,IF(Consultas!AD336&gt;'Parâmetros'!$A$33,0,IF(Consultas!AD336&gt;'Parâmetros'!$A$34,-3,IF(Consultas!AD336&gt;'Parâmetros'!$A$35,-7,-1)))))))</f>
        <v>-1</v>
      </c>
      <c r="AK336" s="82">
        <f>IF(Consultas!AO336='Parâmetros'!$D$1,3,-3)</f>
        <v>-3</v>
      </c>
      <c r="AL336" s="82">
        <f>IF(Consultas!AP336='Parâmetros'!$D$1,5,-3)</f>
        <v>-3</v>
      </c>
      <c r="AM336" s="82">
        <f>IF(Consultas!AL336="N",-6,0)</f>
        <v>0</v>
      </c>
      <c r="AN336" s="82">
        <f>IF(Consultas!AM336="N",-10,0)</f>
        <v>0</v>
      </c>
      <c r="AO336" s="82">
        <f>IF(Consultas!AN336="S",4,-2)</f>
        <v>-2</v>
      </c>
      <c r="AP336" s="39"/>
      <c r="AQ336" s="165" t="str">
        <f>IF(Consultas!F336&gt;1,(SUM(F336:AO336)),"N/A")</f>
        <v>N/A</v>
      </c>
      <c r="AR336" s="78">
        <f>IF((Consultas!AD336&gt;'Parâmetros'!$A$31),"X",AJ336+Y336+V336+AC336)</f>
        <v>-9</v>
      </c>
      <c r="AS336" s="78">
        <f>IF((Consultas!AD336&gt;'Parâmetros'!$A$31),"X",(H336+I336+J336+Q336+T336+Y336+Z336+AJ336+AN336))</f>
        <v>-23</v>
      </c>
      <c r="AT336" s="78" t="str">
        <f>IF((Consultas!AD336&lt;'Parâmetros'!$A$31),"X",(AD336+AC336+AB336))</f>
        <v>X</v>
      </c>
      <c r="AU336" s="78">
        <f t="shared" si="1"/>
        <v>-23</v>
      </c>
      <c r="AV336" s="82" t="str">
        <f>IF(AQ336="N/A","N/A",IF(AQ336&gt;5,'Parâmetros'!$A$15,(IF(AU336=AR336,'Parâmetros'!$A$17,IF(AU336=AS336,'Parâmetros'!$A$16,'Parâmetros'!$A$14)))))</f>
        <v>N/A</v>
      </c>
      <c r="AW336" s="86" t="str">
        <f>IF(AQ336="N/A","N/A",IF(AV336='Parâmetros'!$A$15,'Parâmetros'!$C$15,(IF(AV336='Parâmetros'!$A$17,'Parâmetros'!$C$17,IF(AV336='Parâmetros'!$A$16,'Parâmetros'!$C$16,IF(AV336='Parâmetros'!$A$14,'Parâmetros'!$C$12))))))</f>
        <v>N/A</v>
      </c>
      <c r="AX336" s="82" t="b">
        <f>IF(Consultas!F336&gt;1,(IF(Consultas!F336&gt;5000,"SOLICITAR PED COMPRA","N/A")))</f>
        <v>0</v>
      </c>
      <c r="AY336" s="167" t="str">
        <f>IF(AND(Consultas!M336&lt;&gt;"S", Consultas!H336="S"), "CHECAGEM REVERSA", "N/A")</f>
        <v>N/A</v>
      </c>
      <c r="AZ336" s="167" t="str">
        <f>IF(Consultas!U336="N","PRECISA CORRIGIR END DIVERGENTE","N/A")</f>
        <v>N/A</v>
      </c>
    </row>
    <row r="337" ht="12.0" customHeight="1">
      <c r="A337" s="39" t="s">
        <v>90</v>
      </c>
      <c r="B337" s="82" t="str">
        <f>Consultas!B337</f>
        <v/>
      </c>
      <c r="C337" s="82" t="str">
        <f>Consultas!D337</f>
        <v/>
      </c>
      <c r="D337" s="96" t="str">
        <f>Consultas!E337</f>
        <v/>
      </c>
      <c r="E337" s="104" t="str">
        <f>IF(Consultas!AB337&gt;0,YEAR('Parâmetros'!$B$1)-YEAR(Consultas!AB337),"NA")</f>
        <v>NA</v>
      </c>
      <c r="F337" s="82">
        <f>IF(Consultas!F337&gt;'Parâmetros'!$B$2,-8,0)</f>
        <v>0</v>
      </c>
      <c r="G337" s="82">
        <f>IF(Consultas!H337='Parâmetros'!$E$1,100,0)</f>
        <v>0</v>
      </c>
      <c r="H337" s="82">
        <f>IF(Consultas!I337='Parâmetros'!$E$1,-4,12)</f>
        <v>12</v>
      </c>
      <c r="I337" s="82">
        <f>IF(Consultas!J337='Parâmetros'!$E$1,1,-13)</f>
        <v>-13</v>
      </c>
      <c r="J337" s="82">
        <f>IF(Consultas!K337='Parâmetros'!$E$1,2,-5)</f>
        <v>-5</v>
      </c>
      <c r="K337" s="82" t="str">
        <f>IF(Consultas!L337='Parâmetros'!$D$1,"SOLIC CONTRATO DE ENTREGA","N/A")</f>
        <v>N/A</v>
      </c>
      <c r="L337" s="82">
        <f>IF(Consultas!R337='Parâmetros'!$E$1,1,-3)</f>
        <v>-3</v>
      </c>
      <c r="M337" s="82" t="b">
        <f>IF(Consultas!S337&gt;1,(IF(Consultas!S337='Parâmetros'!$E$1,-3,9)))</f>
        <v>0</v>
      </c>
      <c r="N337" s="82">
        <f>IF(Consultas!T337="S",23,0)</f>
        <v>0</v>
      </c>
      <c r="O337" s="82">
        <f>IF(Consultas!U337='Parâmetros'!$E$1,-3,3)</f>
        <v>3</v>
      </c>
      <c r="P337" s="82">
        <f>IF(Consultas!V337='Parâmetros'!$E$1,-100,2)</f>
        <v>2</v>
      </c>
      <c r="Q337" s="82">
        <f>IF(Consultas!M337='Parâmetros'!$D$1,2,-9)</f>
        <v>-9</v>
      </c>
      <c r="R337" s="82">
        <f>IF(Consultas!N337="RJ",-12,0)</f>
        <v>0</v>
      </c>
      <c r="S337" s="82">
        <f>IF(Consultas!O337="-",-3,IF(Consultas!O337=0,-6,IF(Consultas!O337=5,0,IF(Consultas!O337=10,6))))</f>
        <v>-6</v>
      </c>
      <c r="T337" s="82">
        <f>IF(Consultas!M337="S",0,(IF(Consultas!P337="S",6,0)))</f>
        <v>0</v>
      </c>
      <c r="U337" s="82">
        <f>IF(Consultas!Q337&gt;97,9,IF(Consultas!Q337&gt;75,0,-7))</f>
        <v>-7</v>
      </c>
      <c r="V337" s="82">
        <f>IF(Consultas!W337='Parâmetros'!$E$1,1,-5)</f>
        <v>-5</v>
      </c>
      <c r="W337" s="82">
        <f>IF(Consultas!X337="S",3,-3)</f>
        <v>-3</v>
      </c>
      <c r="X337" s="82">
        <f>IF(Consultas!Y337="S",0,-7)</f>
        <v>-7</v>
      </c>
      <c r="Y337" s="82">
        <f>IF(Consultas!Z337='Parâmetros'!$E$1,2,-8)</f>
        <v>-8</v>
      </c>
      <c r="Z337" s="82">
        <f>IF(Consultas!AA337='Parâmetros'!$E$1,-15,1)</f>
        <v>1</v>
      </c>
      <c r="AA337" s="147" t="s">
        <v>140</v>
      </c>
      <c r="AB337" s="82" t="str">
        <f>IF(E337="NA","NA",IF(E337&gt;'Parâmetros'!$A$9,8,IF(E337&gt;'Parâmetros'!$A$8,4,IF(E337&gt;'Parâmetros'!$A$7,0,-6))))</f>
        <v>NA</v>
      </c>
      <c r="AC337" s="82">
        <f>IF(Consultas!AC337='Parâmetros'!$E$1,0,5)</f>
        <v>5</v>
      </c>
      <c r="AD337" s="82">
        <f>IF(Consultas!AH337='Parâmetros'!$D$1,-10,5)</f>
        <v>5</v>
      </c>
      <c r="AE337" s="82">
        <f>IF(Consultas!AI337&gt;(Consultas!F337*2),-10,0)</f>
        <v>0</v>
      </c>
      <c r="AF337" s="82" t="b">
        <f>IF(Consultas!AD337&gt;1,(IF(Consultas!AI337&gt;(Consultas!AD337),-20,4)))</f>
        <v>0</v>
      </c>
      <c r="AG337" s="82">
        <f>IF(Consultas!AG337='Parâmetros'!$E$1,0,-6)</f>
        <v>-6</v>
      </c>
      <c r="AH337" s="82">
        <f>IF(Consultas!AF337='Parâmetros'!$E$1,1,-5)</f>
        <v>-5</v>
      </c>
      <c r="AI337" s="82">
        <f>IF(Consultas!AJ337&gt;700,8,IF(Consultas!AJ337&gt;500,4,IF(Consultas!AJ337&gt;200,-4,IF(Consultas!AJ337&gt;1,-15,-20))))</f>
        <v>-20</v>
      </c>
      <c r="AJ337" s="82">
        <f>IF(Consultas!AD337='Parâmetros'!$E$10,0,IF(Consultas!AD337&gt;'Parâmetros'!$A$30,12,IF(Consultas!AD337&gt;'Parâmetros'!$A$31,6,IF(Consultas!AD337&gt;'Parâmetros'!$A$32,0,IF(Consultas!AD337&gt;'Parâmetros'!$A$33,0,IF(Consultas!AD337&gt;'Parâmetros'!$A$34,-3,IF(Consultas!AD337&gt;'Parâmetros'!$A$35,-7,-1)))))))</f>
        <v>-1</v>
      </c>
      <c r="AK337" s="82">
        <f>IF(Consultas!AO337='Parâmetros'!$D$1,3,-3)</f>
        <v>-3</v>
      </c>
      <c r="AL337" s="82">
        <f>IF(Consultas!AP337='Parâmetros'!$D$1,5,-3)</f>
        <v>-3</v>
      </c>
      <c r="AM337" s="82">
        <f>IF(Consultas!AL337="N",-6,0)</f>
        <v>0</v>
      </c>
      <c r="AN337" s="82">
        <f>IF(Consultas!AM337="N",-10,0)</f>
        <v>0</v>
      </c>
      <c r="AO337" s="82">
        <f>IF(Consultas!AN337="S",4,-2)</f>
        <v>-2</v>
      </c>
      <c r="AP337" s="39"/>
      <c r="AQ337" s="165" t="str">
        <f>IF(Consultas!F337&gt;1,(SUM(F337:AO337)),"N/A")</f>
        <v>N/A</v>
      </c>
      <c r="AR337" s="78">
        <f>IF((Consultas!AD337&gt;'Parâmetros'!$A$31),"X",AJ337+Y337+V337+AC337)</f>
        <v>-9</v>
      </c>
      <c r="AS337" s="78">
        <f>IF((Consultas!AD337&gt;'Parâmetros'!$A$31),"X",(H337+I337+J337+Q337+T337+Y337+Z337+AJ337+AN337))</f>
        <v>-23</v>
      </c>
      <c r="AT337" s="78" t="str">
        <f>IF((Consultas!AD337&lt;'Parâmetros'!$A$31),"X",(AD337+AC337+AB337))</f>
        <v>X</v>
      </c>
      <c r="AU337" s="78">
        <f t="shared" si="1"/>
        <v>-23</v>
      </c>
      <c r="AV337" s="82" t="str">
        <f>IF(AQ337="N/A","N/A",IF(AQ337&gt;5,'Parâmetros'!$A$15,(IF(AU337=AR337,'Parâmetros'!$A$17,IF(AU337=AS337,'Parâmetros'!$A$16,'Parâmetros'!$A$14)))))</f>
        <v>N/A</v>
      </c>
      <c r="AW337" s="86" t="str">
        <f>IF(AQ337="N/A","N/A",IF(AV337='Parâmetros'!$A$15,'Parâmetros'!$C$15,(IF(AV337='Parâmetros'!$A$17,'Parâmetros'!$C$17,IF(AV337='Parâmetros'!$A$16,'Parâmetros'!$C$16,IF(AV337='Parâmetros'!$A$14,'Parâmetros'!$C$12))))))</f>
        <v>N/A</v>
      </c>
      <c r="AX337" s="82" t="b">
        <f>IF(Consultas!F337&gt;1,(IF(Consultas!F337&gt;5000,"SOLICITAR PED COMPRA","N/A")))</f>
        <v>0</v>
      </c>
      <c r="AY337" s="167" t="str">
        <f>IF(AND(Consultas!M337&lt;&gt;"S", Consultas!H337="S"), "CHECAGEM REVERSA", "N/A")</f>
        <v>N/A</v>
      </c>
      <c r="AZ337" s="167" t="str">
        <f>IF(Consultas!U337="N","PRECISA CORRIGIR END DIVERGENTE","N/A")</f>
        <v>N/A</v>
      </c>
    </row>
    <row r="338" ht="12.0" customHeight="1">
      <c r="A338" s="39" t="s">
        <v>90</v>
      </c>
      <c r="B338" s="82" t="str">
        <f>Consultas!B338</f>
        <v/>
      </c>
      <c r="C338" s="82" t="str">
        <f>Consultas!D338</f>
        <v/>
      </c>
      <c r="D338" s="96" t="str">
        <f>Consultas!E338</f>
        <v/>
      </c>
      <c r="E338" s="104" t="str">
        <f>IF(Consultas!AB338&gt;0,YEAR('Parâmetros'!$B$1)-YEAR(Consultas!AB338),"NA")</f>
        <v>NA</v>
      </c>
      <c r="F338" s="82">
        <f>IF(Consultas!F338&gt;'Parâmetros'!$B$2,-8,0)</f>
        <v>0</v>
      </c>
      <c r="G338" s="82">
        <f>IF(Consultas!H338='Parâmetros'!$E$1,100,0)</f>
        <v>0</v>
      </c>
      <c r="H338" s="82">
        <f>IF(Consultas!I338='Parâmetros'!$E$1,-4,12)</f>
        <v>12</v>
      </c>
      <c r="I338" s="82">
        <f>IF(Consultas!J338='Parâmetros'!$E$1,1,-13)</f>
        <v>-13</v>
      </c>
      <c r="J338" s="82">
        <f>IF(Consultas!K338='Parâmetros'!$E$1,2,-5)</f>
        <v>-5</v>
      </c>
      <c r="K338" s="82" t="str">
        <f>IF(Consultas!L338='Parâmetros'!$D$1,"SOLIC CONTRATO DE ENTREGA","N/A")</f>
        <v>N/A</v>
      </c>
      <c r="L338" s="82">
        <f>IF(Consultas!R338='Parâmetros'!$E$1,1,-3)</f>
        <v>-3</v>
      </c>
      <c r="M338" s="82" t="b">
        <f>IF(Consultas!S338&gt;1,(IF(Consultas!S338='Parâmetros'!$E$1,-3,9)))</f>
        <v>0</v>
      </c>
      <c r="N338" s="82">
        <f>IF(Consultas!T338="S",23,0)</f>
        <v>0</v>
      </c>
      <c r="O338" s="82">
        <f>IF(Consultas!U338='Parâmetros'!$E$1,-3,3)</f>
        <v>3</v>
      </c>
      <c r="P338" s="82">
        <f>IF(Consultas!V338='Parâmetros'!$E$1,-100,2)</f>
        <v>2</v>
      </c>
      <c r="Q338" s="82">
        <f>IF(Consultas!M338='Parâmetros'!$D$1,2,-9)</f>
        <v>-9</v>
      </c>
      <c r="R338" s="82">
        <f>IF(Consultas!N338="RJ",-12,0)</f>
        <v>0</v>
      </c>
      <c r="S338" s="82">
        <f>IF(Consultas!O338="-",-3,IF(Consultas!O338=0,-6,IF(Consultas!O338=5,0,IF(Consultas!O338=10,6))))</f>
        <v>-6</v>
      </c>
      <c r="T338" s="82">
        <f>IF(Consultas!M338="S",0,(IF(Consultas!P338="S",6,0)))</f>
        <v>0</v>
      </c>
      <c r="U338" s="82">
        <f>IF(Consultas!Q338&gt;97,9,IF(Consultas!Q338&gt;75,0,-7))</f>
        <v>-7</v>
      </c>
      <c r="V338" s="82">
        <f>IF(Consultas!W338='Parâmetros'!$E$1,1,-5)</f>
        <v>-5</v>
      </c>
      <c r="W338" s="82">
        <f>IF(Consultas!X338="S",3,-3)</f>
        <v>-3</v>
      </c>
      <c r="X338" s="82">
        <f>IF(Consultas!Y338="S",0,-7)</f>
        <v>-7</v>
      </c>
      <c r="Y338" s="82">
        <f>IF(Consultas!Z338='Parâmetros'!$E$1,2,-8)</f>
        <v>-8</v>
      </c>
      <c r="Z338" s="82">
        <f>IF(Consultas!AA338='Parâmetros'!$E$1,-15,1)</f>
        <v>1</v>
      </c>
      <c r="AA338" s="147" t="s">
        <v>140</v>
      </c>
      <c r="AB338" s="82" t="str">
        <f>IF(E338="NA","NA",IF(E338&gt;'Parâmetros'!$A$9,8,IF(E338&gt;'Parâmetros'!$A$8,4,IF(E338&gt;'Parâmetros'!$A$7,0,-6))))</f>
        <v>NA</v>
      </c>
      <c r="AC338" s="82">
        <f>IF(Consultas!AC338='Parâmetros'!$E$1,0,5)</f>
        <v>5</v>
      </c>
      <c r="AD338" s="82">
        <f>IF(Consultas!AH338='Parâmetros'!$D$1,-10,5)</f>
        <v>5</v>
      </c>
      <c r="AE338" s="82">
        <f>IF(Consultas!AI338&gt;(Consultas!F338*2),-10,0)</f>
        <v>0</v>
      </c>
      <c r="AF338" s="82" t="b">
        <f>IF(Consultas!AD338&gt;1,(IF(Consultas!AI338&gt;(Consultas!AD338),-20,4)))</f>
        <v>0</v>
      </c>
      <c r="AG338" s="82">
        <f>IF(Consultas!AG338='Parâmetros'!$E$1,0,-6)</f>
        <v>-6</v>
      </c>
      <c r="AH338" s="82">
        <f>IF(Consultas!AF338='Parâmetros'!$E$1,1,-5)</f>
        <v>-5</v>
      </c>
      <c r="AI338" s="82">
        <f>IF(Consultas!AJ338&gt;700,8,IF(Consultas!AJ338&gt;500,4,IF(Consultas!AJ338&gt;200,-4,IF(Consultas!AJ338&gt;1,-15,-20))))</f>
        <v>-20</v>
      </c>
      <c r="AJ338" s="82">
        <f>IF(Consultas!AD338='Parâmetros'!$E$10,0,IF(Consultas!AD338&gt;'Parâmetros'!$A$30,12,IF(Consultas!AD338&gt;'Parâmetros'!$A$31,6,IF(Consultas!AD338&gt;'Parâmetros'!$A$32,0,IF(Consultas!AD338&gt;'Parâmetros'!$A$33,0,IF(Consultas!AD338&gt;'Parâmetros'!$A$34,-3,IF(Consultas!AD338&gt;'Parâmetros'!$A$35,-7,-1)))))))</f>
        <v>-1</v>
      </c>
      <c r="AK338" s="82">
        <f>IF(Consultas!AO338='Parâmetros'!$D$1,3,-3)</f>
        <v>-3</v>
      </c>
      <c r="AL338" s="82">
        <f>IF(Consultas!AP338='Parâmetros'!$D$1,5,-3)</f>
        <v>-3</v>
      </c>
      <c r="AM338" s="82">
        <f>IF(Consultas!AL338="N",-6,0)</f>
        <v>0</v>
      </c>
      <c r="AN338" s="82">
        <f>IF(Consultas!AM338="N",-10,0)</f>
        <v>0</v>
      </c>
      <c r="AO338" s="82">
        <f>IF(Consultas!AN338="S",4,-2)</f>
        <v>-2</v>
      </c>
      <c r="AP338" s="39"/>
      <c r="AQ338" s="165" t="str">
        <f>IF(Consultas!F338&gt;1,(SUM(F338:AO338)),"N/A")</f>
        <v>N/A</v>
      </c>
      <c r="AR338" s="78">
        <f>IF((Consultas!AD338&gt;'Parâmetros'!$A$31),"X",AJ338+Y338+V338+AC338)</f>
        <v>-9</v>
      </c>
      <c r="AS338" s="78">
        <f>IF((Consultas!AD338&gt;'Parâmetros'!$A$31),"X",(H338+I338+J338+Q338+T338+Y338+Z338+AJ338+AN338))</f>
        <v>-23</v>
      </c>
      <c r="AT338" s="78" t="str">
        <f>IF((Consultas!AD338&lt;'Parâmetros'!$A$31),"X",(AD338+AC338+AB338))</f>
        <v>X</v>
      </c>
      <c r="AU338" s="78">
        <f t="shared" si="1"/>
        <v>-23</v>
      </c>
      <c r="AV338" s="82" t="str">
        <f>IF(AQ338="N/A","N/A",IF(AQ338&gt;5,'Parâmetros'!$A$15,(IF(AU338=AR338,'Parâmetros'!$A$17,IF(AU338=AS338,'Parâmetros'!$A$16,'Parâmetros'!$A$14)))))</f>
        <v>N/A</v>
      </c>
      <c r="AW338" s="86" t="str">
        <f>IF(AQ338="N/A","N/A",IF(AV338='Parâmetros'!$A$15,'Parâmetros'!$C$15,(IF(AV338='Parâmetros'!$A$17,'Parâmetros'!$C$17,IF(AV338='Parâmetros'!$A$16,'Parâmetros'!$C$16,IF(AV338='Parâmetros'!$A$14,'Parâmetros'!$C$12))))))</f>
        <v>N/A</v>
      </c>
      <c r="AX338" s="82" t="b">
        <f>IF(Consultas!F338&gt;1,(IF(Consultas!F338&gt;5000,"SOLICITAR PED COMPRA","N/A")))</f>
        <v>0</v>
      </c>
      <c r="AY338" s="167" t="str">
        <f>IF(AND(Consultas!M338&lt;&gt;"S", Consultas!H338="S"), "CHECAGEM REVERSA", "N/A")</f>
        <v>N/A</v>
      </c>
      <c r="AZ338" s="167" t="str">
        <f>IF(Consultas!U338="N","PRECISA CORRIGIR END DIVERGENTE","N/A")</f>
        <v>N/A</v>
      </c>
    </row>
    <row r="339" ht="12.0" customHeight="1">
      <c r="A339" s="39" t="s">
        <v>90</v>
      </c>
      <c r="B339" s="82" t="str">
        <f>Consultas!B339</f>
        <v/>
      </c>
      <c r="C339" s="82" t="str">
        <f>Consultas!D339</f>
        <v/>
      </c>
      <c r="D339" s="96" t="str">
        <f>Consultas!E339</f>
        <v/>
      </c>
      <c r="E339" s="104" t="str">
        <f>IF(Consultas!AB339&gt;0,YEAR('Parâmetros'!$B$1)-YEAR(Consultas!AB339),"NA")</f>
        <v>NA</v>
      </c>
      <c r="F339" s="82">
        <f>IF(Consultas!F339&gt;'Parâmetros'!$B$2,-8,0)</f>
        <v>0</v>
      </c>
      <c r="G339" s="82">
        <f>IF(Consultas!H339='Parâmetros'!$E$1,100,0)</f>
        <v>0</v>
      </c>
      <c r="H339" s="82">
        <f>IF(Consultas!I339='Parâmetros'!$E$1,-4,12)</f>
        <v>12</v>
      </c>
      <c r="I339" s="82">
        <f>IF(Consultas!J339='Parâmetros'!$E$1,1,-13)</f>
        <v>-13</v>
      </c>
      <c r="J339" s="82">
        <f>IF(Consultas!K339='Parâmetros'!$E$1,2,-5)</f>
        <v>-5</v>
      </c>
      <c r="K339" s="82" t="str">
        <f>IF(Consultas!L339='Parâmetros'!$D$1,"SOLIC CONTRATO DE ENTREGA","N/A")</f>
        <v>N/A</v>
      </c>
      <c r="L339" s="82">
        <f>IF(Consultas!R339='Parâmetros'!$E$1,1,-3)</f>
        <v>-3</v>
      </c>
      <c r="M339" s="82" t="b">
        <f>IF(Consultas!S339&gt;1,(IF(Consultas!S339='Parâmetros'!$E$1,-3,9)))</f>
        <v>0</v>
      </c>
      <c r="N339" s="82">
        <f>IF(Consultas!T339="S",23,0)</f>
        <v>0</v>
      </c>
      <c r="O339" s="82">
        <f>IF(Consultas!U339='Parâmetros'!$E$1,-3,3)</f>
        <v>3</v>
      </c>
      <c r="P339" s="82">
        <f>IF(Consultas!V339='Parâmetros'!$E$1,-100,2)</f>
        <v>2</v>
      </c>
      <c r="Q339" s="82">
        <f>IF(Consultas!M339='Parâmetros'!$D$1,2,-9)</f>
        <v>-9</v>
      </c>
      <c r="R339" s="82">
        <f>IF(Consultas!N339="RJ",-12,0)</f>
        <v>0</v>
      </c>
      <c r="S339" s="82">
        <f>IF(Consultas!O339="-",-3,IF(Consultas!O339=0,-6,IF(Consultas!O339=5,0,IF(Consultas!O339=10,6))))</f>
        <v>-6</v>
      </c>
      <c r="T339" s="82">
        <f>IF(Consultas!M339="S",0,(IF(Consultas!P339="S",6,0)))</f>
        <v>0</v>
      </c>
      <c r="U339" s="82">
        <f>IF(Consultas!Q339&gt;97,9,IF(Consultas!Q339&gt;75,0,-7))</f>
        <v>-7</v>
      </c>
      <c r="V339" s="82">
        <f>IF(Consultas!W339='Parâmetros'!$E$1,1,-5)</f>
        <v>-5</v>
      </c>
      <c r="W339" s="82">
        <f>IF(Consultas!X339="S",3,-3)</f>
        <v>-3</v>
      </c>
      <c r="X339" s="82">
        <f>IF(Consultas!Y339="S",0,-7)</f>
        <v>-7</v>
      </c>
      <c r="Y339" s="82">
        <f>IF(Consultas!Z339='Parâmetros'!$E$1,2,-8)</f>
        <v>-8</v>
      </c>
      <c r="Z339" s="82">
        <f>IF(Consultas!AA339='Parâmetros'!$E$1,-15,1)</f>
        <v>1</v>
      </c>
      <c r="AA339" s="147" t="s">
        <v>140</v>
      </c>
      <c r="AB339" s="82" t="str">
        <f>IF(E339="NA","NA",IF(E339&gt;'Parâmetros'!$A$9,8,IF(E339&gt;'Parâmetros'!$A$8,4,IF(E339&gt;'Parâmetros'!$A$7,0,-6))))</f>
        <v>NA</v>
      </c>
      <c r="AC339" s="82">
        <f>IF(Consultas!AC339='Parâmetros'!$E$1,0,5)</f>
        <v>5</v>
      </c>
      <c r="AD339" s="82">
        <f>IF(Consultas!AH339='Parâmetros'!$D$1,-10,5)</f>
        <v>5</v>
      </c>
      <c r="AE339" s="82">
        <f>IF(Consultas!AI339&gt;(Consultas!F339*2),-10,0)</f>
        <v>0</v>
      </c>
      <c r="AF339" s="82" t="b">
        <f>IF(Consultas!AD339&gt;1,(IF(Consultas!AI339&gt;(Consultas!AD339),-20,4)))</f>
        <v>0</v>
      </c>
      <c r="AG339" s="82">
        <f>IF(Consultas!AG339='Parâmetros'!$E$1,0,-6)</f>
        <v>-6</v>
      </c>
      <c r="AH339" s="82">
        <f>IF(Consultas!AF339='Parâmetros'!$E$1,1,-5)</f>
        <v>-5</v>
      </c>
      <c r="AI339" s="82">
        <f>IF(Consultas!AJ339&gt;700,8,IF(Consultas!AJ339&gt;500,4,IF(Consultas!AJ339&gt;200,-4,IF(Consultas!AJ339&gt;1,-15,-20))))</f>
        <v>-20</v>
      </c>
      <c r="AJ339" s="82">
        <f>IF(Consultas!AD339='Parâmetros'!$E$10,0,IF(Consultas!AD339&gt;'Parâmetros'!$A$30,12,IF(Consultas!AD339&gt;'Parâmetros'!$A$31,6,IF(Consultas!AD339&gt;'Parâmetros'!$A$32,0,IF(Consultas!AD339&gt;'Parâmetros'!$A$33,0,IF(Consultas!AD339&gt;'Parâmetros'!$A$34,-3,IF(Consultas!AD339&gt;'Parâmetros'!$A$35,-7,-1)))))))</f>
        <v>-1</v>
      </c>
      <c r="AK339" s="82">
        <f>IF(Consultas!AO339='Parâmetros'!$D$1,3,-3)</f>
        <v>-3</v>
      </c>
      <c r="AL339" s="82">
        <f>IF(Consultas!AP339='Parâmetros'!$D$1,5,-3)</f>
        <v>-3</v>
      </c>
      <c r="AM339" s="82">
        <f>IF(Consultas!AL339="N",-6,0)</f>
        <v>0</v>
      </c>
      <c r="AN339" s="82">
        <f>IF(Consultas!AM339="N",-10,0)</f>
        <v>0</v>
      </c>
      <c r="AO339" s="82">
        <f>IF(Consultas!AN339="S",4,-2)</f>
        <v>-2</v>
      </c>
      <c r="AP339" s="39"/>
      <c r="AQ339" s="165" t="str">
        <f>IF(Consultas!F339&gt;1,(SUM(F339:AO339)),"N/A")</f>
        <v>N/A</v>
      </c>
      <c r="AR339" s="78">
        <f>IF((Consultas!AD339&gt;'Parâmetros'!$A$31),"X",AJ339+Y339+V339+AC339)</f>
        <v>-9</v>
      </c>
      <c r="AS339" s="78">
        <f>IF((Consultas!AD339&gt;'Parâmetros'!$A$31),"X",(H339+I339+J339+Q339+T339+Y339+Z339+AJ339+AN339))</f>
        <v>-23</v>
      </c>
      <c r="AT339" s="78" t="str">
        <f>IF((Consultas!AD339&lt;'Parâmetros'!$A$31),"X",(AD339+AC339+AB339))</f>
        <v>X</v>
      </c>
      <c r="AU339" s="78">
        <f t="shared" si="1"/>
        <v>-23</v>
      </c>
      <c r="AV339" s="82" t="str">
        <f>IF(AQ339="N/A","N/A",IF(AQ339&gt;5,'Parâmetros'!$A$15,(IF(AU339=AR339,'Parâmetros'!$A$17,IF(AU339=AS339,'Parâmetros'!$A$16,'Parâmetros'!$A$14)))))</f>
        <v>N/A</v>
      </c>
      <c r="AW339" s="86" t="str">
        <f>IF(AQ339="N/A","N/A",IF(AV339='Parâmetros'!$A$15,'Parâmetros'!$C$15,(IF(AV339='Parâmetros'!$A$17,'Parâmetros'!$C$17,IF(AV339='Parâmetros'!$A$16,'Parâmetros'!$C$16,IF(AV339='Parâmetros'!$A$14,'Parâmetros'!$C$12))))))</f>
        <v>N/A</v>
      </c>
      <c r="AX339" s="82" t="b">
        <f>IF(Consultas!F339&gt;1,(IF(Consultas!F339&gt;5000,"SOLICITAR PED COMPRA","N/A")))</f>
        <v>0</v>
      </c>
      <c r="AY339" s="167" t="str">
        <f>IF(AND(Consultas!M339&lt;&gt;"S", Consultas!H339="S"), "CHECAGEM REVERSA", "N/A")</f>
        <v>N/A</v>
      </c>
      <c r="AZ339" s="167" t="str">
        <f>IF(Consultas!U339="N","PRECISA CORRIGIR END DIVERGENTE","N/A")</f>
        <v>N/A</v>
      </c>
    </row>
    <row r="340" ht="12.0" customHeight="1">
      <c r="A340" s="39" t="s">
        <v>90</v>
      </c>
      <c r="B340" s="82" t="str">
        <f>Consultas!B340</f>
        <v/>
      </c>
      <c r="C340" s="82" t="str">
        <f>Consultas!D340</f>
        <v/>
      </c>
      <c r="D340" s="96" t="str">
        <f>Consultas!E340</f>
        <v/>
      </c>
      <c r="E340" s="104" t="str">
        <f>IF(Consultas!AB340&gt;0,YEAR('Parâmetros'!$B$1)-YEAR(Consultas!AB340),"NA")</f>
        <v>NA</v>
      </c>
      <c r="F340" s="82">
        <f>IF(Consultas!F340&gt;'Parâmetros'!$B$2,-8,0)</f>
        <v>0</v>
      </c>
      <c r="G340" s="82">
        <f>IF(Consultas!H340='Parâmetros'!$E$1,100,0)</f>
        <v>0</v>
      </c>
      <c r="H340" s="82">
        <f>IF(Consultas!I340='Parâmetros'!$E$1,-4,12)</f>
        <v>12</v>
      </c>
      <c r="I340" s="82">
        <f>IF(Consultas!J340='Parâmetros'!$E$1,1,-13)</f>
        <v>-13</v>
      </c>
      <c r="J340" s="82">
        <f>IF(Consultas!K340='Parâmetros'!$E$1,2,-5)</f>
        <v>-5</v>
      </c>
      <c r="K340" s="82" t="str">
        <f>IF(Consultas!L340='Parâmetros'!$D$1,"SOLIC CONTRATO DE ENTREGA","N/A")</f>
        <v>N/A</v>
      </c>
      <c r="L340" s="82">
        <f>IF(Consultas!R340='Parâmetros'!$E$1,1,-3)</f>
        <v>-3</v>
      </c>
      <c r="M340" s="82" t="b">
        <f>IF(Consultas!S340&gt;1,(IF(Consultas!S340='Parâmetros'!$E$1,-3,9)))</f>
        <v>0</v>
      </c>
      <c r="N340" s="82">
        <f>IF(Consultas!T340="S",23,0)</f>
        <v>0</v>
      </c>
      <c r="O340" s="82">
        <f>IF(Consultas!U340='Parâmetros'!$E$1,-3,3)</f>
        <v>3</v>
      </c>
      <c r="P340" s="82">
        <f>IF(Consultas!V340='Parâmetros'!$E$1,-100,2)</f>
        <v>2</v>
      </c>
      <c r="Q340" s="82">
        <f>IF(Consultas!M340='Parâmetros'!$D$1,2,-9)</f>
        <v>-9</v>
      </c>
      <c r="R340" s="82">
        <f>IF(Consultas!N340="RJ",-12,0)</f>
        <v>0</v>
      </c>
      <c r="S340" s="82">
        <f>IF(Consultas!O340="-",-3,IF(Consultas!O340=0,-6,IF(Consultas!O340=5,0,IF(Consultas!O340=10,6))))</f>
        <v>-6</v>
      </c>
      <c r="T340" s="82">
        <f>IF(Consultas!M340="S",0,(IF(Consultas!P340="S",6,0)))</f>
        <v>0</v>
      </c>
      <c r="U340" s="82">
        <f>IF(Consultas!Q340&gt;97,9,IF(Consultas!Q340&gt;75,0,-7))</f>
        <v>-7</v>
      </c>
      <c r="V340" s="82">
        <f>IF(Consultas!W340='Parâmetros'!$E$1,1,-5)</f>
        <v>-5</v>
      </c>
      <c r="W340" s="82">
        <f>IF(Consultas!X340="S",3,-3)</f>
        <v>-3</v>
      </c>
      <c r="X340" s="82">
        <f>IF(Consultas!Y340="S",0,-7)</f>
        <v>-7</v>
      </c>
      <c r="Y340" s="82">
        <f>IF(Consultas!Z340='Parâmetros'!$E$1,2,-8)</f>
        <v>-8</v>
      </c>
      <c r="Z340" s="82">
        <f>IF(Consultas!AA340='Parâmetros'!$E$1,-15,1)</f>
        <v>1</v>
      </c>
      <c r="AA340" s="147" t="s">
        <v>140</v>
      </c>
      <c r="AB340" s="82" t="str">
        <f>IF(E340="NA","NA",IF(E340&gt;'Parâmetros'!$A$9,8,IF(E340&gt;'Parâmetros'!$A$8,4,IF(E340&gt;'Parâmetros'!$A$7,0,-6))))</f>
        <v>NA</v>
      </c>
      <c r="AC340" s="82">
        <f>IF(Consultas!AC340='Parâmetros'!$E$1,0,5)</f>
        <v>5</v>
      </c>
      <c r="AD340" s="82">
        <f>IF(Consultas!AH340='Parâmetros'!$D$1,-10,5)</f>
        <v>5</v>
      </c>
      <c r="AE340" s="82">
        <f>IF(Consultas!AI340&gt;(Consultas!F340*2),-10,0)</f>
        <v>0</v>
      </c>
      <c r="AF340" s="82" t="b">
        <f>IF(Consultas!AD340&gt;1,(IF(Consultas!AI340&gt;(Consultas!AD340),-20,4)))</f>
        <v>0</v>
      </c>
      <c r="AG340" s="82">
        <f>IF(Consultas!AG340='Parâmetros'!$E$1,0,-6)</f>
        <v>-6</v>
      </c>
      <c r="AH340" s="82">
        <f>IF(Consultas!AF340='Parâmetros'!$E$1,1,-5)</f>
        <v>-5</v>
      </c>
      <c r="AI340" s="82">
        <f>IF(Consultas!AJ340&gt;700,8,IF(Consultas!AJ340&gt;500,4,IF(Consultas!AJ340&gt;200,-4,IF(Consultas!AJ340&gt;1,-15,-20))))</f>
        <v>-20</v>
      </c>
      <c r="AJ340" s="82">
        <f>IF(Consultas!AD340='Parâmetros'!$E$10,0,IF(Consultas!AD340&gt;'Parâmetros'!$A$30,12,IF(Consultas!AD340&gt;'Parâmetros'!$A$31,6,IF(Consultas!AD340&gt;'Parâmetros'!$A$32,0,IF(Consultas!AD340&gt;'Parâmetros'!$A$33,0,IF(Consultas!AD340&gt;'Parâmetros'!$A$34,-3,IF(Consultas!AD340&gt;'Parâmetros'!$A$35,-7,-1)))))))</f>
        <v>-1</v>
      </c>
      <c r="AK340" s="82">
        <f>IF(Consultas!AO340='Parâmetros'!$D$1,3,-3)</f>
        <v>-3</v>
      </c>
      <c r="AL340" s="82">
        <f>IF(Consultas!AP340='Parâmetros'!$D$1,5,-3)</f>
        <v>-3</v>
      </c>
      <c r="AM340" s="82">
        <f>IF(Consultas!AL340="N",-6,0)</f>
        <v>0</v>
      </c>
      <c r="AN340" s="82">
        <f>IF(Consultas!AM340="N",-10,0)</f>
        <v>0</v>
      </c>
      <c r="AO340" s="82">
        <f>IF(Consultas!AN340="S",4,-2)</f>
        <v>-2</v>
      </c>
      <c r="AP340" s="39"/>
      <c r="AQ340" s="165" t="str">
        <f>IF(Consultas!F340&gt;1,(SUM(F340:AO340)),"N/A")</f>
        <v>N/A</v>
      </c>
      <c r="AR340" s="78">
        <f>IF((Consultas!AD340&gt;'Parâmetros'!$A$31),"X",AJ340+Y340+V340+AC340)</f>
        <v>-9</v>
      </c>
      <c r="AS340" s="78">
        <f>IF((Consultas!AD340&gt;'Parâmetros'!$A$31),"X",(H340+I340+J340+Q340+T340+Y340+Z340+AJ340+AN340))</f>
        <v>-23</v>
      </c>
      <c r="AT340" s="78" t="str">
        <f>IF((Consultas!AD340&lt;'Parâmetros'!$A$31),"X",(AD340+AC340+AB340))</f>
        <v>X</v>
      </c>
      <c r="AU340" s="78">
        <f t="shared" si="1"/>
        <v>-23</v>
      </c>
      <c r="AV340" s="82" t="str">
        <f>IF(AQ340="N/A","N/A",IF(AQ340&gt;5,'Parâmetros'!$A$15,(IF(AU340=AR340,'Parâmetros'!$A$17,IF(AU340=AS340,'Parâmetros'!$A$16,'Parâmetros'!$A$14)))))</f>
        <v>N/A</v>
      </c>
      <c r="AW340" s="86" t="str">
        <f>IF(AQ340="N/A","N/A",IF(AV340='Parâmetros'!$A$15,'Parâmetros'!$C$15,(IF(AV340='Parâmetros'!$A$17,'Parâmetros'!$C$17,IF(AV340='Parâmetros'!$A$16,'Parâmetros'!$C$16,IF(AV340='Parâmetros'!$A$14,'Parâmetros'!$C$12))))))</f>
        <v>N/A</v>
      </c>
      <c r="AX340" s="82" t="b">
        <f>IF(Consultas!F340&gt;1,(IF(Consultas!F340&gt;5000,"SOLICITAR PED COMPRA","N/A")))</f>
        <v>0</v>
      </c>
      <c r="AY340" s="167" t="str">
        <f>IF(AND(Consultas!M340&lt;&gt;"S", Consultas!H340="S"), "CHECAGEM REVERSA", "N/A")</f>
        <v>N/A</v>
      </c>
      <c r="AZ340" s="167" t="str">
        <f>IF(Consultas!U340="N","PRECISA CORRIGIR END DIVERGENTE","N/A")</f>
        <v>N/A</v>
      </c>
    </row>
    <row r="341" ht="12.0" customHeight="1">
      <c r="A341" s="39" t="s">
        <v>90</v>
      </c>
      <c r="B341" s="82" t="str">
        <f>Consultas!B341</f>
        <v/>
      </c>
      <c r="C341" s="82" t="str">
        <f>Consultas!D341</f>
        <v/>
      </c>
      <c r="D341" s="96" t="str">
        <f>Consultas!E341</f>
        <v/>
      </c>
      <c r="E341" s="104" t="str">
        <f>IF(Consultas!AB341&gt;0,YEAR('Parâmetros'!$B$1)-YEAR(Consultas!AB341),"NA")</f>
        <v>NA</v>
      </c>
      <c r="F341" s="82">
        <f>IF(Consultas!F341&gt;'Parâmetros'!$B$2,-8,0)</f>
        <v>0</v>
      </c>
      <c r="G341" s="82">
        <f>IF(Consultas!H341='Parâmetros'!$E$1,100,0)</f>
        <v>0</v>
      </c>
      <c r="H341" s="82">
        <f>IF(Consultas!I341='Parâmetros'!$E$1,-4,12)</f>
        <v>12</v>
      </c>
      <c r="I341" s="82">
        <f>IF(Consultas!J341='Parâmetros'!$E$1,1,-13)</f>
        <v>-13</v>
      </c>
      <c r="J341" s="82">
        <f>IF(Consultas!K341='Parâmetros'!$E$1,2,-5)</f>
        <v>-5</v>
      </c>
      <c r="K341" s="82" t="str">
        <f>IF(Consultas!L341='Parâmetros'!$D$1,"SOLIC CONTRATO DE ENTREGA","N/A")</f>
        <v>N/A</v>
      </c>
      <c r="L341" s="82">
        <f>IF(Consultas!R341='Parâmetros'!$E$1,1,-3)</f>
        <v>-3</v>
      </c>
      <c r="M341" s="82" t="b">
        <f>IF(Consultas!S341&gt;1,(IF(Consultas!S341='Parâmetros'!$E$1,-3,9)))</f>
        <v>0</v>
      </c>
      <c r="N341" s="82">
        <f>IF(Consultas!T341="S",23,0)</f>
        <v>0</v>
      </c>
      <c r="O341" s="82">
        <f>IF(Consultas!U341='Parâmetros'!$E$1,-3,3)</f>
        <v>3</v>
      </c>
      <c r="P341" s="82">
        <f>IF(Consultas!V341='Parâmetros'!$E$1,-100,2)</f>
        <v>2</v>
      </c>
      <c r="Q341" s="82">
        <f>IF(Consultas!M341='Parâmetros'!$D$1,2,-9)</f>
        <v>-9</v>
      </c>
      <c r="R341" s="82">
        <f>IF(Consultas!N341="RJ",-12,0)</f>
        <v>0</v>
      </c>
      <c r="S341" s="82">
        <f>IF(Consultas!O341="-",-3,IF(Consultas!O341=0,-6,IF(Consultas!O341=5,0,IF(Consultas!O341=10,6))))</f>
        <v>-6</v>
      </c>
      <c r="T341" s="82">
        <f>IF(Consultas!M341="S",0,(IF(Consultas!P341="S",6,0)))</f>
        <v>0</v>
      </c>
      <c r="U341" s="82">
        <f>IF(Consultas!Q341&gt;97,9,IF(Consultas!Q341&gt;75,0,-7))</f>
        <v>-7</v>
      </c>
      <c r="V341" s="82">
        <f>IF(Consultas!W341='Parâmetros'!$E$1,1,-5)</f>
        <v>-5</v>
      </c>
      <c r="W341" s="82">
        <f>IF(Consultas!X341="S",3,-3)</f>
        <v>-3</v>
      </c>
      <c r="X341" s="82">
        <f>IF(Consultas!Y341="S",0,-7)</f>
        <v>-7</v>
      </c>
      <c r="Y341" s="82">
        <f>IF(Consultas!Z341='Parâmetros'!$E$1,2,-8)</f>
        <v>-8</v>
      </c>
      <c r="Z341" s="82">
        <f>IF(Consultas!AA341='Parâmetros'!$E$1,-15,1)</f>
        <v>1</v>
      </c>
      <c r="AA341" s="147" t="s">
        <v>140</v>
      </c>
      <c r="AB341" s="82" t="str">
        <f>IF(E341="NA","NA",IF(E341&gt;'Parâmetros'!$A$9,8,IF(E341&gt;'Parâmetros'!$A$8,4,IF(E341&gt;'Parâmetros'!$A$7,0,-6))))</f>
        <v>NA</v>
      </c>
      <c r="AC341" s="82">
        <f>IF(Consultas!AC341='Parâmetros'!$E$1,0,5)</f>
        <v>5</v>
      </c>
      <c r="AD341" s="82">
        <f>IF(Consultas!AH341='Parâmetros'!$D$1,-10,5)</f>
        <v>5</v>
      </c>
      <c r="AE341" s="82">
        <f>IF(Consultas!AI341&gt;(Consultas!F341*2),-10,0)</f>
        <v>0</v>
      </c>
      <c r="AF341" s="82" t="b">
        <f>IF(Consultas!AD341&gt;1,(IF(Consultas!AI341&gt;(Consultas!AD341),-20,4)))</f>
        <v>0</v>
      </c>
      <c r="AG341" s="82">
        <f>IF(Consultas!AG341='Parâmetros'!$E$1,0,-6)</f>
        <v>-6</v>
      </c>
      <c r="AH341" s="82">
        <f>IF(Consultas!AF341='Parâmetros'!$E$1,1,-5)</f>
        <v>-5</v>
      </c>
      <c r="AI341" s="82">
        <f>IF(Consultas!AJ341&gt;700,8,IF(Consultas!AJ341&gt;500,4,IF(Consultas!AJ341&gt;200,-4,IF(Consultas!AJ341&gt;1,-15,-20))))</f>
        <v>-20</v>
      </c>
      <c r="AJ341" s="82">
        <f>IF(Consultas!AD341='Parâmetros'!$E$10,0,IF(Consultas!AD341&gt;'Parâmetros'!$A$30,12,IF(Consultas!AD341&gt;'Parâmetros'!$A$31,6,IF(Consultas!AD341&gt;'Parâmetros'!$A$32,0,IF(Consultas!AD341&gt;'Parâmetros'!$A$33,0,IF(Consultas!AD341&gt;'Parâmetros'!$A$34,-3,IF(Consultas!AD341&gt;'Parâmetros'!$A$35,-7,-1)))))))</f>
        <v>-1</v>
      </c>
      <c r="AK341" s="82">
        <f>IF(Consultas!AO341='Parâmetros'!$D$1,3,-3)</f>
        <v>-3</v>
      </c>
      <c r="AL341" s="82">
        <f>IF(Consultas!AP341='Parâmetros'!$D$1,5,-3)</f>
        <v>-3</v>
      </c>
      <c r="AM341" s="82">
        <f>IF(Consultas!AL341="N",-6,0)</f>
        <v>0</v>
      </c>
      <c r="AN341" s="82">
        <f>IF(Consultas!AM341="N",-10,0)</f>
        <v>0</v>
      </c>
      <c r="AO341" s="82">
        <f>IF(Consultas!AN341="S",4,-2)</f>
        <v>-2</v>
      </c>
      <c r="AP341" s="39"/>
      <c r="AQ341" s="165" t="str">
        <f>IF(Consultas!F341&gt;1,(SUM(F341:AO341)),"N/A")</f>
        <v>N/A</v>
      </c>
      <c r="AR341" s="78">
        <f>IF((Consultas!AD341&gt;'Parâmetros'!$A$31),"X",AJ341+Y341+V341+AC341)</f>
        <v>-9</v>
      </c>
      <c r="AS341" s="78">
        <f>IF((Consultas!AD341&gt;'Parâmetros'!$A$31),"X",(H341+I341+J341+Q341+T341+Y341+Z341+AJ341+AN341))</f>
        <v>-23</v>
      </c>
      <c r="AT341" s="78" t="str">
        <f>IF((Consultas!AD341&lt;'Parâmetros'!$A$31),"X",(AD341+AC341+AB341))</f>
        <v>X</v>
      </c>
      <c r="AU341" s="78">
        <f t="shared" si="1"/>
        <v>-23</v>
      </c>
      <c r="AV341" s="82" t="str">
        <f>IF(AQ341="N/A","N/A",IF(AQ341&gt;5,'Parâmetros'!$A$15,(IF(AU341=AR341,'Parâmetros'!$A$17,IF(AU341=AS341,'Parâmetros'!$A$16,'Parâmetros'!$A$14)))))</f>
        <v>N/A</v>
      </c>
      <c r="AW341" s="86" t="str">
        <f>IF(AQ341="N/A","N/A",IF(AV341='Parâmetros'!$A$15,'Parâmetros'!$C$15,(IF(AV341='Parâmetros'!$A$17,'Parâmetros'!$C$17,IF(AV341='Parâmetros'!$A$16,'Parâmetros'!$C$16,IF(AV341='Parâmetros'!$A$14,'Parâmetros'!$C$12))))))</f>
        <v>N/A</v>
      </c>
      <c r="AX341" s="82" t="b">
        <f>IF(Consultas!F341&gt;1,(IF(Consultas!F341&gt;5000,"SOLICITAR PED COMPRA","N/A")))</f>
        <v>0</v>
      </c>
      <c r="AY341" s="167" t="str">
        <f>IF(AND(Consultas!M341&lt;&gt;"S", Consultas!H341="S"), "CHECAGEM REVERSA", "N/A")</f>
        <v>N/A</v>
      </c>
      <c r="AZ341" s="167" t="str">
        <f>IF(Consultas!U341="N","PRECISA CORRIGIR END DIVERGENTE","N/A")</f>
        <v>N/A</v>
      </c>
    </row>
    <row r="342" ht="12.0" customHeight="1">
      <c r="A342" s="39" t="s">
        <v>90</v>
      </c>
      <c r="B342" s="82" t="str">
        <f>Consultas!B342</f>
        <v/>
      </c>
      <c r="C342" s="82" t="str">
        <f>Consultas!D342</f>
        <v/>
      </c>
      <c r="D342" s="96" t="str">
        <f>Consultas!E342</f>
        <v/>
      </c>
      <c r="E342" s="104" t="str">
        <f>IF(Consultas!AB342&gt;0,YEAR('Parâmetros'!$B$1)-YEAR(Consultas!AB342),"NA")</f>
        <v>NA</v>
      </c>
      <c r="F342" s="82">
        <f>IF(Consultas!F342&gt;'Parâmetros'!$B$2,-8,0)</f>
        <v>0</v>
      </c>
      <c r="G342" s="82">
        <f>IF(Consultas!H342='Parâmetros'!$E$1,100,0)</f>
        <v>0</v>
      </c>
      <c r="H342" s="82">
        <f>IF(Consultas!I342='Parâmetros'!$E$1,-4,12)</f>
        <v>12</v>
      </c>
      <c r="I342" s="82">
        <f>IF(Consultas!J342='Parâmetros'!$E$1,1,-13)</f>
        <v>-13</v>
      </c>
      <c r="J342" s="82">
        <f>IF(Consultas!K342='Parâmetros'!$E$1,2,-5)</f>
        <v>-5</v>
      </c>
      <c r="K342" s="82" t="str">
        <f>IF(Consultas!L342='Parâmetros'!$D$1,"SOLIC CONTRATO DE ENTREGA","N/A")</f>
        <v>N/A</v>
      </c>
      <c r="L342" s="82">
        <f>IF(Consultas!R342='Parâmetros'!$E$1,1,-3)</f>
        <v>-3</v>
      </c>
      <c r="M342" s="82" t="b">
        <f>IF(Consultas!S342&gt;1,(IF(Consultas!S342='Parâmetros'!$E$1,-3,9)))</f>
        <v>0</v>
      </c>
      <c r="N342" s="82">
        <f>IF(Consultas!T342="S",23,0)</f>
        <v>0</v>
      </c>
      <c r="O342" s="82">
        <f>IF(Consultas!U342='Parâmetros'!$E$1,-3,3)</f>
        <v>3</v>
      </c>
      <c r="P342" s="82">
        <f>IF(Consultas!V342='Parâmetros'!$E$1,-100,2)</f>
        <v>2</v>
      </c>
      <c r="Q342" s="82">
        <f>IF(Consultas!M342='Parâmetros'!$D$1,2,-9)</f>
        <v>-9</v>
      </c>
      <c r="R342" s="82">
        <f>IF(Consultas!N342="RJ",-12,0)</f>
        <v>0</v>
      </c>
      <c r="S342" s="82">
        <f>IF(Consultas!O342="-",-3,IF(Consultas!O342=0,-6,IF(Consultas!O342=5,0,IF(Consultas!O342=10,6))))</f>
        <v>-6</v>
      </c>
      <c r="T342" s="82">
        <f>IF(Consultas!M342="S",0,(IF(Consultas!P342="S",6,0)))</f>
        <v>0</v>
      </c>
      <c r="U342" s="82">
        <f>IF(Consultas!Q342&gt;97,9,IF(Consultas!Q342&gt;75,0,-7))</f>
        <v>-7</v>
      </c>
      <c r="V342" s="82">
        <f>IF(Consultas!W342='Parâmetros'!$E$1,1,-5)</f>
        <v>-5</v>
      </c>
      <c r="W342" s="82">
        <f>IF(Consultas!X342="S",3,-3)</f>
        <v>-3</v>
      </c>
      <c r="X342" s="82">
        <f>IF(Consultas!Y342="S",0,-7)</f>
        <v>-7</v>
      </c>
      <c r="Y342" s="82">
        <f>IF(Consultas!Z342='Parâmetros'!$E$1,2,-8)</f>
        <v>-8</v>
      </c>
      <c r="Z342" s="82">
        <f>IF(Consultas!AA342='Parâmetros'!$E$1,-15,1)</f>
        <v>1</v>
      </c>
      <c r="AA342" s="147" t="s">
        <v>140</v>
      </c>
      <c r="AB342" s="82" t="str">
        <f>IF(E342="NA","NA",IF(E342&gt;'Parâmetros'!$A$9,8,IF(E342&gt;'Parâmetros'!$A$8,4,IF(E342&gt;'Parâmetros'!$A$7,0,-6))))</f>
        <v>NA</v>
      </c>
      <c r="AC342" s="82">
        <f>IF(Consultas!AC342='Parâmetros'!$E$1,0,5)</f>
        <v>5</v>
      </c>
      <c r="AD342" s="82">
        <f>IF(Consultas!AH342='Parâmetros'!$D$1,-10,5)</f>
        <v>5</v>
      </c>
      <c r="AE342" s="82">
        <f>IF(Consultas!AI342&gt;(Consultas!F342*2),-10,0)</f>
        <v>0</v>
      </c>
      <c r="AF342" s="82" t="b">
        <f>IF(Consultas!AD342&gt;1,(IF(Consultas!AI342&gt;(Consultas!AD342),-20,4)))</f>
        <v>0</v>
      </c>
      <c r="AG342" s="82">
        <f>IF(Consultas!AG342='Parâmetros'!$E$1,0,-6)</f>
        <v>-6</v>
      </c>
      <c r="AH342" s="82">
        <f>IF(Consultas!AF342='Parâmetros'!$E$1,1,-5)</f>
        <v>-5</v>
      </c>
      <c r="AI342" s="82">
        <f>IF(Consultas!AJ342&gt;700,8,IF(Consultas!AJ342&gt;500,4,IF(Consultas!AJ342&gt;200,-4,IF(Consultas!AJ342&gt;1,-15,-20))))</f>
        <v>-20</v>
      </c>
      <c r="AJ342" s="82">
        <f>IF(Consultas!AD342='Parâmetros'!$E$10,0,IF(Consultas!AD342&gt;'Parâmetros'!$A$30,12,IF(Consultas!AD342&gt;'Parâmetros'!$A$31,6,IF(Consultas!AD342&gt;'Parâmetros'!$A$32,0,IF(Consultas!AD342&gt;'Parâmetros'!$A$33,0,IF(Consultas!AD342&gt;'Parâmetros'!$A$34,-3,IF(Consultas!AD342&gt;'Parâmetros'!$A$35,-7,-1)))))))</f>
        <v>-1</v>
      </c>
      <c r="AK342" s="82">
        <f>IF(Consultas!AO342='Parâmetros'!$D$1,3,-3)</f>
        <v>-3</v>
      </c>
      <c r="AL342" s="82">
        <f>IF(Consultas!AP342='Parâmetros'!$D$1,5,-3)</f>
        <v>-3</v>
      </c>
      <c r="AM342" s="82">
        <f>IF(Consultas!AL342="N",-6,0)</f>
        <v>0</v>
      </c>
      <c r="AN342" s="82">
        <f>IF(Consultas!AM342="N",-10,0)</f>
        <v>0</v>
      </c>
      <c r="AO342" s="82">
        <f>IF(Consultas!AN342="S",4,-2)</f>
        <v>-2</v>
      </c>
      <c r="AP342" s="39"/>
      <c r="AQ342" s="165" t="str">
        <f>IF(Consultas!F342&gt;1,(SUM(F342:AO342)),"N/A")</f>
        <v>N/A</v>
      </c>
      <c r="AR342" s="78">
        <f>IF((Consultas!AD342&gt;'Parâmetros'!$A$31),"X",AJ342+Y342+V342+AC342)</f>
        <v>-9</v>
      </c>
      <c r="AS342" s="78">
        <f>IF((Consultas!AD342&gt;'Parâmetros'!$A$31),"X",(H342+I342+J342+Q342+T342+Y342+Z342+AJ342+AN342))</f>
        <v>-23</v>
      </c>
      <c r="AT342" s="78" t="str">
        <f>IF((Consultas!AD342&lt;'Parâmetros'!$A$31),"X",(AD342+AC342+AB342))</f>
        <v>X</v>
      </c>
      <c r="AU342" s="78">
        <f t="shared" si="1"/>
        <v>-23</v>
      </c>
      <c r="AV342" s="82" t="str">
        <f>IF(AQ342="N/A","N/A",IF(AQ342&gt;5,'Parâmetros'!$A$15,(IF(AU342=AR342,'Parâmetros'!$A$17,IF(AU342=AS342,'Parâmetros'!$A$16,'Parâmetros'!$A$14)))))</f>
        <v>N/A</v>
      </c>
      <c r="AW342" s="86" t="str">
        <f>IF(AQ342="N/A","N/A",IF(AV342='Parâmetros'!$A$15,'Parâmetros'!$C$15,(IF(AV342='Parâmetros'!$A$17,'Parâmetros'!$C$17,IF(AV342='Parâmetros'!$A$16,'Parâmetros'!$C$16,IF(AV342='Parâmetros'!$A$14,'Parâmetros'!$C$12))))))</f>
        <v>N/A</v>
      </c>
      <c r="AX342" s="82" t="b">
        <f>IF(Consultas!F342&gt;1,(IF(Consultas!F342&gt;5000,"SOLICITAR PED COMPRA","N/A")))</f>
        <v>0</v>
      </c>
      <c r="AY342" s="167" t="str">
        <f>IF(AND(Consultas!M342&lt;&gt;"S", Consultas!H342="S"), "CHECAGEM REVERSA", "N/A")</f>
        <v>N/A</v>
      </c>
      <c r="AZ342" s="167" t="str">
        <f>IF(Consultas!U342="N","PRECISA CORRIGIR END DIVERGENTE","N/A")</f>
        <v>N/A</v>
      </c>
    </row>
    <row r="343" ht="12.0" customHeight="1">
      <c r="A343" s="39" t="s">
        <v>90</v>
      </c>
      <c r="B343" s="82" t="str">
        <f>Consultas!B343</f>
        <v/>
      </c>
      <c r="C343" s="82" t="str">
        <f>Consultas!D343</f>
        <v/>
      </c>
      <c r="D343" s="96" t="str">
        <f>Consultas!E343</f>
        <v/>
      </c>
      <c r="E343" s="104" t="str">
        <f>IF(Consultas!AB343&gt;0,YEAR('Parâmetros'!$B$1)-YEAR(Consultas!AB343),"NA")</f>
        <v>NA</v>
      </c>
      <c r="F343" s="82">
        <f>IF(Consultas!F343&gt;'Parâmetros'!$B$2,-8,0)</f>
        <v>0</v>
      </c>
      <c r="G343" s="82">
        <f>IF(Consultas!H343='Parâmetros'!$E$1,100,0)</f>
        <v>0</v>
      </c>
      <c r="H343" s="82">
        <f>IF(Consultas!I343='Parâmetros'!$E$1,-4,12)</f>
        <v>12</v>
      </c>
      <c r="I343" s="82">
        <f>IF(Consultas!J343='Parâmetros'!$E$1,1,-13)</f>
        <v>-13</v>
      </c>
      <c r="J343" s="82">
        <f>IF(Consultas!K343='Parâmetros'!$E$1,2,-5)</f>
        <v>-5</v>
      </c>
      <c r="K343" s="82" t="str">
        <f>IF(Consultas!L343='Parâmetros'!$D$1,"SOLIC CONTRATO DE ENTREGA","N/A")</f>
        <v>N/A</v>
      </c>
      <c r="L343" s="82">
        <f>IF(Consultas!R343='Parâmetros'!$E$1,1,-3)</f>
        <v>-3</v>
      </c>
      <c r="M343" s="82" t="b">
        <f>IF(Consultas!S343&gt;1,(IF(Consultas!S343='Parâmetros'!$E$1,-3,9)))</f>
        <v>0</v>
      </c>
      <c r="N343" s="82">
        <f>IF(Consultas!T343="S",23,0)</f>
        <v>0</v>
      </c>
      <c r="O343" s="82">
        <f>IF(Consultas!U343='Parâmetros'!$E$1,-3,3)</f>
        <v>3</v>
      </c>
      <c r="P343" s="82">
        <f>IF(Consultas!V343='Parâmetros'!$E$1,-100,2)</f>
        <v>2</v>
      </c>
      <c r="Q343" s="82">
        <f>IF(Consultas!M343='Parâmetros'!$D$1,2,-9)</f>
        <v>-9</v>
      </c>
      <c r="R343" s="82">
        <f>IF(Consultas!N343="RJ",-12,0)</f>
        <v>0</v>
      </c>
      <c r="S343" s="82">
        <f>IF(Consultas!O343="-",-3,IF(Consultas!O343=0,-6,IF(Consultas!O343=5,0,IF(Consultas!O343=10,6))))</f>
        <v>-6</v>
      </c>
      <c r="T343" s="82">
        <f>IF(Consultas!M343="S",0,(IF(Consultas!P343="S",6,0)))</f>
        <v>0</v>
      </c>
      <c r="U343" s="82">
        <f>IF(Consultas!Q343&gt;97,9,IF(Consultas!Q343&gt;75,0,-7))</f>
        <v>-7</v>
      </c>
      <c r="V343" s="82">
        <f>IF(Consultas!W343='Parâmetros'!$E$1,1,-5)</f>
        <v>-5</v>
      </c>
      <c r="W343" s="82">
        <f>IF(Consultas!X343="S",3,-3)</f>
        <v>-3</v>
      </c>
      <c r="X343" s="82">
        <f>IF(Consultas!Y343="S",0,-7)</f>
        <v>-7</v>
      </c>
      <c r="Y343" s="82">
        <f>IF(Consultas!Z343='Parâmetros'!$E$1,2,-8)</f>
        <v>-8</v>
      </c>
      <c r="Z343" s="82">
        <f>IF(Consultas!AA343='Parâmetros'!$E$1,-15,1)</f>
        <v>1</v>
      </c>
      <c r="AA343" s="147" t="s">
        <v>140</v>
      </c>
      <c r="AB343" s="82" t="str">
        <f>IF(E343="NA","NA",IF(E343&gt;'Parâmetros'!$A$9,8,IF(E343&gt;'Parâmetros'!$A$8,4,IF(E343&gt;'Parâmetros'!$A$7,0,-6))))</f>
        <v>NA</v>
      </c>
      <c r="AC343" s="82">
        <f>IF(Consultas!AC343='Parâmetros'!$E$1,0,5)</f>
        <v>5</v>
      </c>
      <c r="AD343" s="82">
        <f>IF(Consultas!AH343='Parâmetros'!$D$1,-10,5)</f>
        <v>5</v>
      </c>
      <c r="AE343" s="82">
        <f>IF(Consultas!AI343&gt;(Consultas!F343*2),-10,0)</f>
        <v>0</v>
      </c>
      <c r="AF343" s="82" t="b">
        <f>IF(Consultas!AD343&gt;1,(IF(Consultas!AI343&gt;(Consultas!AD343),-20,4)))</f>
        <v>0</v>
      </c>
      <c r="AG343" s="82">
        <f>IF(Consultas!AG343='Parâmetros'!$E$1,0,-6)</f>
        <v>-6</v>
      </c>
      <c r="AH343" s="82">
        <f>IF(Consultas!AF343='Parâmetros'!$E$1,1,-5)</f>
        <v>-5</v>
      </c>
      <c r="AI343" s="82">
        <f>IF(Consultas!AJ343&gt;700,8,IF(Consultas!AJ343&gt;500,4,IF(Consultas!AJ343&gt;200,-4,IF(Consultas!AJ343&gt;1,-15,-20))))</f>
        <v>-20</v>
      </c>
      <c r="AJ343" s="82">
        <f>IF(Consultas!AD343='Parâmetros'!$E$10,0,IF(Consultas!AD343&gt;'Parâmetros'!$A$30,12,IF(Consultas!AD343&gt;'Parâmetros'!$A$31,6,IF(Consultas!AD343&gt;'Parâmetros'!$A$32,0,IF(Consultas!AD343&gt;'Parâmetros'!$A$33,0,IF(Consultas!AD343&gt;'Parâmetros'!$A$34,-3,IF(Consultas!AD343&gt;'Parâmetros'!$A$35,-7,-1)))))))</f>
        <v>-1</v>
      </c>
      <c r="AK343" s="82">
        <f>IF(Consultas!AO343='Parâmetros'!$D$1,3,-3)</f>
        <v>-3</v>
      </c>
      <c r="AL343" s="82">
        <f>IF(Consultas!AP343='Parâmetros'!$D$1,5,-3)</f>
        <v>-3</v>
      </c>
      <c r="AM343" s="82">
        <f>IF(Consultas!AL343="N",-6,0)</f>
        <v>0</v>
      </c>
      <c r="AN343" s="82">
        <f>IF(Consultas!AM343="N",-10,0)</f>
        <v>0</v>
      </c>
      <c r="AO343" s="82">
        <f>IF(Consultas!AN343="S",4,-2)</f>
        <v>-2</v>
      </c>
      <c r="AP343" s="39"/>
      <c r="AQ343" s="165" t="str">
        <f>IF(Consultas!F343&gt;1,(SUM(F343:AO343)),"N/A")</f>
        <v>N/A</v>
      </c>
      <c r="AR343" s="78">
        <f>IF((Consultas!AD343&gt;'Parâmetros'!$A$31),"X",AJ343+Y343+V343+AC343)</f>
        <v>-9</v>
      </c>
      <c r="AS343" s="78">
        <f>IF((Consultas!AD343&gt;'Parâmetros'!$A$31),"X",(H343+I343+J343+Q343+T343+Y343+Z343+AJ343+AN343))</f>
        <v>-23</v>
      </c>
      <c r="AT343" s="78" t="str">
        <f>IF((Consultas!AD343&lt;'Parâmetros'!$A$31),"X",(AD343+AC343+AB343))</f>
        <v>X</v>
      </c>
      <c r="AU343" s="78">
        <f t="shared" si="1"/>
        <v>-23</v>
      </c>
      <c r="AV343" s="82" t="str">
        <f>IF(AQ343="N/A","N/A",IF(AQ343&gt;5,'Parâmetros'!$A$15,(IF(AU343=AR343,'Parâmetros'!$A$17,IF(AU343=AS343,'Parâmetros'!$A$16,'Parâmetros'!$A$14)))))</f>
        <v>N/A</v>
      </c>
      <c r="AW343" s="86" t="str">
        <f>IF(AQ343="N/A","N/A",IF(AV343='Parâmetros'!$A$15,'Parâmetros'!$C$15,(IF(AV343='Parâmetros'!$A$17,'Parâmetros'!$C$17,IF(AV343='Parâmetros'!$A$16,'Parâmetros'!$C$16,IF(AV343='Parâmetros'!$A$14,'Parâmetros'!$C$12))))))</f>
        <v>N/A</v>
      </c>
      <c r="AX343" s="82" t="b">
        <f>IF(Consultas!F343&gt;1,(IF(Consultas!F343&gt;5000,"SOLICITAR PED COMPRA","N/A")))</f>
        <v>0</v>
      </c>
      <c r="AY343" s="167" t="str">
        <f>IF(AND(Consultas!M343&lt;&gt;"S", Consultas!H343="S"), "CHECAGEM REVERSA", "N/A")</f>
        <v>N/A</v>
      </c>
      <c r="AZ343" s="167" t="str">
        <f>IF(Consultas!U343="N","PRECISA CORRIGIR END DIVERGENTE","N/A")</f>
        <v>N/A</v>
      </c>
    </row>
    <row r="344" ht="12.0" customHeight="1">
      <c r="A344" s="39" t="s">
        <v>90</v>
      </c>
      <c r="B344" s="82" t="str">
        <f>Consultas!B344</f>
        <v/>
      </c>
      <c r="C344" s="82" t="str">
        <f>Consultas!D344</f>
        <v/>
      </c>
      <c r="D344" s="96" t="str">
        <f>Consultas!E344</f>
        <v/>
      </c>
      <c r="E344" s="104" t="str">
        <f>IF(Consultas!AB344&gt;0,YEAR('Parâmetros'!$B$1)-YEAR(Consultas!AB344),"NA")</f>
        <v>NA</v>
      </c>
      <c r="F344" s="82">
        <f>IF(Consultas!F344&gt;'Parâmetros'!$B$2,-8,0)</f>
        <v>0</v>
      </c>
      <c r="G344" s="82">
        <f>IF(Consultas!H344='Parâmetros'!$E$1,100,0)</f>
        <v>0</v>
      </c>
      <c r="H344" s="82">
        <f>IF(Consultas!I344='Parâmetros'!$E$1,-4,12)</f>
        <v>12</v>
      </c>
      <c r="I344" s="82">
        <f>IF(Consultas!J344='Parâmetros'!$E$1,1,-13)</f>
        <v>-13</v>
      </c>
      <c r="J344" s="82">
        <f>IF(Consultas!K344='Parâmetros'!$E$1,2,-5)</f>
        <v>-5</v>
      </c>
      <c r="K344" s="82" t="str">
        <f>IF(Consultas!L344='Parâmetros'!$D$1,"SOLIC CONTRATO DE ENTREGA","N/A")</f>
        <v>N/A</v>
      </c>
      <c r="L344" s="82">
        <f>IF(Consultas!R344='Parâmetros'!$E$1,1,-3)</f>
        <v>-3</v>
      </c>
      <c r="M344" s="82" t="b">
        <f>IF(Consultas!S344&gt;1,(IF(Consultas!S344='Parâmetros'!$E$1,-3,9)))</f>
        <v>0</v>
      </c>
      <c r="N344" s="82">
        <f>IF(Consultas!T344="S",23,0)</f>
        <v>0</v>
      </c>
      <c r="O344" s="82">
        <f>IF(Consultas!U344='Parâmetros'!$E$1,-3,3)</f>
        <v>3</v>
      </c>
      <c r="P344" s="82">
        <f>IF(Consultas!V344='Parâmetros'!$E$1,-100,2)</f>
        <v>2</v>
      </c>
      <c r="Q344" s="82">
        <f>IF(Consultas!M344='Parâmetros'!$D$1,2,-9)</f>
        <v>-9</v>
      </c>
      <c r="R344" s="82">
        <f>IF(Consultas!N344="RJ",-12,0)</f>
        <v>0</v>
      </c>
      <c r="S344" s="82">
        <f>IF(Consultas!O344="-",-3,IF(Consultas!O344=0,-6,IF(Consultas!O344=5,0,IF(Consultas!O344=10,6))))</f>
        <v>-6</v>
      </c>
      <c r="T344" s="82">
        <f>IF(Consultas!M344="S",0,(IF(Consultas!P344="S",6,0)))</f>
        <v>0</v>
      </c>
      <c r="U344" s="82">
        <f>IF(Consultas!Q344&gt;97,9,IF(Consultas!Q344&gt;75,0,-7))</f>
        <v>-7</v>
      </c>
      <c r="V344" s="82">
        <f>IF(Consultas!W344='Parâmetros'!$E$1,1,-5)</f>
        <v>-5</v>
      </c>
      <c r="W344" s="82">
        <f>IF(Consultas!X344="S",3,-3)</f>
        <v>-3</v>
      </c>
      <c r="X344" s="82">
        <f>IF(Consultas!Y344="S",0,-7)</f>
        <v>-7</v>
      </c>
      <c r="Y344" s="82">
        <f>IF(Consultas!Z344='Parâmetros'!$E$1,2,-8)</f>
        <v>-8</v>
      </c>
      <c r="Z344" s="82">
        <f>IF(Consultas!AA344='Parâmetros'!$E$1,-15,1)</f>
        <v>1</v>
      </c>
      <c r="AA344" s="147" t="s">
        <v>140</v>
      </c>
      <c r="AB344" s="82" t="str">
        <f>IF(E344="NA","NA",IF(E344&gt;'Parâmetros'!$A$9,8,IF(E344&gt;'Parâmetros'!$A$8,4,IF(E344&gt;'Parâmetros'!$A$7,0,-6))))</f>
        <v>NA</v>
      </c>
      <c r="AC344" s="82">
        <f>IF(Consultas!AC344='Parâmetros'!$E$1,0,5)</f>
        <v>5</v>
      </c>
      <c r="AD344" s="82">
        <f>IF(Consultas!AH344='Parâmetros'!$D$1,-10,5)</f>
        <v>5</v>
      </c>
      <c r="AE344" s="82">
        <f>IF(Consultas!AI344&gt;(Consultas!F344*2),-10,0)</f>
        <v>0</v>
      </c>
      <c r="AF344" s="82" t="b">
        <f>IF(Consultas!AD344&gt;1,(IF(Consultas!AI344&gt;(Consultas!AD344),-20,4)))</f>
        <v>0</v>
      </c>
      <c r="AG344" s="82">
        <f>IF(Consultas!AG344='Parâmetros'!$E$1,0,-6)</f>
        <v>-6</v>
      </c>
      <c r="AH344" s="82">
        <f>IF(Consultas!AF344='Parâmetros'!$E$1,1,-5)</f>
        <v>-5</v>
      </c>
      <c r="AI344" s="82">
        <f>IF(Consultas!AJ344&gt;700,8,IF(Consultas!AJ344&gt;500,4,IF(Consultas!AJ344&gt;200,-4,IF(Consultas!AJ344&gt;1,-15,-20))))</f>
        <v>-20</v>
      </c>
      <c r="AJ344" s="82">
        <f>IF(Consultas!AD344='Parâmetros'!$E$10,0,IF(Consultas!AD344&gt;'Parâmetros'!$A$30,12,IF(Consultas!AD344&gt;'Parâmetros'!$A$31,6,IF(Consultas!AD344&gt;'Parâmetros'!$A$32,0,IF(Consultas!AD344&gt;'Parâmetros'!$A$33,0,IF(Consultas!AD344&gt;'Parâmetros'!$A$34,-3,IF(Consultas!AD344&gt;'Parâmetros'!$A$35,-7,-1)))))))</f>
        <v>-1</v>
      </c>
      <c r="AK344" s="82">
        <f>IF(Consultas!AO344='Parâmetros'!$D$1,3,-3)</f>
        <v>-3</v>
      </c>
      <c r="AL344" s="82">
        <f>IF(Consultas!AP344='Parâmetros'!$D$1,5,-3)</f>
        <v>-3</v>
      </c>
      <c r="AM344" s="82">
        <f>IF(Consultas!AL344="N",-6,0)</f>
        <v>0</v>
      </c>
      <c r="AN344" s="82">
        <f>IF(Consultas!AM344="N",-10,0)</f>
        <v>0</v>
      </c>
      <c r="AO344" s="82">
        <f>IF(Consultas!AN344="S",4,-2)</f>
        <v>-2</v>
      </c>
      <c r="AP344" s="39"/>
      <c r="AQ344" s="165" t="str">
        <f>IF(Consultas!F344&gt;1,(SUM(F344:AO344)),"N/A")</f>
        <v>N/A</v>
      </c>
      <c r="AR344" s="78">
        <f>IF((Consultas!AD344&gt;'Parâmetros'!$A$31),"X",AJ344+Y344+V344+AC344)</f>
        <v>-9</v>
      </c>
      <c r="AS344" s="78">
        <f>IF((Consultas!AD344&gt;'Parâmetros'!$A$31),"X",(H344+I344+J344+Q344+T344+Y344+Z344+AJ344+AN344))</f>
        <v>-23</v>
      </c>
      <c r="AT344" s="78" t="str">
        <f>IF((Consultas!AD344&lt;'Parâmetros'!$A$31),"X",(AD344+AC344+AB344))</f>
        <v>X</v>
      </c>
      <c r="AU344" s="78">
        <f t="shared" si="1"/>
        <v>-23</v>
      </c>
      <c r="AV344" s="82" t="str">
        <f>IF(AQ344="N/A","N/A",IF(AQ344&gt;5,'Parâmetros'!$A$15,(IF(AU344=AR344,'Parâmetros'!$A$17,IF(AU344=AS344,'Parâmetros'!$A$16,'Parâmetros'!$A$14)))))</f>
        <v>N/A</v>
      </c>
      <c r="AW344" s="86" t="str">
        <f>IF(AQ344="N/A","N/A",IF(AV344='Parâmetros'!$A$15,'Parâmetros'!$C$15,(IF(AV344='Parâmetros'!$A$17,'Parâmetros'!$C$17,IF(AV344='Parâmetros'!$A$16,'Parâmetros'!$C$16,IF(AV344='Parâmetros'!$A$14,'Parâmetros'!$C$12))))))</f>
        <v>N/A</v>
      </c>
      <c r="AX344" s="82" t="b">
        <f>IF(Consultas!F344&gt;1,(IF(Consultas!F344&gt;5000,"SOLICITAR PED COMPRA","N/A")))</f>
        <v>0</v>
      </c>
      <c r="AY344" s="167" t="str">
        <f>IF(AND(Consultas!M344&lt;&gt;"S", Consultas!H344="S"), "CHECAGEM REVERSA", "N/A")</f>
        <v>N/A</v>
      </c>
      <c r="AZ344" s="167" t="str">
        <f>IF(Consultas!U344="N","PRECISA CORRIGIR END DIVERGENTE","N/A")</f>
        <v>N/A</v>
      </c>
    </row>
    <row r="345" ht="12.0" customHeight="1">
      <c r="A345" s="39" t="s">
        <v>90</v>
      </c>
      <c r="B345" s="82" t="str">
        <f>Consultas!B345</f>
        <v/>
      </c>
      <c r="C345" s="82" t="str">
        <f>Consultas!D345</f>
        <v/>
      </c>
      <c r="D345" s="96" t="str">
        <f>Consultas!E345</f>
        <v/>
      </c>
      <c r="E345" s="104" t="str">
        <f>IF(Consultas!AB345&gt;0,YEAR('Parâmetros'!$B$1)-YEAR(Consultas!AB345),"NA")</f>
        <v>NA</v>
      </c>
      <c r="F345" s="82">
        <f>IF(Consultas!F345&gt;'Parâmetros'!$B$2,-8,0)</f>
        <v>0</v>
      </c>
      <c r="G345" s="82">
        <f>IF(Consultas!H345='Parâmetros'!$E$1,100,0)</f>
        <v>0</v>
      </c>
      <c r="H345" s="82">
        <f>IF(Consultas!I345='Parâmetros'!$E$1,-4,12)</f>
        <v>12</v>
      </c>
      <c r="I345" s="82">
        <f>IF(Consultas!J345='Parâmetros'!$E$1,1,-13)</f>
        <v>-13</v>
      </c>
      <c r="J345" s="82">
        <f>IF(Consultas!K345='Parâmetros'!$E$1,2,-5)</f>
        <v>-5</v>
      </c>
      <c r="K345" s="82" t="str">
        <f>IF(Consultas!L345='Parâmetros'!$D$1,"SOLIC CONTRATO DE ENTREGA","N/A")</f>
        <v>N/A</v>
      </c>
      <c r="L345" s="82">
        <f>IF(Consultas!R345='Parâmetros'!$E$1,1,-3)</f>
        <v>-3</v>
      </c>
      <c r="M345" s="82" t="b">
        <f>IF(Consultas!S345&gt;1,(IF(Consultas!S345='Parâmetros'!$E$1,-3,9)))</f>
        <v>0</v>
      </c>
      <c r="N345" s="82">
        <f>IF(Consultas!T345="S",23,0)</f>
        <v>0</v>
      </c>
      <c r="O345" s="82">
        <f>IF(Consultas!U345='Parâmetros'!$E$1,-3,3)</f>
        <v>3</v>
      </c>
      <c r="P345" s="82">
        <f>IF(Consultas!V345='Parâmetros'!$E$1,-100,2)</f>
        <v>2</v>
      </c>
      <c r="Q345" s="82">
        <f>IF(Consultas!M345='Parâmetros'!$D$1,2,-9)</f>
        <v>-9</v>
      </c>
      <c r="R345" s="82">
        <f>IF(Consultas!N345="RJ",-12,0)</f>
        <v>0</v>
      </c>
      <c r="S345" s="82">
        <f>IF(Consultas!O345="-",-3,IF(Consultas!O345=0,-6,IF(Consultas!O345=5,0,IF(Consultas!O345=10,6))))</f>
        <v>-6</v>
      </c>
      <c r="T345" s="82">
        <f>IF(Consultas!M345="S",0,(IF(Consultas!P345="S",6,0)))</f>
        <v>0</v>
      </c>
      <c r="U345" s="82">
        <f>IF(Consultas!Q345&gt;97,9,IF(Consultas!Q345&gt;75,0,-7))</f>
        <v>-7</v>
      </c>
      <c r="V345" s="82">
        <f>IF(Consultas!W345='Parâmetros'!$E$1,1,-5)</f>
        <v>-5</v>
      </c>
      <c r="W345" s="82">
        <f>IF(Consultas!X345="S",3,-3)</f>
        <v>-3</v>
      </c>
      <c r="X345" s="82">
        <f>IF(Consultas!Y345="S",0,-7)</f>
        <v>-7</v>
      </c>
      <c r="Y345" s="82">
        <f>IF(Consultas!Z345='Parâmetros'!$E$1,2,-8)</f>
        <v>-8</v>
      </c>
      <c r="Z345" s="82">
        <f>IF(Consultas!AA345='Parâmetros'!$E$1,-15,1)</f>
        <v>1</v>
      </c>
      <c r="AA345" s="147" t="s">
        <v>140</v>
      </c>
      <c r="AB345" s="82" t="str">
        <f>IF(E345="NA","NA",IF(E345&gt;'Parâmetros'!$A$9,8,IF(E345&gt;'Parâmetros'!$A$8,4,IF(E345&gt;'Parâmetros'!$A$7,0,-6))))</f>
        <v>NA</v>
      </c>
      <c r="AC345" s="82">
        <f>IF(Consultas!AC345='Parâmetros'!$E$1,0,5)</f>
        <v>5</v>
      </c>
      <c r="AD345" s="82">
        <f>IF(Consultas!AH345='Parâmetros'!$D$1,-10,5)</f>
        <v>5</v>
      </c>
      <c r="AE345" s="82">
        <f>IF(Consultas!AI345&gt;(Consultas!F345*2),-10,0)</f>
        <v>0</v>
      </c>
      <c r="AF345" s="82" t="b">
        <f>IF(Consultas!AD345&gt;1,(IF(Consultas!AI345&gt;(Consultas!AD345),-20,4)))</f>
        <v>0</v>
      </c>
      <c r="AG345" s="82">
        <f>IF(Consultas!AG345='Parâmetros'!$E$1,0,-6)</f>
        <v>-6</v>
      </c>
      <c r="AH345" s="82">
        <f>IF(Consultas!AF345='Parâmetros'!$E$1,1,-5)</f>
        <v>-5</v>
      </c>
      <c r="AI345" s="82">
        <f>IF(Consultas!AJ345&gt;700,8,IF(Consultas!AJ345&gt;500,4,IF(Consultas!AJ345&gt;200,-4,IF(Consultas!AJ345&gt;1,-15,-20))))</f>
        <v>-20</v>
      </c>
      <c r="AJ345" s="82">
        <f>IF(Consultas!AD345='Parâmetros'!$E$10,0,IF(Consultas!AD345&gt;'Parâmetros'!$A$30,12,IF(Consultas!AD345&gt;'Parâmetros'!$A$31,6,IF(Consultas!AD345&gt;'Parâmetros'!$A$32,0,IF(Consultas!AD345&gt;'Parâmetros'!$A$33,0,IF(Consultas!AD345&gt;'Parâmetros'!$A$34,-3,IF(Consultas!AD345&gt;'Parâmetros'!$A$35,-7,-1)))))))</f>
        <v>-1</v>
      </c>
      <c r="AK345" s="82">
        <f>IF(Consultas!AO345='Parâmetros'!$D$1,3,-3)</f>
        <v>-3</v>
      </c>
      <c r="AL345" s="82">
        <f>IF(Consultas!AP345='Parâmetros'!$D$1,5,-3)</f>
        <v>-3</v>
      </c>
      <c r="AM345" s="82">
        <f>IF(Consultas!AL345="N",-6,0)</f>
        <v>0</v>
      </c>
      <c r="AN345" s="82">
        <f>IF(Consultas!AM345="N",-10,0)</f>
        <v>0</v>
      </c>
      <c r="AO345" s="82">
        <f>IF(Consultas!AN345="S",4,-2)</f>
        <v>-2</v>
      </c>
      <c r="AP345" s="39"/>
      <c r="AQ345" s="165" t="str">
        <f>IF(Consultas!F345&gt;1,(SUM(F345:AO345)),"N/A")</f>
        <v>N/A</v>
      </c>
      <c r="AR345" s="78">
        <f>IF((Consultas!AD345&gt;'Parâmetros'!$A$31),"X",AJ345+Y345+V345+AC345)</f>
        <v>-9</v>
      </c>
      <c r="AS345" s="78">
        <f>IF((Consultas!AD345&gt;'Parâmetros'!$A$31),"X",(H345+I345+J345+Q345+T345+Y345+Z345+AJ345+AN345))</f>
        <v>-23</v>
      </c>
      <c r="AT345" s="78" t="str">
        <f>IF((Consultas!AD345&lt;'Parâmetros'!$A$31),"X",(AD345+AC345+AB345))</f>
        <v>X</v>
      </c>
      <c r="AU345" s="78">
        <f t="shared" si="1"/>
        <v>-23</v>
      </c>
      <c r="AV345" s="82" t="str">
        <f>IF(AQ345="N/A","N/A",IF(AQ345&gt;5,'Parâmetros'!$A$15,(IF(AU345=AR345,'Parâmetros'!$A$17,IF(AU345=AS345,'Parâmetros'!$A$16,'Parâmetros'!$A$14)))))</f>
        <v>N/A</v>
      </c>
      <c r="AW345" s="86" t="str">
        <f>IF(AQ345="N/A","N/A",IF(AV345='Parâmetros'!$A$15,'Parâmetros'!$C$15,(IF(AV345='Parâmetros'!$A$17,'Parâmetros'!$C$17,IF(AV345='Parâmetros'!$A$16,'Parâmetros'!$C$16,IF(AV345='Parâmetros'!$A$14,'Parâmetros'!$C$12))))))</f>
        <v>N/A</v>
      </c>
      <c r="AX345" s="82" t="b">
        <f>IF(Consultas!F345&gt;1,(IF(Consultas!F345&gt;5000,"SOLICITAR PED COMPRA","N/A")))</f>
        <v>0</v>
      </c>
      <c r="AY345" s="167" t="str">
        <f>IF(AND(Consultas!M345&lt;&gt;"S", Consultas!H345="S"), "CHECAGEM REVERSA", "N/A")</f>
        <v>N/A</v>
      </c>
      <c r="AZ345" s="167" t="str">
        <f>IF(Consultas!U345="N","PRECISA CORRIGIR END DIVERGENTE","N/A")</f>
        <v>N/A</v>
      </c>
    </row>
    <row r="346" ht="12.0" customHeight="1">
      <c r="A346" s="39" t="s">
        <v>90</v>
      </c>
      <c r="B346" s="82" t="str">
        <f>Consultas!B346</f>
        <v/>
      </c>
      <c r="C346" s="82" t="str">
        <f>Consultas!D346</f>
        <v/>
      </c>
      <c r="D346" s="96" t="str">
        <f>Consultas!E346</f>
        <v/>
      </c>
      <c r="E346" s="104" t="str">
        <f>IF(Consultas!AB346&gt;0,YEAR('Parâmetros'!$B$1)-YEAR(Consultas!AB346),"NA")</f>
        <v>NA</v>
      </c>
      <c r="F346" s="82">
        <f>IF(Consultas!F346&gt;'Parâmetros'!$B$2,-8,0)</f>
        <v>0</v>
      </c>
      <c r="G346" s="82">
        <f>IF(Consultas!H346='Parâmetros'!$E$1,100,0)</f>
        <v>0</v>
      </c>
      <c r="H346" s="82">
        <f>IF(Consultas!I346='Parâmetros'!$E$1,-4,12)</f>
        <v>12</v>
      </c>
      <c r="I346" s="82">
        <f>IF(Consultas!J346='Parâmetros'!$E$1,1,-13)</f>
        <v>-13</v>
      </c>
      <c r="J346" s="82">
        <f>IF(Consultas!K346='Parâmetros'!$E$1,2,-5)</f>
        <v>-5</v>
      </c>
      <c r="K346" s="82" t="str">
        <f>IF(Consultas!L346='Parâmetros'!$D$1,"SOLIC CONTRATO DE ENTREGA","N/A")</f>
        <v>N/A</v>
      </c>
      <c r="L346" s="82">
        <f>IF(Consultas!R346='Parâmetros'!$E$1,1,-3)</f>
        <v>-3</v>
      </c>
      <c r="M346" s="82" t="b">
        <f>IF(Consultas!S346&gt;1,(IF(Consultas!S346='Parâmetros'!$E$1,-3,9)))</f>
        <v>0</v>
      </c>
      <c r="N346" s="82">
        <f>IF(Consultas!T346="S",23,0)</f>
        <v>0</v>
      </c>
      <c r="O346" s="82">
        <f>IF(Consultas!U346='Parâmetros'!$E$1,-3,3)</f>
        <v>3</v>
      </c>
      <c r="P346" s="82">
        <f>IF(Consultas!V346='Parâmetros'!$E$1,-100,2)</f>
        <v>2</v>
      </c>
      <c r="Q346" s="82">
        <f>IF(Consultas!M346='Parâmetros'!$D$1,2,-9)</f>
        <v>-9</v>
      </c>
      <c r="R346" s="82">
        <f>IF(Consultas!N346="RJ",-12,0)</f>
        <v>0</v>
      </c>
      <c r="S346" s="82">
        <f>IF(Consultas!O346="-",-3,IF(Consultas!O346=0,-6,IF(Consultas!O346=5,0,IF(Consultas!O346=10,6))))</f>
        <v>-6</v>
      </c>
      <c r="T346" s="82">
        <f>IF(Consultas!M346="S",0,(IF(Consultas!P346="S",6,0)))</f>
        <v>0</v>
      </c>
      <c r="U346" s="82">
        <f>IF(Consultas!Q346&gt;97,9,IF(Consultas!Q346&gt;75,0,-7))</f>
        <v>-7</v>
      </c>
      <c r="V346" s="82">
        <f>IF(Consultas!W346='Parâmetros'!$E$1,1,-5)</f>
        <v>-5</v>
      </c>
      <c r="W346" s="82">
        <f>IF(Consultas!X346="S",3,-3)</f>
        <v>-3</v>
      </c>
      <c r="X346" s="82">
        <f>IF(Consultas!Y346="S",0,-7)</f>
        <v>-7</v>
      </c>
      <c r="Y346" s="82">
        <f>IF(Consultas!Z346='Parâmetros'!$E$1,2,-8)</f>
        <v>-8</v>
      </c>
      <c r="Z346" s="82">
        <f>IF(Consultas!AA346='Parâmetros'!$E$1,-15,1)</f>
        <v>1</v>
      </c>
      <c r="AA346" s="147" t="s">
        <v>140</v>
      </c>
      <c r="AB346" s="82" t="str">
        <f>IF(E346="NA","NA",IF(E346&gt;'Parâmetros'!$A$9,8,IF(E346&gt;'Parâmetros'!$A$8,4,IF(E346&gt;'Parâmetros'!$A$7,0,-6))))</f>
        <v>NA</v>
      </c>
      <c r="AC346" s="82">
        <f>IF(Consultas!AC346='Parâmetros'!$E$1,0,5)</f>
        <v>5</v>
      </c>
      <c r="AD346" s="82">
        <f>IF(Consultas!AH346='Parâmetros'!$D$1,-10,5)</f>
        <v>5</v>
      </c>
      <c r="AE346" s="82">
        <f>IF(Consultas!AI346&gt;(Consultas!F346*2),-10,0)</f>
        <v>0</v>
      </c>
      <c r="AF346" s="82" t="b">
        <f>IF(Consultas!AD346&gt;1,(IF(Consultas!AI346&gt;(Consultas!AD346),-20,4)))</f>
        <v>0</v>
      </c>
      <c r="AG346" s="82">
        <f>IF(Consultas!AG346='Parâmetros'!$E$1,0,-6)</f>
        <v>-6</v>
      </c>
      <c r="AH346" s="82">
        <f>IF(Consultas!AF346='Parâmetros'!$E$1,1,-5)</f>
        <v>-5</v>
      </c>
      <c r="AI346" s="82">
        <f>IF(Consultas!AJ346&gt;700,8,IF(Consultas!AJ346&gt;500,4,IF(Consultas!AJ346&gt;200,-4,IF(Consultas!AJ346&gt;1,-15,-20))))</f>
        <v>-20</v>
      </c>
      <c r="AJ346" s="82">
        <f>IF(Consultas!AD346='Parâmetros'!$E$10,0,IF(Consultas!AD346&gt;'Parâmetros'!$A$30,12,IF(Consultas!AD346&gt;'Parâmetros'!$A$31,6,IF(Consultas!AD346&gt;'Parâmetros'!$A$32,0,IF(Consultas!AD346&gt;'Parâmetros'!$A$33,0,IF(Consultas!AD346&gt;'Parâmetros'!$A$34,-3,IF(Consultas!AD346&gt;'Parâmetros'!$A$35,-7,-1)))))))</f>
        <v>-1</v>
      </c>
      <c r="AK346" s="82">
        <f>IF(Consultas!AO346='Parâmetros'!$D$1,3,-3)</f>
        <v>-3</v>
      </c>
      <c r="AL346" s="82">
        <f>IF(Consultas!AP346='Parâmetros'!$D$1,5,-3)</f>
        <v>-3</v>
      </c>
      <c r="AM346" s="82">
        <f>IF(Consultas!AL346="N",-6,0)</f>
        <v>0</v>
      </c>
      <c r="AN346" s="82">
        <f>IF(Consultas!AM346="N",-10,0)</f>
        <v>0</v>
      </c>
      <c r="AO346" s="82">
        <f>IF(Consultas!AN346="S",4,-2)</f>
        <v>-2</v>
      </c>
      <c r="AP346" s="39"/>
      <c r="AQ346" s="165" t="str">
        <f>IF(Consultas!F346&gt;1,(SUM(F346:AO346)),"N/A")</f>
        <v>N/A</v>
      </c>
      <c r="AR346" s="78">
        <f>IF((Consultas!AD346&gt;'Parâmetros'!$A$31),"X",AJ346+Y346+V346+AC346)</f>
        <v>-9</v>
      </c>
      <c r="AS346" s="78">
        <f>IF((Consultas!AD346&gt;'Parâmetros'!$A$31),"X",(H346+I346+J346+Q346+T346+Y346+Z346+AJ346+AN346))</f>
        <v>-23</v>
      </c>
      <c r="AT346" s="78" t="str">
        <f>IF((Consultas!AD346&lt;'Parâmetros'!$A$31),"X",(AD346+AC346+AB346))</f>
        <v>X</v>
      </c>
      <c r="AU346" s="78">
        <f t="shared" si="1"/>
        <v>-23</v>
      </c>
      <c r="AV346" s="82" t="str">
        <f>IF(AQ346="N/A","N/A",IF(AQ346&gt;5,'Parâmetros'!$A$15,(IF(AU346=AR346,'Parâmetros'!$A$17,IF(AU346=AS346,'Parâmetros'!$A$16,'Parâmetros'!$A$14)))))</f>
        <v>N/A</v>
      </c>
      <c r="AW346" s="86" t="str">
        <f>IF(AQ346="N/A","N/A",IF(AV346='Parâmetros'!$A$15,'Parâmetros'!$C$15,(IF(AV346='Parâmetros'!$A$17,'Parâmetros'!$C$17,IF(AV346='Parâmetros'!$A$16,'Parâmetros'!$C$16,IF(AV346='Parâmetros'!$A$14,'Parâmetros'!$C$12))))))</f>
        <v>N/A</v>
      </c>
      <c r="AX346" s="82" t="b">
        <f>IF(Consultas!F346&gt;1,(IF(Consultas!F346&gt;5000,"SOLICITAR PED COMPRA","N/A")))</f>
        <v>0</v>
      </c>
      <c r="AY346" s="167" t="str">
        <f>IF(AND(Consultas!M346&lt;&gt;"S", Consultas!H346="S"), "CHECAGEM REVERSA", "N/A")</f>
        <v>N/A</v>
      </c>
      <c r="AZ346" s="167" t="str">
        <f>IF(Consultas!U346="N","PRECISA CORRIGIR END DIVERGENTE","N/A")</f>
        <v>N/A</v>
      </c>
    </row>
    <row r="347" ht="12.0" customHeight="1">
      <c r="A347" s="39" t="s">
        <v>90</v>
      </c>
      <c r="B347" s="82" t="str">
        <f>Consultas!B347</f>
        <v/>
      </c>
      <c r="C347" s="82" t="str">
        <f>Consultas!D347</f>
        <v/>
      </c>
      <c r="D347" s="96" t="str">
        <f>Consultas!E347</f>
        <v/>
      </c>
      <c r="E347" s="104" t="str">
        <f>IF(Consultas!AB347&gt;0,YEAR('Parâmetros'!$B$1)-YEAR(Consultas!AB347),"NA")</f>
        <v>NA</v>
      </c>
      <c r="F347" s="82">
        <f>IF(Consultas!F347&gt;'Parâmetros'!$B$2,-8,0)</f>
        <v>0</v>
      </c>
      <c r="G347" s="82">
        <f>IF(Consultas!H347='Parâmetros'!$E$1,100,0)</f>
        <v>0</v>
      </c>
      <c r="H347" s="82">
        <f>IF(Consultas!I347='Parâmetros'!$E$1,-4,12)</f>
        <v>12</v>
      </c>
      <c r="I347" s="82">
        <f>IF(Consultas!J347='Parâmetros'!$E$1,1,-13)</f>
        <v>-13</v>
      </c>
      <c r="J347" s="82">
        <f>IF(Consultas!K347='Parâmetros'!$E$1,2,-5)</f>
        <v>-5</v>
      </c>
      <c r="K347" s="82" t="str">
        <f>IF(Consultas!L347='Parâmetros'!$D$1,"SOLIC CONTRATO DE ENTREGA","N/A")</f>
        <v>N/A</v>
      </c>
      <c r="L347" s="82">
        <f>IF(Consultas!R347='Parâmetros'!$E$1,1,-3)</f>
        <v>-3</v>
      </c>
      <c r="M347" s="82" t="b">
        <f>IF(Consultas!S347&gt;1,(IF(Consultas!S347='Parâmetros'!$E$1,-3,9)))</f>
        <v>0</v>
      </c>
      <c r="N347" s="82">
        <f>IF(Consultas!T347="S",23,0)</f>
        <v>0</v>
      </c>
      <c r="O347" s="82">
        <f>IF(Consultas!U347='Parâmetros'!$E$1,-3,3)</f>
        <v>3</v>
      </c>
      <c r="P347" s="82">
        <f>IF(Consultas!V347='Parâmetros'!$E$1,-100,2)</f>
        <v>2</v>
      </c>
      <c r="Q347" s="82">
        <f>IF(Consultas!M347='Parâmetros'!$D$1,2,-9)</f>
        <v>-9</v>
      </c>
      <c r="R347" s="82">
        <f>IF(Consultas!N347="RJ",-12,0)</f>
        <v>0</v>
      </c>
      <c r="S347" s="82">
        <f>IF(Consultas!O347="-",-3,IF(Consultas!O347=0,-6,IF(Consultas!O347=5,0,IF(Consultas!O347=10,6))))</f>
        <v>-6</v>
      </c>
      <c r="T347" s="82">
        <f>IF(Consultas!M347="S",0,(IF(Consultas!P347="S",6,0)))</f>
        <v>0</v>
      </c>
      <c r="U347" s="82">
        <f>IF(Consultas!Q347&gt;97,9,IF(Consultas!Q347&gt;75,0,-7))</f>
        <v>-7</v>
      </c>
      <c r="V347" s="82">
        <f>IF(Consultas!W347='Parâmetros'!$E$1,1,-5)</f>
        <v>-5</v>
      </c>
      <c r="W347" s="82">
        <f>IF(Consultas!X347="S",3,-3)</f>
        <v>-3</v>
      </c>
      <c r="X347" s="82">
        <f>IF(Consultas!Y347="S",0,-7)</f>
        <v>-7</v>
      </c>
      <c r="Y347" s="82">
        <f>IF(Consultas!Z347='Parâmetros'!$E$1,2,-8)</f>
        <v>-8</v>
      </c>
      <c r="Z347" s="82">
        <f>IF(Consultas!AA347='Parâmetros'!$E$1,-15,1)</f>
        <v>1</v>
      </c>
      <c r="AA347" s="147" t="s">
        <v>140</v>
      </c>
      <c r="AB347" s="82" t="str">
        <f>IF(E347="NA","NA",IF(E347&gt;'Parâmetros'!$A$9,8,IF(E347&gt;'Parâmetros'!$A$8,4,IF(E347&gt;'Parâmetros'!$A$7,0,-6))))</f>
        <v>NA</v>
      </c>
      <c r="AC347" s="82">
        <f>IF(Consultas!AC347='Parâmetros'!$E$1,0,5)</f>
        <v>5</v>
      </c>
      <c r="AD347" s="82">
        <f>IF(Consultas!AH347='Parâmetros'!$D$1,-10,5)</f>
        <v>5</v>
      </c>
      <c r="AE347" s="82">
        <f>IF(Consultas!AI347&gt;(Consultas!F347*2),-10,0)</f>
        <v>0</v>
      </c>
      <c r="AF347" s="82" t="b">
        <f>IF(Consultas!AD347&gt;1,(IF(Consultas!AI347&gt;(Consultas!AD347),-20,4)))</f>
        <v>0</v>
      </c>
      <c r="AG347" s="82">
        <f>IF(Consultas!AG347='Parâmetros'!$E$1,0,-6)</f>
        <v>-6</v>
      </c>
      <c r="AH347" s="82">
        <f>IF(Consultas!AF347='Parâmetros'!$E$1,1,-5)</f>
        <v>-5</v>
      </c>
      <c r="AI347" s="82">
        <f>IF(Consultas!AJ347&gt;700,8,IF(Consultas!AJ347&gt;500,4,IF(Consultas!AJ347&gt;200,-4,IF(Consultas!AJ347&gt;1,-15,-20))))</f>
        <v>-20</v>
      </c>
      <c r="AJ347" s="82">
        <f>IF(Consultas!AD347='Parâmetros'!$E$10,0,IF(Consultas!AD347&gt;'Parâmetros'!$A$30,12,IF(Consultas!AD347&gt;'Parâmetros'!$A$31,6,IF(Consultas!AD347&gt;'Parâmetros'!$A$32,0,IF(Consultas!AD347&gt;'Parâmetros'!$A$33,0,IF(Consultas!AD347&gt;'Parâmetros'!$A$34,-3,IF(Consultas!AD347&gt;'Parâmetros'!$A$35,-7,-1)))))))</f>
        <v>-1</v>
      </c>
      <c r="AK347" s="82">
        <f>IF(Consultas!AO347='Parâmetros'!$D$1,3,-3)</f>
        <v>-3</v>
      </c>
      <c r="AL347" s="82">
        <f>IF(Consultas!AP347='Parâmetros'!$D$1,5,-3)</f>
        <v>-3</v>
      </c>
      <c r="AM347" s="82">
        <f>IF(Consultas!AL347="N",-6,0)</f>
        <v>0</v>
      </c>
      <c r="AN347" s="82">
        <f>IF(Consultas!AM347="N",-10,0)</f>
        <v>0</v>
      </c>
      <c r="AO347" s="82">
        <f>IF(Consultas!AN347="S",4,-2)</f>
        <v>-2</v>
      </c>
      <c r="AP347" s="39"/>
      <c r="AQ347" s="165" t="str">
        <f>IF(Consultas!F347&gt;1,(SUM(F347:AO347)),"N/A")</f>
        <v>N/A</v>
      </c>
      <c r="AR347" s="78">
        <f>IF((Consultas!AD347&gt;'Parâmetros'!$A$31),"X",AJ347+Y347+V347+AC347)</f>
        <v>-9</v>
      </c>
      <c r="AS347" s="78">
        <f>IF((Consultas!AD347&gt;'Parâmetros'!$A$31),"X",(H347+I347+J347+Q347+T347+Y347+Z347+AJ347+AN347))</f>
        <v>-23</v>
      </c>
      <c r="AT347" s="78" t="str">
        <f>IF((Consultas!AD347&lt;'Parâmetros'!$A$31),"X",(AD347+AC347+AB347))</f>
        <v>X</v>
      </c>
      <c r="AU347" s="78">
        <f t="shared" si="1"/>
        <v>-23</v>
      </c>
      <c r="AV347" s="82" t="str">
        <f>IF(AQ347="N/A","N/A",IF(AQ347&gt;5,'Parâmetros'!$A$15,(IF(AU347=AR347,'Parâmetros'!$A$17,IF(AU347=AS347,'Parâmetros'!$A$16,'Parâmetros'!$A$14)))))</f>
        <v>N/A</v>
      </c>
      <c r="AW347" s="86" t="str">
        <f>IF(AQ347="N/A","N/A",IF(AV347='Parâmetros'!$A$15,'Parâmetros'!$C$15,(IF(AV347='Parâmetros'!$A$17,'Parâmetros'!$C$17,IF(AV347='Parâmetros'!$A$16,'Parâmetros'!$C$16,IF(AV347='Parâmetros'!$A$14,'Parâmetros'!$C$12))))))</f>
        <v>N/A</v>
      </c>
      <c r="AX347" s="82" t="b">
        <f>IF(Consultas!F347&gt;1,(IF(Consultas!F347&gt;5000,"SOLICITAR PED COMPRA","N/A")))</f>
        <v>0</v>
      </c>
      <c r="AY347" s="167" t="str">
        <f>IF(AND(Consultas!M347&lt;&gt;"S", Consultas!H347="S"), "CHECAGEM REVERSA", "N/A")</f>
        <v>N/A</v>
      </c>
      <c r="AZ347" s="167" t="str">
        <f>IF(Consultas!U347="N","PRECISA CORRIGIR END DIVERGENTE","N/A")</f>
        <v>N/A</v>
      </c>
    </row>
    <row r="348" ht="12.0" customHeight="1">
      <c r="A348" s="39" t="s">
        <v>90</v>
      </c>
      <c r="B348" s="82" t="str">
        <f>Consultas!B348</f>
        <v/>
      </c>
      <c r="C348" s="82" t="str">
        <f>Consultas!D348</f>
        <v/>
      </c>
      <c r="D348" s="96" t="str">
        <f>Consultas!E348</f>
        <v/>
      </c>
      <c r="E348" s="104" t="str">
        <f>IF(Consultas!AB348&gt;0,YEAR('Parâmetros'!$B$1)-YEAR(Consultas!AB348),"NA")</f>
        <v>NA</v>
      </c>
      <c r="F348" s="82">
        <f>IF(Consultas!F348&gt;'Parâmetros'!$B$2,-8,0)</f>
        <v>0</v>
      </c>
      <c r="G348" s="82">
        <f>IF(Consultas!H348='Parâmetros'!$E$1,100,0)</f>
        <v>0</v>
      </c>
      <c r="H348" s="82">
        <f>IF(Consultas!I348='Parâmetros'!$E$1,-4,12)</f>
        <v>12</v>
      </c>
      <c r="I348" s="82">
        <f>IF(Consultas!J348='Parâmetros'!$E$1,1,-13)</f>
        <v>-13</v>
      </c>
      <c r="J348" s="82">
        <f>IF(Consultas!K348='Parâmetros'!$E$1,2,-5)</f>
        <v>-5</v>
      </c>
      <c r="K348" s="82" t="str">
        <f>IF(Consultas!L348='Parâmetros'!$D$1,"SOLIC CONTRATO DE ENTREGA","N/A")</f>
        <v>N/A</v>
      </c>
      <c r="L348" s="82">
        <f>IF(Consultas!R348='Parâmetros'!$E$1,1,-3)</f>
        <v>-3</v>
      </c>
      <c r="M348" s="82" t="b">
        <f>IF(Consultas!S348&gt;1,(IF(Consultas!S348='Parâmetros'!$E$1,-3,9)))</f>
        <v>0</v>
      </c>
      <c r="N348" s="82">
        <f>IF(Consultas!T348="S",23,0)</f>
        <v>0</v>
      </c>
      <c r="O348" s="82">
        <f>IF(Consultas!U348='Parâmetros'!$E$1,-3,3)</f>
        <v>3</v>
      </c>
      <c r="P348" s="82">
        <f>IF(Consultas!V348='Parâmetros'!$E$1,-100,2)</f>
        <v>2</v>
      </c>
      <c r="Q348" s="82">
        <f>IF(Consultas!M348='Parâmetros'!$D$1,2,-9)</f>
        <v>-9</v>
      </c>
      <c r="R348" s="82">
        <f>IF(Consultas!N348="RJ",-12,0)</f>
        <v>0</v>
      </c>
      <c r="S348" s="82">
        <f>IF(Consultas!O348="-",-3,IF(Consultas!O348=0,-6,IF(Consultas!O348=5,0,IF(Consultas!O348=10,6))))</f>
        <v>-6</v>
      </c>
      <c r="T348" s="82">
        <f>IF(Consultas!M348="S",0,(IF(Consultas!P348="S",6,0)))</f>
        <v>0</v>
      </c>
      <c r="U348" s="82">
        <f>IF(Consultas!Q348&gt;97,9,IF(Consultas!Q348&gt;75,0,-7))</f>
        <v>-7</v>
      </c>
      <c r="V348" s="82">
        <f>IF(Consultas!W348='Parâmetros'!$E$1,1,-5)</f>
        <v>-5</v>
      </c>
      <c r="W348" s="82">
        <f>IF(Consultas!X348="S",3,-3)</f>
        <v>-3</v>
      </c>
      <c r="X348" s="82">
        <f>IF(Consultas!Y348="S",0,-7)</f>
        <v>-7</v>
      </c>
      <c r="Y348" s="82">
        <f>IF(Consultas!Z348='Parâmetros'!$E$1,2,-8)</f>
        <v>-8</v>
      </c>
      <c r="Z348" s="82">
        <f>IF(Consultas!AA348='Parâmetros'!$E$1,-15,1)</f>
        <v>1</v>
      </c>
      <c r="AA348" s="147" t="s">
        <v>140</v>
      </c>
      <c r="AB348" s="82" t="str">
        <f>IF(E348="NA","NA",IF(E348&gt;'Parâmetros'!$A$9,8,IF(E348&gt;'Parâmetros'!$A$8,4,IF(E348&gt;'Parâmetros'!$A$7,0,-6))))</f>
        <v>NA</v>
      </c>
      <c r="AC348" s="82">
        <f>IF(Consultas!AC348='Parâmetros'!$E$1,0,5)</f>
        <v>5</v>
      </c>
      <c r="AD348" s="82">
        <f>IF(Consultas!AH348='Parâmetros'!$D$1,-10,5)</f>
        <v>5</v>
      </c>
      <c r="AE348" s="82">
        <f>IF(Consultas!AI348&gt;(Consultas!F348*2),-10,0)</f>
        <v>0</v>
      </c>
      <c r="AF348" s="82" t="b">
        <f>IF(Consultas!AD348&gt;1,(IF(Consultas!AI348&gt;(Consultas!AD348),-20,4)))</f>
        <v>0</v>
      </c>
      <c r="AG348" s="82">
        <f>IF(Consultas!AG348='Parâmetros'!$E$1,0,-6)</f>
        <v>-6</v>
      </c>
      <c r="AH348" s="82">
        <f>IF(Consultas!AF348='Parâmetros'!$E$1,1,-5)</f>
        <v>-5</v>
      </c>
      <c r="AI348" s="82">
        <f>IF(Consultas!AJ348&gt;700,8,IF(Consultas!AJ348&gt;500,4,IF(Consultas!AJ348&gt;200,-4,IF(Consultas!AJ348&gt;1,-15,-20))))</f>
        <v>-20</v>
      </c>
      <c r="AJ348" s="82">
        <f>IF(Consultas!AD348='Parâmetros'!$E$10,0,IF(Consultas!AD348&gt;'Parâmetros'!$A$30,12,IF(Consultas!AD348&gt;'Parâmetros'!$A$31,6,IF(Consultas!AD348&gt;'Parâmetros'!$A$32,0,IF(Consultas!AD348&gt;'Parâmetros'!$A$33,0,IF(Consultas!AD348&gt;'Parâmetros'!$A$34,-3,IF(Consultas!AD348&gt;'Parâmetros'!$A$35,-7,-1)))))))</f>
        <v>-1</v>
      </c>
      <c r="AK348" s="82">
        <f>IF(Consultas!AO348='Parâmetros'!$D$1,3,-3)</f>
        <v>-3</v>
      </c>
      <c r="AL348" s="82">
        <f>IF(Consultas!AP348='Parâmetros'!$D$1,5,-3)</f>
        <v>-3</v>
      </c>
      <c r="AM348" s="82">
        <f>IF(Consultas!AL348="N",-6,0)</f>
        <v>0</v>
      </c>
      <c r="AN348" s="82">
        <f>IF(Consultas!AM348="N",-10,0)</f>
        <v>0</v>
      </c>
      <c r="AO348" s="82">
        <f>IF(Consultas!AN348="S",4,-2)</f>
        <v>-2</v>
      </c>
      <c r="AP348" s="39"/>
      <c r="AQ348" s="165" t="str">
        <f>IF(Consultas!F348&gt;1,(SUM(F348:AO348)),"N/A")</f>
        <v>N/A</v>
      </c>
      <c r="AR348" s="78">
        <f>IF((Consultas!AD348&gt;'Parâmetros'!$A$31),"X",AJ348+Y348+V348+AC348)</f>
        <v>-9</v>
      </c>
      <c r="AS348" s="78">
        <f>IF((Consultas!AD348&gt;'Parâmetros'!$A$31),"X",(H348+I348+J348+Q348+T348+Y348+Z348+AJ348+AN348))</f>
        <v>-23</v>
      </c>
      <c r="AT348" s="78" t="str">
        <f>IF((Consultas!AD348&lt;'Parâmetros'!$A$31),"X",(AD348+AC348+AB348))</f>
        <v>X</v>
      </c>
      <c r="AU348" s="78">
        <f t="shared" si="1"/>
        <v>-23</v>
      </c>
      <c r="AV348" s="82" t="str">
        <f>IF(AQ348="N/A","N/A",IF(AQ348&gt;5,'Parâmetros'!$A$15,(IF(AU348=AR348,'Parâmetros'!$A$17,IF(AU348=AS348,'Parâmetros'!$A$16,'Parâmetros'!$A$14)))))</f>
        <v>N/A</v>
      </c>
      <c r="AW348" s="86" t="str">
        <f>IF(AQ348="N/A","N/A",IF(AV348='Parâmetros'!$A$15,'Parâmetros'!$C$15,(IF(AV348='Parâmetros'!$A$17,'Parâmetros'!$C$17,IF(AV348='Parâmetros'!$A$16,'Parâmetros'!$C$16,IF(AV348='Parâmetros'!$A$14,'Parâmetros'!$C$12))))))</f>
        <v>N/A</v>
      </c>
      <c r="AX348" s="82" t="b">
        <f>IF(Consultas!F348&gt;1,(IF(Consultas!F348&gt;5000,"SOLICITAR PED COMPRA","N/A")))</f>
        <v>0</v>
      </c>
      <c r="AY348" s="167" t="str">
        <f>IF(AND(Consultas!M348&lt;&gt;"S", Consultas!H348="S"), "CHECAGEM REVERSA", "N/A")</f>
        <v>N/A</v>
      </c>
      <c r="AZ348" s="167" t="str">
        <f>IF(Consultas!U348="N","PRECISA CORRIGIR END DIVERGENTE","N/A")</f>
        <v>N/A</v>
      </c>
    </row>
    <row r="349" ht="12.0" customHeight="1">
      <c r="A349" s="39" t="s">
        <v>90</v>
      </c>
      <c r="B349" s="82" t="str">
        <f>Consultas!B349</f>
        <v/>
      </c>
      <c r="C349" s="82" t="str">
        <f>Consultas!D349</f>
        <v/>
      </c>
      <c r="D349" s="96" t="str">
        <f>Consultas!E349</f>
        <v/>
      </c>
      <c r="E349" s="104" t="str">
        <f>IF(Consultas!AB349&gt;0,YEAR('Parâmetros'!$B$1)-YEAR(Consultas!AB349),"NA")</f>
        <v>NA</v>
      </c>
      <c r="F349" s="82">
        <f>IF(Consultas!F349&gt;'Parâmetros'!$B$2,-8,0)</f>
        <v>0</v>
      </c>
      <c r="G349" s="82">
        <f>IF(Consultas!H349='Parâmetros'!$E$1,100,0)</f>
        <v>0</v>
      </c>
      <c r="H349" s="82">
        <f>IF(Consultas!I349='Parâmetros'!$E$1,-4,12)</f>
        <v>12</v>
      </c>
      <c r="I349" s="82">
        <f>IF(Consultas!J349='Parâmetros'!$E$1,1,-13)</f>
        <v>-13</v>
      </c>
      <c r="J349" s="82">
        <f>IF(Consultas!K349='Parâmetros'!$E$1,2,-5)</f>
        <v>-5</v>
      </c>
      <c r="K349" s="82" t="str">
        <f>IF(Consultas!L349='Parâmetros'!$D$1,"SOLIC CONTRATO DE ENTREGA","N/A")</f>
        <v>N/A</v>
      </c>
      <c r="L349" s="82">
        <f>IF(Consultas!R349='Parâmetros'!$E$1,1,-3)</f>
        <v>-3</v>
      </c>
      <c r="M349" s="82" t="b">
        <f>IF(Consultas!S349&gt;1,(IF(Consultas!S349='Parâmetros'!$E$1,-3,9)))</f>
        <v>0</v>
      </c>
      <c r="N349" s="82">
        <f>IF(Consultas!T349="S",23,0)</f>
        <v>0</v>
      </c>
      <c r="O349" s="82">
        <f>IF(Consultas!U349='Parâmetros'!$E$1,-3,3)</f>
        <v>3</v>
      </c>
      <c r="P349" s="82">
        <f>IF(Consultas!V349='Parâmetros'!$E$1,-100,2)</f>
        <v>2</v>
      </c>
      <c r="Q349" s="82">
        <f>IF(Consultas!M349='Parâmetros'!$D$1,2,-9)</f>
        <v>-9</v>
      </c>
      <c r="R349" s="82">
        <f>IF(Consultas!N349="RJ",-12,0)</f>
        <v>0</v>
      </c>
      <c r="S349" s="82">
        <f>IF(Consultas!O349="-",-3,IF(Consultas!O349=0,-6,IF(Consultas!O349=5,0,IF(Consultas!O349=10,6))))</f>
        <v>-6</v>
      </c>
      <c r="T349" s="82">
        <f>IF(Consultas!M349="S",0,(IF(Consultas!P349="S",6,0)))</f>
        <v>0</v>
      </c>
      <c r="U349" s="82">
        <f>IF(Consultas!Q349&gt;97,9,IF(Consultas!Q349&gt;75,0,-7))</f>
        <v>-7</v>
      </c>
      <c r="V349" s="82">
        <f>IF(Consultas!W349='Parâmetros'!$E$1,1,-5)</f>
        <v>-5</v>
      </c>
      <c r="W349" s="82">
        <f>IF(Consultas!X349="S",3,-3)</f>
        <v>-3</v>
      </c>
      <c r="X349" s="82">
        <f>IF(Consultas!Y349="S",0,-7)</f>
        <v>-7</v>
      </c>
      <c r="Y349" s="82">
        <f>IF(Consultas!Z349='Parâmetros'!$E$1,2,-8)</f>
        <v>-8</v>
      </c>
      <c r="Z349" s="82">
        <f>IF(Consultas!AA349='Parâmetros'!$E$1,-15,1)</f>
        <v>1</v>
      </c>
      <c r="AA349" s="147" t="s">
        <v>140</v>
      </c>
      <c r="AB349" s="82" t="str">
        <f>IF(E349="NA","NA",IF(E349&gt;'Parâmetros'!$A$9,8,IF(E349&gt;'Parâmetros'!$A$8,4,IF(E349&gt;'Parâmetros'!$A$7,0,-6))))</f>
        <v>NA</v>
      </c>
      <c r="AC349" s="82">
        <f>IF(Consultas!AC349='Parâmetros'!$E$1,0,5)</f>
        <v>5</v>
      </c>
      <c r="AD349" s="82">
        <f>IF(Consultas!AH349='Parâmetros'!$D$1,-10,5)</f>
        <v>5</v>
      </c>
      <c r="AE349" s="82">
        <f>IF(Consultas!AI349&gt;(Consultas!F349*2),-10,0)</f>
        <v>0</v>
      </c>
      <c r="AF349" s="82" t="b">
        <f>IF(Consultas!AD349&gt;1,(IF(Consultas!AI349&gt;(Consultas!AD349),-20,4)))</f>
        <v>0</v>
      </c>
      <c r="AG349" s="82">
        <f>IF(Consultas!AG349='Parâmetros'!$E$1,0,-6)</f>
        <v>-6</v>
      </c>
      <c r="AH349" s="82">
        <f>IF(Consultas!AF349='Parâmetros'!$E$1,1,-5)</f>
        <v>-5</v>
      </c>
      <c r="AI349" s="82">
        <f>IF(Consultas!AJ349&gt;700,8,IF(Consultas!AJ349&gt;500,4,IF(Consultas!AJ349&gt;200,-4,IF(Consultas!AJ349&gt;1,-15,-20))))</f>
        <v>-20</v>
      </c>
      <c r="AJ349" s="82">
        <f>IF(Consultas!AD349='Parâmetros'!$E$10,0,IF(Consultas!AD349&gt;'Parâmetros'!$A$30,12,IF(Consultas!AD349&gt;'Parâmetros'!$A$31,6,IF(Consultas!AD349&gt;'Parâmetros'!$A$32,0,IF(Consultas!AD349&gt;'Parâmetros'!$A$33,0,IF(Consultas!AD349&gt;'Parâmetros'!$A$34,-3,IF(Consultas!AD349&gt;'Parâmetros'!$A$35,-7,-1)))))))</f>
        <v>-1</v>
      </c>
      <c r="AK349" s="82">
        <f>IF(Consultas!AO349='Parâmetros'!$D$1,3,-3)</f>
        <v>-3</v>
      </c>
      <c r="AL349" s="82">
        <f>IF(Consultas!AP349='Parâmetros'!$D$1,5,-3)</f>
        <v>-3</v>
      </c>
      <c r="AM349" s="82">
        <f>IF(Consultas!AL349="N",-6,0)</f>
        <v>0</v>
      </c>
      <c r="AN349" s="82">
        <f>IF(Consultas!AM349="N",-10,0)</f>
        <v>0</v>
      </c>
      <c r="AO349" s="82">
        <f>IF(Consultas!AN349="S",4,-2)</f>
        <v>-2</v>
      </c>
      <c r="AP349" s="39"/>
      <c r="AQ349" s="165" t="str">
        <f>IF(Consultas!F349&gt;1,(SUM(F349:AO349)),"N/A")</f>
        <v>N/A</v>
      </c>
      <c r="AR349" s="78">
        <f>IF((Consultas!AD349&gt;'Parâmetros'!$A$31),"X",AJ349+Y349+V349+AC349)</f>
        <v>-9</v>
      </c>
      <c r="AS349" s="78">
        <f>IF((Consultas!AD349&gt;'Parâmetros'!$A$31),"X",(H349+I349+J349+Q349+T349+Y349+Z349+AJ349+AN349))</f>
        <v>-23</v>
      </c>
      <c r="AT349" s="78" t="str">
        <f>IF((Consultas!AD349&lt;'Parâmetros'!$A$31),"X",(AD349+AC349+AB349))</f>
        <v>X</v>
      </c>
      <c r="AU349" s="78">
        <f t="shared" si="1"/>
        <v>-23</v>
      </c>
      <c r="AV349" s="82" t="str">
        <f>IF(AQ349="N/A","N/A",IF(AQ349&gt;5,'Parâmetros'!$A$15,(IF(AU349=AR349,'Parâmetros'!$A$17,IF(AU349=AS349,'Parâmetros'!$A$16,'Parâmetros'!$A$14)))))</f>
        <v>N/A</v>
      </c>
      <c r="AW349" s="86" t="str">
        <f>IF(AQ349="N/A","N/A",IF(AV349='Parâmetros'!$A$15,'Parâmetros'!$C$15,(IF(AV349='Parâmetros'!$A$17,'Parâmetros'!$C$17,IF(AV349='Parâmetros'!$A$16,'Parâmetros'!$C$16,IF(AV349='Parâmetros'!$A$14,'Parâmetros'!$C$12))))))</f>
        <v>N/A</v>
      </c>
      <c r="AX349" s="82" t="b">
        <f>IF(Consultas!F349&gt;1,(IF(Consultas!F349&gt;5000,"SOLICITAR PED COMPRA","N/A")))</f>
        <v>0</v>
      </c>
      <c r="AY349" s="167" t="str">
        <f>IF(AND(Consultas!M349&lt;&gt;"S", Consultas!H349="S"), "CHECAGEM REVERSA", "N/A")</f>
        <v>N/A</v>
      </c>
      <c r="AZ349" s="167" t="str">
        <f>IF(Consultas!U349="N","PRECISA CORRIGIR END DIVERGENTE","N/A")</f>
        <v>N/A</v>
      </c>
    </row>
    <row r="350" ht="12.0" customHeight="1">
      <c r="A350" s="39" t="s">
        <v>90</v>
      </c>
      <c r="B350" s="82" t="str">
        <f>Consultas!B350</f>
        <v/>
      </c>
      <c r="C350" s="82" t="str">
        <f>Consultas!D350</f>
        <v/>
      </c>
      <c r="D350" s="96" t="str">
        <f>Consultas!E350</f>
        <v/>
      </c>
      <c r="E350" s="104" t="str">
        <f>IF(Consultas!AB350&gt;0,YEAR('Parâmetros'!$B$1)-YEAR(Consultas!AB350),"NA")</f>
        <v>NA</v>
      </c>
      <c r="F350" s="82">
        <f>IF(Consultas!F350&gt;'Parâmetros'!$B$2,-8,0)</f>
        <v>0</v>
      </c>
      <c r="G350" s="82">
        <f>IF(Consultas!H350='Parâmetros'!$E$1,100,0)</f>
        <v>0</v>
      </c>
      <c r="H350" s="82">
        <f>IF(Consultas!I350='Parâmetros'!$E$1,-4,12)</f>
        <v>12</v>
      </c>
      <c r="I350" s="82">
        <f>IF(Consultas!J350='Parâmetros'!$E$1,1,-13)</f>
        <v>-13</v>
      </c>
      <c r="J350" s="82">
        <f>IF(Consultas!K350='Parâmetros'!$E$1,2,-5)</f>
        <v>-5</v>
      </c>
      <c r="K350" s="82" t="str">
        <f>IF(Consultas!L350='Parâmetros'!$D$1,"SOLIC CONTRATO DE ENTREGA","N/A")</f>
        <v>N/A</v>
      </c>
      <c r="L350" s="82">
        <f>IF(Consultas!R350='Parâmetros'!$E$1,1,-3)</f>
        <v>-3</v>
      </c>
      <c r="M350" s="82" t="b">
        <f>IF(Consultas!S350&gt;1,(IF(Consultas!S350='Parâmetros'!$E$1,-3,9)))</f>
        <v>0</v>
      </c>
      <c r="N350" s="82">
        <f>IF(Consultas!T350="S",23,0)</f>
        <v>0</v>
      </c>
      <c r="O350" s="82">
        <f>IF(Consultas!U350='Parâmetros'!$E$1,-3,3)</f>
        <v>3</v>
      </c>
      <c r="P350" s="82">
        <f>IF(Consultas!V350='Parâmetros'!$E$1,-100,2)</f>
        <v>2</v>
      </c>
      <c r="Q350" s="82">
        <f>IF(Consultas!M350='Parâmetros'!$D$1,2,-9)</f>
        <v>-9</v>
      </c>
      <c r="R350" s="82">
        <f>IF(Consultas!N350="RJ",-12,0)</f>
        <v>0</v>
      </c>
      <c r="S350" s="82">
        <f>IF(Consultas!O350="-",-3,IF(Consultas!O350=0,-6,IF(Consultas!O350=5,0,IF(Consultas!O350=10,6))))</f>
        <v>-6</v>
      </c>
      <c r="T350" s="82">
        <f>IF(Consultas!M350="S",0,(IF(Consultas!P350="S",6,0)))</f>
        <v>0</v>
      </c>
      <c r="U350" s="82">
        <f>IF(Consultas!Q350&gt;97,9,IF(Consultas!Q350&gt;75,0,-7))</f>
        <v>-7</v>
      </c>
      <c r="V350" s="82">
        <f>IF(Consultas!W350='Parâmetros'!$E$1,1,-5)</f>
        <v>-5</v>
      </c>
      <c r="W350" s="82">
        <f>IF(Consultas!X350="S",3,-3)</f>
        <v>-3</v>
      </c>
      <c r="X350" s="82">
        <f>IF(Consultas!Y350="S",0,-7)</f>
        <v>-7</v>
      </c>
      <c r="Y350" s="82">
        <f>IF(Consultas!Z350='Parâmetros'!$E$1,2,-8)</f>
        <v>-8</v>
      </c>
      <c r="Z350" s="82">
        <f>IF(Consultas!AA350='Parâmetros'!$E$1,-15,1)</f>
        <v>1</v>
      </c>
      <c r="AA350" s="147" t="s">
        <v>140</v>
      </c>
      <c r="AB350" s="82" t="str">
        <f>IF(E350="NA","NA",IF(E350&gt;'Parâmetros'!$A$9,8,IF(E350&gt;'Parâmetros'!$A$8,4,IF(E350&gt;'Parâmetros'!$A$7,0,-6))))</f>
        <v>NA</v>
      </c>
      <c r="AC350" s="82">
        <f>IF(Consultas!AC350='Parâmetros'!$E$1,0,5)</f>
        <v>5</v>
      </c>
      <c r="AD350" s="82">
        <f>IF(Consultas!AH350='Parâmetros'!$D$1,-10,5)</f>
        <v>5</v>
      </c>
      <c r="AE350" s="82">
        <f>IF(Consultas!AI350&gt;(Consultas!F350*2),-10,0)</f>
        <v>0</v>
      </c>
      <c r="AF350" s="82" t="b">
        <f>IF(Consultas!AD350&gt;1,(IF(Consultas!AI350&gt;(Consultas!AD350),-20,4)))</f>
        <v>0</v>
      </c>
      <c r="AG350" s="82">
        <f>IF(Consultas!AG350='Parâmetros'!$E$1,0,-6)</f>
        <v>-6</v>
      </c>
      <c r="AH350" s="82">
        <f>IF(Consultas!AF350='Parâmetros'!$E$1,1,-5)</f>
        <v>-5</v>
      </c>
      <c r="AI350" s="82">
        <f>IF(Consultas!AJ350&gt;700,8,IF(Consultas!AJ350&gt;500,4,IF(Consultas!AJ350&gt;200,-4,IF(Consultas!AJ350&gt;1,-15,-20))))</f>
        <v>-20</v>
      </c>
      <c r="AJ350" s="82">
        <f>IF(Consultas!AD350='Parâmetros'!$E$10,0,IF(Consultas!AD350&gt;'Parâmetros'!$A$30,12,IF(Consultas!AD350&gt;'Parâmetros'!$A$31,6,IF(Consultas!AD350&gt;'Parâmetros'!$A$32,0,IF(Consultas!AD350&gt;'Parâmetros'!$A$33,0,IF(Consultas!AD350&gt;'Parâmetros'!$A$34,-3,IF(Consultas!AD350&gt;'Parâmetros'!$A$35,-7,-1)))))))</f>
        <v>-1</v>
      </c>
      <c r="AK350" s="82">
        <f>IF(Consultas!AO350='Parâmetros'!$D$1,3,-3)</f>
        <v>-3</v>
      </c>
      <c r="AL350" s="82">
        <f>IF(Consultas!AP350='Parâmetros'!$D$1,5,-3)</f>
        <v>-3</v>
      </c>
      <c r="AM350" s="82">
        <f>IF(Consultas!AL350="N",-6,0)</f>
        <v>0</v>
      </c>
      <c r="AN350" s="82">
        <f>IF(Consultas!AM350="N",-10,0)</f>
        <v>0</v>
      </c>
      <c r="AO350" s="82">
        <f>IF(Consultas!AN350="S",4,-2)</f>
        <v>-2</v>
      </c>
      <c r="AP350" s="39"/>
      <c r="AQ350" s="165" t="str">
        <f>IF(Consultas!F350&gt;1,(SUM(F350:AO350)),"N/A")</f>
        <v>N/A</v>
      </c>
      <c r="AR350" s="78">
        <f>IF((Consultas!AD350&gt;'Parâmetros'!$A$31),"X",AJ350+Y350+V350+AC350)</f>
        <v>-9</v>
      </c>
      <c r="AS350" s="78">
        <f>IF((Consultas!AD350&gt;'Parâmetros'!$A$31),"X",(H350+I350+J350+Q350+T350+Y350+Z350+AJ350+AN350))</f>
        <v>-23</v>
      </c>
      <c r="AT350" s="78" t="str">
        <f>IF((Consultas!AD350&lt;'Parâmetros'!$A$31),"X",(AD350+AC350+AB350))</f>
        <v>X</v>
      </c>
      <c r="AU350" s="78">
        <f t="shared" si="1"/>
        <v>-23</v>
      </c>
      <c r="AV350" s="82" t="str">
        <f>IF(AQ350="N/A","N/A",IF(AQ350&gt;5,'Parâmetros'!$A$15,(IF(AU350=AR350,'Parâmetros'!$A$17,IF(AU350=AS350,'Parâmetros'!$A$16,'Parâmetros'!$A$14)))))</f>
        <v>N/A</v>
      </c>
      <c r="AW350" s="86" t="str">
        <f>IF(AQ350="N/A","N/A",IF(AV350='Parâmetros'!$A$15,'Parâmetros'!$C$15,(IF(AV350='Parâmetros'!$A$17,'Parâmetros'!$C$17,IF(AV350='Parâmetros'!$A$16,'Parâmetros'!$C$16,IF(AV350='Parâmetros'!$A$14,'Parâmetros'!$C$12))))))</f>
        <v>N/A</v>
      </c>
      <c r="AX350" s="82" t="b">
        <f>IF(Consultas!F350&gt;1,(IF(Consultas!F350&gt;5000,"SOLICITAR PED COMPRA","N/A")))</f>
        <v>0</v>
      </c>
      <c r="AY350" s="167" t="str">
        <f>IF(AND(Consultas!M350&lt;&gt;"S", Consultas!H350="S"), "CHECAGEM REVERSA", "N/A")</f>
        <v>N/A</v>
      </c>
      <c r="AZ350" s="167" t="str">
        <f>IF(Consultas!U350="N","PRECISA CORRIGIR END DIVERGENTE","N/A")</f>
        <v>N/A</v>
      </c>
    </row>
    <row r="351" ht="12.0" customHeight="1">
      <c r="A351" s="39" t="s">
        <v>90</v>
      </c>
      <c r="B351" s="82" t="str">
        <f>Consultas!B351</f>
        <v/>
      </c>
      <c r="C351" s="82" t="str">
        <f>Consultas!D351</f>
        <v/>
      </c>
      <c r="D351" s="96" t="str">
        <f>Consultas!E351</f>
        <v/>
      </c>
      <c r="E351" s="104" t="str">
        <f>IF(Consultas!AB351&gt;0,YEAR('Parâmetros'!$B$1)-YEAR(Consultas!AB351),"NA")</f>
        <v>NA</v>
      </c>
      <c r="F351" s="82">
        <f>IF(Consultas!F351&gt;'Parâmetros'!$B$2,-8,0)</f>
        <v>0</v>
      </c>
      <c r="G351" s="82">
        <f>IF(Consultas!H351='Parâmetros'!$E$1,100,0)</f>
        <v>0</v>
      </c>
      <c r="H351" s="82">
        <f>IF(Consultas!I351='Parâmetros'!$E$1,-4,12)</f>
        <v>12</v>
      </c>
      <c r="I351" s="82">
        <f>IF(Consultas!J351='Parâmetros'!$E$1,1,-13)</f>
        <v>-13</v>
      </c>
      <c r="J351" s="82">
        <f>IF(Consultas!K351='Parâmetros'!$E$1,2,-5)</f>
        <v>-5</v>
      </c>
      <c r="K351" s="82" t="str">
        <f>IF(Consultas!L351='Parâmetros'!$D$1,"SOLIC CONTRATO DE ENTREGA","N/A")</f>
        <v>N/A</v>
      </c>
      <c r="L351" s="82">
        <f>IF(Consultas!R351='Parâmetros'!$E$1,1,-3)</f>
        <v>-3</v>
      </c>
      <c r="M351" s="82" t="b">
        <f>IF(Consultas!S351&gt;1,(IF(Consultas!S351='Parâmetros'!$E$1,-3,9)))</f>
        <v>0</v>
      </c>
      <c r="N351" s="82">
        <f>IF(Consultas!T351="S",23,0)</f>
        <v>0</v>
      </c>
      <c r="O351" s="82">
        <f>IF(Consultas!U351='Parâmetros'!$E$1,-3,3)</f>
        <v>3</v>
      </c>
      <c r="P351" s="82">
        <f>IF(Consultas!V351='Parâmetros'!$E$1,-100,2)</f>
        <v>2</v>
      </c>
      <c r="Q351" s="82">
        <f>IF(Consultas!M351='Parâmetros'!$D$1,2,-9)</f>
        <v>-9</v>
      </c>
      <c r="R351" s="82">
        <f>IF(Consultas!N351="RJ",-12,0)</f>
        <v>0</v>
      </c>
      <c r="S351" s="82">
        <f>IF(Consultas!O351="-",-3,IF(Consultas!O351=0,-6,IF(Consultas!O351=5,0,IF(Consultas!O351=10,6))))</f>
        <v>-6</v>
      </c>
      <c r="T351" s="82">
        <f>IF(Consultas!M351="S",0,(IF(Consultas!P351="S",6,0)))</f>
        <v>0</v>
      </c>
      <c r="U351" s="82">
        <f>IF(Consultas!Q351&gt;97,9,IF(Consultas!Q351&gt;75,0,-7))</f>
        <v>-7</v>
      </c>
      <c r="V351" s="82">
        <f>IF(Consultas!W351='Parâmetros'!$E$1,1,-5)</f>
        <v>-5</v>
      </c>
      <c r="W351" s="82">
        <f>IF(Consultas!X351="S",3,-3)</f>
        <v>-3</v>
      </c>
      <c r="X351" s="82">
        <f>IF(Consultas!Y351="S",0,-7)</f>
        <v>-7</v>
      </c>
      <c r="Y351" s="82">
        <f>IF(Consultas!Z351='Parâmetros'!$E$1,2,-8)</f>
        <v>-8</v>
      </c>
      <c r="Z351" s="82">
        <f>IF(Consultas!AA351='Parâmetros'!$E$1,-15,1)</f>
        <v>1</v>
      </c>
      <c r="AA351" s="147" t="s">
        <v>140</v>
      </c>
      <c r="AB351" s="82" t="str">
        <f>IF(E351="NA","NA",IF(E351&gt;'Parâmetros'!$A$9,8,IF(E351&gt;'Parâmetros'!$A$8,4,IF(E351&gt;'Parâmetros'!$A$7,0,-6))))</f>
        <v>NA</v>
      </c>
      <c r="AC351" s="82">
        <f>IF(Consultas!AC351='Parâmetros'!$E$1,0,5)</f>
        <v>5</v>
      </c>
      <c r="AD351" s="82">
        <f>IF(Consultas!AH351='Parâmetros'!$D$1,-10,5)</f>
        <v>5</v>
      </c>
      <c r="AE351" s="82">
        <f>IF(Consultas!AI351&gt;(Consultas!F351*2),-10,0)</f>
        <v>0</v>
      </c>
      <c r="AF351" s="82" t="b">
        <f>IF(Consultas!AD351&gt;1,(IF(Consultas!AI351&gt;(Consultas!AD351),-20,4)))</f>
        <v>0</v>
      </c>
      <c r="AG351" s="82">
        <f>IF(Consultas!AG351='Parâmetros'!$E$1,0,-6)</f>
        <v>-6</v>
      </c>
      <c r="AH351" s="82">
        <f>IF(Consultas!AF351='Parâmetros'!$E$1,1,-5)</f>
        <v>-5</v>
      </c>
      <c r="AI351" s="82">
        <f>IF(Consultas!AJ351&gt;700,8,IF(Consultas!AJ351&gt;500,4,IF(Consultas!AJ351&gt;200,-4,IF(Consultas!AJ351&gt;1,-15,-20))))</f>
        <v>-20</v>
      </c>
      <c r="AJ351" s="82">
        <f>IF(Consultas!AD351='Parâmetros'!$E$10,0,IF(Consultas!AD351&gt;'Parâmetros'!$A$30,12,IF(Consultas!AD351&gt;'Parâmetros'!$A$31,6,IF(Consultas!AD351&gt;'Parâmetros'!$A$32,0,IF(Consultas!AD351&gt;'Parâmetros'!$A$33,0,IF(Consultas!AD351&gt;'Parâmetros'!$A$34,-3,IF(Consultas!AD351&gt;'Parâmetros'!$A$35,-7,-1)))))))</f>
        <v>-1</v>
      </c>
      <c r="AK351" s="82">
        <f>IF(Consultas!AO351='Parâmetros'!$D$1,3,-3)</f>
        <v>-3</v>
      </c>
      <c r="AL351" s="82">
        <f>IF(Consultas!AP351='Parâmetros'!$D$1,5,-3)</f>
        <v>-3</v>
      </c>
      <c r="AM351" s="82">
        <f>IF(Consultas!AL351="N",-6,0)</f>
        <v>0</v>
      </c>
      <c r="AN351" s="82">
        <f>IF(Consultas!AM351="N",-10,0)</f>
        <v>0</v>
      </c>
      <c r="AO351" s="82">
        <f>IF(Consultas!AN351="S",4,-2)</f>
        <v>-2</v>
      </c>
      <c r="AP351" s="39"/>
      <c r="AQ351" s="165" t="str">
        <f>IF(Consultas!F351&gt;1,(SUM(F351:AO351)),"N/A")</f>
        <v>N/A</v>
      </c>
      <c r="AR351" s="78">
        <f>IF((Consultas!AD351&gt;'Parâmetros'!$A$31),"X",AJ351+Y351+V351+AC351)</f>
        <v>-9</v>
      </c>
      <c r="AS351" s="78">
        <f>IF((Consultas!AD351&gt;'Parâmetros'!$A$31),"X",(H351+I351+J351+Q351+T351+Y351+Z351+AJ351+AN351))</f>
        <v>-23</v>
      </c>
      <c r="AT351" s="78" t="str">
        <f>IF((Consultas!AD351&lt;'Parâmetros'!$A$31),"X",(AD351+AC351+AB351))</f>
        <v>X</v>
      </c>
      <c r="AU351" s="78">
        <f t="shared" si="1"/>
        <v>-23</v>
      </c>
      <c r="AV351" s="82" t="str">
        <f>IF(AQ351="N/A","N/A",IF(AQ351&gt;5,'Parâmetros'!$A$15,(IF(AU351=AR351,'Parâmetros'!$A$17,IF(AU351=AS351,'Parâmetros'!$A$16,'Parâmetros'!$A$14)))))</f>
        <v>N/A</v>
      </c>
      <c r="AW351" s="86" t="str">
        <f>IF(AQ351="N/A","N/A",IF(AV351='Parâmetros'!$A$15,'Parâmetros'!$C$15,(IF(AV351='Parâmetros'!$A$17,'Parâmetros'!$C$17,IF(AV351='Parâmetros'!$A$16,'Parâmetros'!$C$16,IF(AV351='Parâmetros'!$A$14,'Parâmetros'!$C$12))))))</f>
        <v>N/A</v>
      </c>
      <c r="AX351" s="82" t="b">
        <f>IF(Consultas!F351&gt;1,(IF(Consultas!F351&gt;5000,"SOLICITAR PED COMPRA","N/A")))</f>
        <v>0</v>
      </c>
      <c r="AY351" s="167" t="str">
        <f>IF(AND(Consultas!M351&lt;&gt;"S", Consultas!H351="S"), "CHECAGEM REVERSA", "N/A")</f>
        <v>N/A</v>
      </c>
      <c r="AZ351" s="167" t="str">
        <f>IF(Consultas!U351="N","PRECISA CORRIGIR END DIVERGENTE","N/A")</f>
        <v>N/A</v>
      </c>
    </row>
    <row r="352" ht="12.0" customHeight="1">
      <c r="A352" s="39" t="s">
        <v>90</v>
      </c>
      <c r="B352" s="82" t="str">
        <f>Consultas!B352</f>
        <v/>
      </c>
      <c r="C352" s="82" t="str">
        <f>Consultas!D352</f>
        <v/>
      </c>
      <c r="D352" s="96" t="str">
        <f>Consultas!E352</f>
        <v/>
      </c>
      <c r="E352" s="104" t="str">
        <f>IF(Consultas!AB352&gt;0,YEAR('Parâmetros'!$B$1)-YEAR(Consultas!AB352),"NA")</f>
        <v>NA</v>
      </c>
      <c r="F352" s="82">
        <f>IF(Consultas!F352&gt;'Parâmetros'!$B$2,-8,0)</f>
        <v>0</v>
      </c>
      <c r="G352" s="82">
        <f>IF(Consultas!H352='Parâmetros'!$E$1,100,0)</f>
        <v>0</v>
      </c>
      <c r="H352" s="82">
        <f>IF(Consultas!I352='Parâmetros'!$E$1,-4,12)</f>
        <v>12</v>
      </c>
      <c r="I352" s="82">
        <f>IF(Consultas!J352='Parâmetros'!$E$1,1,-13)</f>
        <v>-13</v>
      </c>
      <c r="J352" s="82">
        <f>IF(Consultas!K352='Parâmetros'!$E$1,2,-5)</f>
        <v>-5</v>
      </c>
      <c r="K352" s="82" t="str">
        <f>IF(Consultas!L352='Parâmetros'!$D$1,"SOLIC CONTRATO DE ENTREGA","N/A")</f>
        <v>N/A</v>
      </c>
      <c r="L352" s="82">
        <f>IF(Consultas!R352='Parâmetros'!$E$1,1,-3)</f>
        <v>-3</v>
      </c>
      <c r="M352" s="82" t="b">
        <f>IF(Consultas!S352&gt;1,(IF(Consultas!S352='Parâmetros'!$E$1,-3,9)))</f>
        <v>0</v>
      </c>
      <c r="N352" s="82">
        <f>IF(Consultas!T352="S",23,0)</f>
        <v>0</v>
      </c>
      <c r="O352" s="82">
        <f>IF(Consultas!U352='Parâmetros'!$E$1,-3,3)</f>
        <v>3</v>
      </c>
      <c r="P352" s="82">
        <f>IF(Consultas!V352='Parâmetros'!$E$1,-100,2)</f>
        <v>2</v>
      </c>
      <c r="Q352" s="82">
        <f>IF(Consultas!M352='Parâmetros'!$D$1,2,-9)</f>
        <v>-9</v>
      </c>
      <c r="R352" s="82">
        <f>IF(Consultas!N352="RJ",-12,0)</f>
        <v>0</v>
      </c>
      <c r="S352" s="82">
        <f>IF(Consultas!O352="-",-3,IF(Consultas!O352=0,-6,IF(Consultas!O352=5,0,IF(Consultas!O352=10,6))))</f>
        <v>-6</v>
      </c>
      <c r="T352" s="82">
        <f>IF(Consultas!M352="S",0,(IF(Consultas!P352="S",6,0)))</f>
        <v>0</v>
      </c>
      <c r="U352" s="82">
        <f>IF(Consultas!Q352&gt;97,9,IF(Consultas!Q352&gt;75,0,-7))</f>
        <v>-7</v>
      </c>
      <c r="V352" s="82">
        <f>IF(Consultas!W352='Parâmetros'!$E$1,1,-5)</f>
        <v>-5</v>
      </c>
      <c r="W352" s="82">
        <f>IF(Consultas!X352="S",3,-3)</f>
        <v>-3</v>
      </c>
      <c r="X352" s="82">
        <f>IF(Consultas!Y352="S",0,-7)</f>
        <v>-7</v>
      </c>
      <c r="Y352" s="82">
        <f>IF(Consultas!Z352='Parâmetros'!$E$1,2,-8)</f>
        <v>-8</v>
      </c>
      <c r="Z352" s="82">
        <f>IF(Consultas!AA352='Parâmetros'!$E$1,-15,1)</f>
        <v>1</v>
      </c>
      <c r="AA352" s="147" t="s">
        <v>140</v>
      </c>
      <c r="AB352" s="82" t="str">
        <f>IF(E352="NA","NA",IF(E352&gt;'Parâmetros'!$A$9,8,IF(E352&gt;'Parâmetros'!$A$8,4,IF(E352&gt;'Parâmetros'!$A$7,0,-6))))</f>
        <v>NA</v>
      </c>
      <c r="AC352" s="82">
        <f>IF(Consultas!AC352='Parâmetros'!$E$1,0,5)</f>
        <v>5</v>
      </c>
      <c r="AD352" s="82">
        <f>IF(Consultas!AH352='Parâmetros'!$D$1,-10,5)</f>
        <v>5</v>
      </c>
      <c r="AE352" s="82">
        <f>IF(Consultas!AI352&gt;(Consultas!F352*2),-10,0)</f>
        <v>0</v>
      </c>
      <c r="AF352" s="82" t="b">
        <f>IF(Consultas!AD352&gt;1,(IF(Consultas!AI352&gt;(Consultas!AD352),-20,4)))</f>
        <v>0</v>
      </c>
      <c r="AG352" s="82">
        <f>IF(Consultas!AG352='Parâmetros'!$E$1,0,-6)</f>
        <v>-6</v>
      </c>
      <c r="AH352" s="82">
        <f>IF(Consultas!AF352='Parâmetros'!$E$1,1,-5)</f>
        <v>-5</v>
      </c>
      <c r="AI352" s="82">
        <f>IF(Consultas!AJ352&gt;700,8,IF(Consultas!AJ352&gt;500,4,IF(Consultas!AJ352&gt;200,-4,IF(Consultas!AJ352&gt;1,-15,-20))))</f>
        <v>-20</v>
      </c>
      <c r="AJ352" s="82">
        <f>IF(Consultas!AD352='Parâmetros'!$E$10,0,IF(Consultas!AD352&gt;'Parâmetros'!$A$30,12,IF(Consultas!AD352&gt;'Parâmetros'!$A$31,6,IF(Consultas!AD352&gt;'Parâmetros'!$A$32,0,IF(Consultas!AD352&gt;'Parâmetros'!$A$33,0,IF(Consultas!AD352&gt;'Parâmetros'!$A$34,-3,IF(Consultas!AD352&gt;'Parâmetros'!$A$35,-7,-1)))))))</f>
        <v>-1</v>
      </c>
      <c r="AK352" s="82">
        <f>IF(Consultas!AO352='Parâmetros'!$D$1,3,-3)</f>
        <v>-3</v>
      </c>
      <c r="AL352" s="82">
        <f>IF(Consultas!AP352='Parâmetros'!$D$1,5,-3)</f>
        <v>-3</v>
      </c>
      <c r="AM352" s="82">
        <f>IF(Consultas!AL352="N",-6,0)</f>
        <v>0</v>
      </c>
      <c r="AN352" s="82">
        <f>IF(Consultas!AM352="N",-10,0)</f>
        <v>0</v>
      </c>
      <c r="AO352" s="82">
        <f>IF(Consultas!AN352="S",4,-2)</f>
        <v>-2</v>
      </c>
      <c r="AP352" s="39"/>
      <c r="AQ352" s="165" t="str">
        <f>IF(Consultas!F352&gt;1,(SUM(F352:AO352)),"N/A")</f>
        <v>N/A</v>
      </c>
      <c r="AR352" s="78">
        <f>IF((Consultas!AD352&gt;'Parâmetros'!$A$31),"X",AJ352+Y352+V352+AC352)</f>
        <v>-9</v>
      </c>
      <c r="AS352" s="78">
        <f>IF((Consultas!AD352&gt;'Parâmetros'!$A$31),"X",(H352+I352+J352+Q352+T352+Y352+Z352+AJ352+AN352))</f>
        <v>-23</v>
      </c>
      <c r="AT352" s="78" t="str">
        <f>IF((Consultas!AD352&lt;'Parâmetros'!$A$31),"X",(AD352+AC352+AB352))</f>
        <v>X</v>
      </c>
      <c r="AU352" s="78">
        <f t="shared" si="1"/>
        <v>-23</v>
      </c>
      <c r="AV352" s="82" t="str">
        <f>IF(AQ352="N/A","N/A",IF(AQ352&gt;5,'Parâmetros'!$A$15,(IF(AU352=AR352,'Parâmetros'!$A$17,IF(AU352=AS352,'Parâmetros'!$A$16,'Parâmetros'!$A$14)))))</f>
        <v>N/A</v>
      </c>
      <c r="AW352" s="86" t="str">
        <f>IF(AQ352="N/A","N/A",IF(AV352='Parâmetros'!$A$15,'Parâmetros'!$C$15,(IF(AV352='Parâmetros'!$A$17,'Parâmetros'!$C$17,IF(AV352='Parâmetros'!$A$16,'Parâmetros'!$C$16,IF(AV352='Parâmetros'!$A$14,'Parâmetros'!$C$12))))))</f>
        <v>N/A</v>
      </c>
      <c r="AX352" s="82" t="b">
        <f>IF(Consultas!F352&gt;1,(IF(Consultas!F352&gt;5000,"SOLICITAR PED COMPRA","N/A")))</f>
        <v>0</v>
      </c>
      <c r="AY352" s="167" t="str">
        <f>IF(AND(Consultas!M352&lt;&gt;"S", Consultas!H352="S"), "CHECAGEM REVERSA", "N/A")</f>
        <v>N/A</v>
      </c>
      <c r="AZ352" s="167" t="str">
        <f>IF(Consultas!U352="N","PRECISA CORRIGIR END DIVERGENTE","N/A")</f>
        <v>N/A</v>
      </c>
    </row>
    <row r="353" ht="12.0" customHeight="1">
      <c r="A353" s="39" t="s">
        <v>90</v>
      </c>
      <c r="B353" s="82" t="str">
        <f>Consultas!B353</f>
        <v/>
      </c>
      <c r="C353" s="82" t="str">
        <f>Consultas!D353</f>
        <v/>
      </c>
      <c r="D353" s="96" t="str">
        <f>Consultas!E353</f>
        <v/>
      </c>
      <c r="E353" s="104" t="str">
        <f>IF(Consultas!AB353&gt;0,YEAR('Parâmetros'!$B$1)-YEAR(Consultas!AB353),"NA")</f>
        <v>NA</v>
      </c>
      <c r="F353" s="82">
        <f>IF(Consultas!F353&gt;'Parâmetros'!$B$2,-8,0)</f>
        <v>0</v>
      </c>
      <c r="G353" s="82">
        <f>IF(Consultas!H353='Parâmetros'!$E$1,100,0)</f>
        <v>0</v>
      </c>
      <c r="H353" s="82">
        <f>IF(Consultas!I353='Parâmetros'!$E$1,-4,12)</f>
        <v>12</v>
      </c>
      <c r="I353" s="82">
        <f>IF(Consultas!J353='Parâmetros'!$E$1,1,-13)</f>
        <v>-13</v>
      </c>
      <c r="J353" s="82">
        <f>IF(Consultas!K353='Parâmetros'!$E$1,2,-5)</f>
        <v>-5</v>
      </c>
      <c r="K353" s="82" t="str">
        <f>IF(Consultas!L353='Parâmetros'!$D$1,"SOLIC CONTRATO DE ENTREGA","N/A")</f>
        <v>N/A</v>
      </c>
      <c r="L353" s="82">
        <f>IF(Consultas!R353='Parâmetros'!$E$1,1,-3)</f>
        <v>-3</v>
      </c>
      <c r="M353" s="82" t="b">
        <f>IF(Consultas!S353&gt;1,(IF(Consultas!S353='Parâmetros'!$E$1,-3,9)))</f>
        <v>0</v>
      </c>
      <c r="N353" s="82">
        <f>IF(Consultas!T353="S",23,0)</f>
        <v>0</v>
      </c>
      <c r="O353" s="82">
        <f>IF(Consultas!U353='Parâmetros'!$E$1,-3,3)</f>
        <v>3</v>
      </c>
      <c r="P353" s="82">
        <f>IF(Consultas!V353='Parâmetros'!$E$1,-100,2)</f>
        <v>2</v>
      </c>
      <c r="Q353" s="82">
        <f>IF(Consultas!M353='Parâmetros'!$D$1,2,-9)</f>
        <v>-9</v>
      </c>
      <c r="R353" s="82">
        <f>IF(Consultas!N353="RJ",-12,0)</f>
        <v>0</v>
      </c>
      <c r="S353" s="82">
        <f>IF(Consultas!O353="-",-3,IF(Consultas!O353=0,-6,IF(Consultas!O353=5,0,IF(Consultas!O353=10,6))))</f>
        <v>-6</v>
      </c>
      <c r="T353" s="82">
        <f>IF(Consultas!M353="S",0,(IF(Consultas!P353="S",6,0)))</f>
        <v>0</v>
      </c>
      <c r="U353" s="82">
        <f>IF(Consultas!Q353&gt;97,9,IF(Consultas!Q353&gt;75,0,-7))</f>
        <v>-7</v>
      </c>
      <c r="V353" s="82">
        <f>IF(Consultas!W353='Parâmetros'!$E$1,1,-5)</f>
        <v>-5</v>
      </c>
      <c r="W353" s="82">
        <f>IF(Consultas!X353="S",3,-3)</f>
        <v>-3</v>
      </c>
      <c r="X353" s="82">
        <f>IF(Consultas!Y353="S",0,-7)</f>
        <v>-7</v>
      </c>
      <c r="Y353" s="82">
        <f>IF(Consultas!Z353='Parâmetros'!$E$1,2,-8)</f>
        <v>-8</v>
      </c>
      <c r="Z353" s="82">
        <f>IF(Consultas!AA353='Parâmetros'!$E$1,-15,1)</f>
        <v>1</v>
      </c>
      <c r="AA353" s="147" t="s">
        <v>140</v>
      </c>
      <c r="AB353" s="82" t="str">
        <f>IF(E353="NA","NA",IF(E353&gt;'Parâmetros'!$A$9,8,IF(E353&gt;'Parâmetros'!$A$8,4,IF(E353&gt;'Parâmetros'!$A$7,0,-6))))</f>
        <v>NA</v>
      </c>
      <c r="AC353" s="82">
        <f>IF(Consultas!AC353='Parâmetros'!$E$1,0,5)</f>
        <v>5</v>
      </c>
      <c r="AD353" s="82">
        <f>IF(Consultas!AH353='Parâmetros'!$D$1,-10,5)</f>
        <v>5</v>
      </c>
      <c r="AE353" s="82">
        <f>IF(Consultas!AI353&gt;(Consultas!F353*2),-10,0)</f>
        <v>0</v>
      </c>
      <c r="AF353" s="82" t="b">
        <f>IF(Consultas!AD353&gt;1,(IF(Consultas!AI353&gt;(Consultas!AD353),-20,4)))</f>
        <v>0</v>
      </c>
      <c r="AG353" s="82">
        <f>IF(Consultas!AG353='Parâmetros'!$E$1,0,-6)</f>
        <v>-6</v>
      </c>
      <c r="AH353" s="82">
        <f>IF(Consultas!AF353='Parâmetros'!$E$1,1,-5)</f>
        <v>-5</v>
      </c>
      <c r="AI353" s="82">
        <f>IF(Consultas!AJ353&gt;700,8,IF(Consultas!AJ353&gt;500,4,IF(Consultas!AJ353&gt;200,-4,IF(Consultas!AJ353&gt;1,-15,-20))))</f>
        <v>-20</v>
      </c>
      <c r="AJ353" s="82">
        <f>IF(Consultas!AD353='Parâmetros'!$E$10,0,IF(Consultas!AD353&gt;'Parâmetros'!$A$30,12,IF(Consultas!AD353&gt;'Parâmetros'!$A$31,6,IF(Consultas!AD353&gt;'Parâmetros'!$A$32,0,IF(Consultas!AD353&gt;'Parâmetros'!$A$33,0,IF(Consultas!AD353&gt;'Parâmetros'!$A$34,-3,IF(Consultas!AD353&gt;'Parâmetros'!$A$35,-7,-1)))))))</f>
        <v>-1</v>
      </c>
      <c r="AK353" s="82">
        <f>IF(Consultas!AO353='Parâmetros'!$D$1,3,-3)</f>
        <v>-3</v>
      </c>
      <c r="AL353" s="82">
        <f>IF(Consultas!AP353='Parâmetros'!$D$1,5,-3)</f>
        <v>-3</v>
      </c>
      <c r="AM353" s="82">
        <f>IF(Consultas!AL353="N",-6,0)</f>
        <v>0</v>
      </c>
      <c r="AN353" s="82">
        <f>IF(Consultas!AM353="N",-10,0)</f>
        <v>0</v>
      </c>
      <c r="AO353" s="82">
        <f>IF(Consultas!AN353="S",4,-2)</f>
        <v>-2</v>
      </c>
      <c r="AP353" s="39"/>
      <c r="AQ353" s="165" t="str">
        <f>IF(Consultas!F353&gt;1,(SUM(F353:AO353)),"N/A")</f>
        <v>N/A</v>
      </c>
      <c r="AR353" s="78">
        <f>IF((Consultas!AD353&gt;'Parâmetros'!$A$31),"X",AJ353+Y353+V353+AC353)</f>
        <v>-9</v>
      </c>
      <c r="AS353" s="78">
        <f>IF((Consultas!AD353&gt;'Parâmetros'!$A$31),"X",(H353+I353+J353+Q353+T353+Y353+Z353+AJ353+AN353))</f>
        <v>-23</v>
      </c>
      <c r="AT353" s="78" t="str">
        <f>IF((Consultas!AD353&lt;'Parâmetros'!$A$31),"X",(AD353+AC353+AB353))</f>
        <v>X</v>
      </c>
      <c r="AU353" s="78">
        <f t="shared" si="1"/>
        <v>-23</v>
      </c>
      <c r="AV353" s="82" t="str">
        <f>IF(AQ353="N/A","N/A",IF(AQ353&gt;5,'Parâmetros'!$A$15,(IF(AU353=AR353,'Parâmetros'!$A$17,IF(AU353=AS353,'Parâmetros'!$A$16,'Parâmetros'!$A$14)))))</f>
        <v>N/A</v>
      </c>
      <c r="AW353" s="86" t="str">
        <f>IF(AQ353="N/A","N/A",IF(AV353='Parâmetros'!$A$15,'Parâmetros'!$C$15,(IF(AV353='Parâmetros'!$A$17,'Parâmetros'!$C$17,IF(AV353='Parâmetros'!$A$16,'Parâmetros'!$C$16,IF(AV353='Parâmetros'!$A$14,'Parâmetros'!$C$12))))))</f>
        <v>N/A</v>
      </c>
      <c r="AX353" s="82" t="b">
        <f>IF(Consultas!F353&gt;1,(IF(Consultas!F353&gt;5000,"SOLICITAR PED COMPRA","N/A")))</f>
        <v>0</v>
      </c>
      <c r="AY353" s="167" t="str">
        <f>IF(AND(Consultas!M353&lt;&gt;"S", Consultas!H353="S"), "CHECAGEM REVERSA", "N/A")</f>
        <v>N/A</v>
      </c>
      <c r="AZ353" s="167" t="str">
        <f>IF(Consultas!U353="N","PRECISA CORRIGIR END DIVERGENTE","N/A")</f>
        <v>N/A</v>
      </c>
    </row>
    <row r="354" ht="12.0" customHeight="1">
      <c r="A354" s="39" t="s">
        <v>90</v>
      </c>
      <c r="B354" s="82" t="str">
        <f>Consultas!B354</f>
        <v/>
      </c>
      <c r="C354" s="82" t="str">
        <f>Consultas!D354</f>
        <v/>
      </c>
      <c r="D354" s="96" t="str">
        <f>Consultas!E354</f>
        <v/>
      </c>
      <c r="E354" s="104" t="str">
        <f>IF(Consultas!AB354&gt;0,YEAR('Parâmetros'!$B$1)-YEAR(Consultas!AB354),"NA")</f>
        <v>NA</v>
      </c>
      <c r="F354" s="82">
        <f>IF(Consultas!F354&gt;'Parâmetros'!$B$2,-8,0)</f>
        <v>0</v>
      </c>
      <c r="G354" s="82">
        <f>IF(Consultas!H354='Parâmetros'!$E$1,100,0)</f>
        <v>0</v>
      </c>
      <c r="H354" s="82">
        <f>IF(Consultas!I354='Parâmetros'!$E$1,-4,12)</f>
        <v>12</v>
      </c>
      <c r="I354" s="82">
        <f>IF(Consultas!J354='Parâmetros'!$E$1,1,-13)</f>
        <v>-13</v>
      </c>
      <c r="J354" s="82">
        <f>IF(Consultas!K354='Parâmetros'!$E$1,2,-5)</f>
        <v>-5</v>
      </c>
      <c r="K354" s="82" t="str">
        <f>IF(Consultas!L354='Parâmetros'!$D$1,"SOLIC CONTRATO DE ENTREGA","N/A")</f>
        <v>N/A</v>
      </c>
      <c r="L354" s="82">
        <f>IF(Consultas!R354='Parâmetros'!$E$1,1,-3)</f>
        <v>-3</v>
      </c>
      <c r="M354" s="82" t="b">
        <f>IF(Consultas!S354&gt;1,(IF(Consultas!S354='Parâmetros'!$E$1,-3,9)))</f>
        <v>0</v>
      </c>
      <c r="N354" s="82">
        <f>IF(Consultas!T354="S",23,0)</f>
        <v>0</v>
      </c>
      <c r="O354" s="82">
        <f>IF(Consultas!U354='Parâmetros'!$E$1,-3,3)</f>
        <v>3</v>
      </c>
      <c r="P354" s="82">
        <f>IF(Consultas!V354='Parâmetros'!$E$1,-100,2)</f>
        <v>2</v>
      </c>
      <c r="Q354" s="82">
        <f>IF(Consultas!M354='Parâmetros'!$D$1,2,-9)</f>
        <v>-9</v>
      </c>
      <c r="R354" s="82">
        <f>IF(Consultas!N354="RJ",-12,0)</f>
        <v>0</v>
      </c>
      <c r="S354" s="82">
        <f>IF(Consultas!O354="-",-3,IF(Consultas!O354=0,-6,IF(Consultas!O354=5,0,IF(Consultas!O354=10,6))))</f>
        <v>-6</v>
      </c>
      <c r="T354" s="82">
        <f>IF(Consultas!M354="S",0,(IF(Consultas!P354="S",6,0)))</f>
        <v>0</v>
      </c>
      <c r="U354" s="82">
        <f>IF(Consultas!Q354&gt;97,9,IF(Consultas!Q354&gt;75,0,-7))</f>
        <v>-7</v>
      </c>
      <c r="V354" s="82">
        <f>IF(Consultas!W354='Parâmetros'!$E$1,1,-5)</f>
        <v>-5</v>
      </c>
      <c r="W354" s="82">
        <f>IF(Consultas!X354="S",3,-3)</f>
        <v>-3</v>
      </c>
      <c r="X354" s="82">
        <f>IF(Consultas!Y354="S",0,-7)</f>
        <v>-7</v>
      </c>
      <c r="Y354" s="82">
        <f>IF(Consultas!Z354='Parâmetros'!$E$1,2,-8)</f>
        <v>-8</v>
      </c>
      <c r="Z354" s="82">
        <f>IF(Consultas!AA354='Parâmetros'!$E$1,-15,1)</f>
        <v>1</v>
      </c>
      <c r="AA354" s="147" t="s">
        <v>140</v>
      </c>
      <c r="AB354" s="82" t="str">
        <f>IF(E354="NA","NA",IF(E354&gt;'Parâmetros'!$A$9,8,IF(E354&gt;'Parâmetros'!$A$8,4,IF(E354&gt;'Parâmetros'!$A$7,0,-6))))</f>
        <v>NA</v>
      </c>
      <c r="AC354" s="82">
        <f>IF(Consultas!AC354='Parâmetros'!$E$1,0,5)</f>
        <v>5</v>
      </c>
      <c r="AD354" s="82">
        <f>IF(Consultas!AH354='Parâmetros'!$D$1,-10,5)</f>
        <v>5</v>
      </c>
      <c r="AE354" s="82">
        <f>IF(Consultas!AI354&gt;(Consultas!F354*2),-10,0)</f>
        <v>0</v>
      </c>
      <c r="AF354" s="82" t="b">
        <f>IF(Consultas!AD354&gt;1,(IF(Consultas!AI354&gt;(Consultas!AD354),-20,4)))</f>
        <v>0</v>
      </c>
      <c r="AG354" s="82">
        <f>IF(Consultas!AG354='Parâmetros'!$E$1,0,-6)</f>
        <v>-6</v>
      </c>
      <c r="AH354" s="82">
        <f>IF(Consultas!AF354='Parâmetros'!$E$1,1,-5)</f>
        <v>-5</v>
      </c>
      <c r="AI354" s="82">
        <f>IF(Consultas!AJ354&gt;700,8,IF(Consultas!AJ354&gt;500,4,IF(Consultas!AJ354&gt;200,-4,IF(Consultas!AJ354&gt;1,-15,-20))))</f>
        <v>-20</v>
      </c>
      <c r="AJ354" s="82">
        <f>IF(Consultas!AD354='Parâmetros'!$E$10,0,IF(Consultas!AD354&gt;'Parâmetros'!$A$30,12,IF(Consultas!AD354&gt;'Parâmetros'!$A$31,6,IF(Consultas!AD354&gt;'Parâmetros'!$A$32,0,IF(Consultas!AD354&gt;'Parâmetros'!$A$33,0,IF(Consultas!AD354&gt;'Parâmetros'!$A$34,-3,IF(Consultas!AD354&gt;'Parâmetros'!$A$35,-7,-1)))))))</f>
        <v>-1</v>
      </c>
      <c r="AK354" s="82">
        <f>IF(Consultas!AO354='Parâmetros'!$D$1,3,-3)</f>
        <v>-3</v>
      </c>
      <c r="AL354" s="82">
        <f>IF(Consultas!AP354='Parâmetros'!$D$1,5,-3)</f>
        <v>-3</v>
      </c>
      <c r="AM354" s="82">
        <f>IF(Consultas!AL354="N",-6,0)</f>
        <v>0</v>
      </c>
      <c r="AN354" s="82">
        <f>IF(Consultas!AM354="N",-10,0)</f>
        <v>0</v>
      </c>
      <c r="AO354" s="82">
        <f>IF(Consultas!AN354="S",4,-2)</f>
        <v>-2</v>
      </c>
      <c r="AP354" s="39"/>
      <c r="AQ354" s="165" t="str">
        <f>IF(Consultas!F354&gt;1,(SUM(F354:AO354)),"N/A")</f>
        <v>N/A</v>
      </c>
      <c r="AR354" s="78">
        <f>IF((Consultas!AD354&gt;'Parâmetros'!$A$31),"X",AJ354+Y354+V354+AC354)</f>
        <v>-9</v>
      </c>
      <c r="AS354" s="78">
        <f>IF((Consultas!AD354&gt;'Parâmetros'!$A$31),"X",(H354+I354+J354+Q354+T354+Y354+Z354+AJ354+AN354))</f>
        <v>-23</v>
      </c>
      <c r="AT354" s="78" t="str">
        <f>IF((Consultas!AD354&lt;'Parâmetros'!$A$31),"X",(AD354+AC354+AB354))</f>
        <v>X</v>
      </c>
      <c r="AU354" s="78">
        <f t="shared" si="1"/>
        <v>-23</v>
      </c>
      <c r="AV354" s="82" t="str">
        <f>IF(AQ354="N/A","N/A",IF(AQ354&gt;5,'Parâmetros'!$A$15,(IF(AU354=AR354,'Parâmetros'!$A$17,IF(AU354=AS354,'Parâmetros'!$A$16,'Parâmetros'!$A$14)))))</f>
        <v>N/A</v>
      </c>
      <c r="AW354" s="86" t="str">
        <f>IF(AQ354="N/A","N/A",IF(AV354='Parâmetros'!$A$15,'Parâmetros'!$C$15,(IF(AV354='Parâmetros'!$A$17,'Parâmetros'!$C$17,IF(AV354='Parâmetros'!$A$16,'Parâmetros'!$C$16,IF(AV354='Parâmetros'!$A$14,'Parâmetros'!$C$12))))))</f>
        <v>N/A</v>
      </c>
      <c r="AX354" s="82" t="b">
        <f>IF(Consultas!F354&gt;1,(IF(Consultas!F354&gt;5000,"SOLICITAR PED COMPRA","N/A")))</f>
        <v>0</v>
      </c>
      <c r="AY354" s="167" t="str">
        <f>IF(AND(Consultas!M354&lt;&gt;"S", Consultas!H354="S"), "CHECAGEM REVERSA", "N/A")</f>
        <v>N/A</v>
      </c>
      <c r="AZ354" s="167" t="str">
        <f>IF(Consultas!U354="N","PRECISA CORRIGIR END DIVERGENTE","N/A")</f>
        <v>N/A</v>
      </c>
    </row>
    <row r="355" ht="12.0" customHeight="1">
      <c r="A355" s="39" t="s">
        <v>90</v>
      </c>
      <c r="B355" s="82" t="str">
        <f>Consultas!B355</f>
        <v/>
      </c>
      <c r="C355" s="82" t="str">
        <f>Consultas!D355</f>
        <v/>
      </c>
      <c r="D355" s="96" t="str">
        <f>Consultas!E355</f>
        <v/>
      </c>
      <c r="E355" s="104" t="str">
        <f>IF(Consultas!AB355&gt;0,YEAR('Parâmetros'!$B$1)-YEAR(Consultas!AB355),"NA")</f>
        <v>NA</v>
      </c>
      <c r="F355" s="82">
        <f>IF(Consultas!F355&gt;'Parâmetros'!$B$2,-8,0)</f>
        <v>0</v>
      </c>
      <c r="G355" s="82">
        <f>IF(Consultas!H355='Parâmetros'!$E$1,100,0)</f>
        <v>0</v>
      </c>
      <c r="H355" s="82">
        <f>IF(Consultas!I355='Parâmetros'!$E$1,-4,12)</f>
        <v>12</v>
      </c>
      <c r="I355" s="82">
        <f>IF(Consultas!J355='Parâmetros'!$E$1,1,-13)</f>
        <v>-13</v>
      </c>
      <c r="J355" s="82">
        <f>IF(Consultas!K355='Parâmetros'!$E$1,2,-5)</f>
        <v>-5</v>
      </c>
      <c r="K355" s="82" t="str">
        <f>IF(Consultas!L355='Parâmetros'!$D$1,"SOLIC CONTRATO DE ENTREGA","N/A")</f>
        <v>N/A</v>
      </c>
      <c r="L355" s="82">
        <f>IF(Consultas!R355='Parâmetros'!$E$1,1,-3)</f>
        <v>-3</v>
      </c>
      <c r="M355" s="82" t="b">
        <f>IF(Consultas!S355&gt;1,(IF(Consultas!S355='Parâmetros'!$E$1,-3,9)))</f>
        <v>0</v>
      </c>
      <c r="N355" s="82">
        <f>IF(Consultas!T355="S",23,0)</f>
        <v>0</v>
      </c>
      <c r="O355" s="82">
        <f>IF(Consultas!U355='Parâmetros'!$E$1,-3,3)</f>
        <v>3</v>
      </c>
      <c r="P355" s="82">
        <f>IF(Consultas!V355='Parâmetros'!$E$1,-100,2)</f>
        <v>2</v>
      </c>
      <c r="Q355" s="82">
        <f>IF(Consultas!M355='Parâmetros'!$D$1,2,-9)</f>
        <v>-9</v>
      </c>
      <c r="R355" s="82">
        <f>IF(Consultas!N355="RJ",-12,0)</f>
        <v>0</v>
      </c>
      <c r="S355" s="82">
        <f>IF(Consultas!O355="-",-3,IF(Consultas!O355=0,-6,IF(Consultas!O355=5,0,IF(Consultas!O355=10,6))))</f>
        <v>-6</v>
      </c>
      <c r="T355" s="82">
        <f>IF(Consultas!M355="S",0,(IF(Consultas!P355="S",6,0)))</f>
        <v>0</v>
      </c>
      <c r="U355" s="82">
        <f>IF(Consultas!Q355&gt;97,9,IF(Consultas!Q355&gt;75,0,-7))</f>
        <v>-7</v>
      </c>
      <c r="V355" s="82">
        <f>IF(Consultas!W355='Parâmetros'!$E$1,1,-5)</f>
        <v>-5</v>
      </c>
      <c r="W355" s="82">
        <f>IF(Consultas!X355="S",3,-3)</f>
        <v>-3</v>
      </c>
      <c r="X355" s="82">
        <f>IF(Consultas!Y355="S",0,-7)</f>
        <v>-7</v>
      </c>
      <c r="Y355" s="82">
        <f>IF(Consultas!Z355='Parâmetros'!$E$1,2,-8)</f>
        <v>-8</v>
      </c>
      <c r="Z355" s="82">
        <f>IF(Consultas!AA355='Parâmetros'!$E$1,-15,1)</f>
        <v>1</v>
      </c>
      <c r="AA355" s="147" t="s">
        <v>140</v>
      </c>
      <c r="AB355" s="82" t="str">
        <f>IF(E355="NA","NA",IF(E355&gt;'Parâmetros'!$A$9,8,IF(E355&gt;'Parâmetros'!$A$8,4,IF(E355&gt;'Parâmetros'!$A$7,0,-6))))</f>
        <v>NA</v>
      </c>
      <c r="AC355" s="82">
        <f>IF(Consultas!AC355='Parâmetros'!$E$1,0,5)</f>
        <v>5</v>
      </c>
      <c r="AD355" s="82">
        <f>IF(Consultas!AH355='Parâmetros'!$D$1,-10,5)</f>
        <v>5</v>
      </c>
      <c r="AE355" s="82">
        <f>IF(Consultas!AI355&gt;(Consultas!F355*2),-10,0)</f>
        <v>0</v>
      </c>
      <c r="AF355" s="82" t="b">
        <f>IF(Consultas!AD355&gt;1,(IF(Consultas!AI355&gt;(Consultas!AD355),-20,4)))</f>
        <v>0</v>
      </c>
      <c r="AG355" s="82">
        <f>IF(Consultas!AG355='Parâmetros'!$E$1,0,-6)</f>
        <v>-6</v>
      </c>
      <c r="AH355" s="82">
        <f>IF(Consultas!AF355='Parâmetros'!$E$1,1,-5)</f>
        <v>-5</v>
      </c>
      <c r="AI355" s="82">
        <f>IF(Consultas!AJ355&gt;700,8,IF(Consultas!AJ355&gt;500,4,IF(Consultas!AJ355&gt;200,-4,IF(Consultas!AJ355&gt;1,-15,-20))))</f>
        <v>-20</v>
      </c>
      <c r="AJ355" s="82">
        <f>IF(Consultas!AD355='Parâmetros'!$E$10,0,IF(Consultas!AD355&gt;'Parâmetros'!$A$30,12,IF(Consultas!AD355&gt;'Parâmetros'!$A$31,6,IF(Consultas!AD355&gt;'Parâmetros'!$A$32,0,IF(Consultas!AD355&gt;'Parâmetros'!$A$33,0,IF(Consultas!AD355&gt;'Parâmetros'!$A$34,-3,IF(Consultas!AD355&gt;'Parâmetros'!$A$35,-7,-1)))))))</f>
        <v>-1</v>
      </c>
      <c r="AK355" s="82">
        <f>IF(Consultas!AO355='Parâmetros'!$D$1,3,-3)</f>
        <v>-3</v>
      </c>
      <c r="AL355" s="82">
        <f>IF(Consultas!AP355='Parâmetros'!$D$1,5,-3)</f>
        <v>-3</v>
      </c>
      <c r="AM355" s="82">
        <f>IF(Consultas!AL355="N",-6,0)</f>
        <v>0</v>
      </c>
      <c r="AN355" s="82">
        <f>IF(Consultas!AM355="N",-10,0)</f>
        <v>0</v>
      </c>
      <c r="AO355" s="82">
        <f>IF(Consultas!AN355="S",4,-2)</f>
        <v>-2</v>
      </c>
      <c r="AP355" s="39"/>
      <c r="AQ355" s="165" t="str">
        <f>IF(Consultas!F355&gt;1,(SUM(F355:AO355)),"N/A")</f>
        <v>N/A</v>
      </c>
      <c r="AR355" s="78">
        <f>IF((Consultas!AD355&gt;'Parâmetros'!$A$31),"X",AJ355+Y355+V355+AC355)</f>
        <v>-9</v>
      </c>
      <c r="AS355" s="78">
        <f>IF((Consultas!AD355&gt;'Parâmetros'!$A$31),"X",(H355+I355+J355+Q355+T355+Y355+Z355+AJ355+AN355))</f>
        <v>-23</v>
      </c>
      <c r="AT355" s="78" t="str">
        <f>IF((Consultas!AD355&lt;'Parâmetros'!$A$31),"X",(AD355+AC355+AB355))</f>
        <v>X</v>
      </c>
      <c r="AU355" s="78">
        <f t="shared" si="1"/>
        <v>-23</v>
      </c>
      <c r="AV355" s="82" t="str">
        <f>IF(AQ355="N/A","N/A",IF(AQ355&gt;5,'Parâmetros'!$A$15,(IF(AU355=AR355,'Parâmetros'!$A$17,IF(AU355=AS355,'Parâmetros'!$A$16,'Parâmetros'!$A$14)))))</f>
        <v>N/A</v>
      </c>
      <c r="AW355" s="86" t="str">
        <f>IF(AQ355="N/A","N/A",IF(AV355='Parâmetros'!$A$15,'Parâmetros'!$C$15,(IF(AV355='Parâmetros'!$A$17,'Parâmetros'!$C$17,IF(AV355='Parâmetros'!$A$16,'Parâmetros'!$C$16,IF(AV355='Parâmetros'!$A$14,'Parâmetros'!$C$12))))))</f>
        <v>N/A</v>
      </c>
      <c r="AX355" s="82" t="b">
        <f>IF(Consultas!F355&gt;1,(IF(Consultas!F355&gt;5000,"SOLICITAR PED COMPRA","N/A")))</f>
        <v>0</v>
      </c>
      <c r="AY355" s="167" t="str">
        <f>IF(AND(Consultas!M355&lt;&gt;"S", Consultas!H355="S"), "CHECAGEM REVERSA", "N/A")</f>
        <v>N/A</v>
      </c>
      <c r="AZ355" s="167" t="str">
        <f>IF(Consultas!U355="N","PRECISA CORRIGIR END DIVERGENTE","N/A")</f>
        <v>N/A</v>
      </c>
    </row>
    <row r="356" ht="12.0" customHeight="1">
      <c r="A356" s="39" t="s">
        <v>90</v>
      </c>
      <c r="B356" s="82" t="str">
        <f>Consultas!B356</f>
        <v/>
      </c>
      <c r="C356" s="82" t="str">
        <f>Consultas!D356</f>
        <v/>
      </c>
      <c r="D356" s="96" t="str">
        <f>Consultas!E356</f>
        <v/>
      </c>
      <c r="E356" s="104" t="str">
        <f>IF(Consultas!AB356&gt;0,YEAR('Parâmetros'!$B$1)-YEAR(Consultas!AB356),"NA")</f>
        <v>NA</v>
      </c>
      <c r="F356" s="82">
        <f>IF(Consultas!F356&gt;'Parâmetros'!$B$2,-8,0)</f>
        <v>0</v>
      </c>
      <c r="G356" s="82">
        <f>IF(Consultas!H356='Parâmetros'!$E$1,100,0)</f>
        <v>0</v>
      </c>
      <c r="H356" s="82">
        <f>IF(Consultas!I356='Parâmetros'!$E$1,-4,12)</f>
        <v>12</v>
      </c>
      <c r="I356" s="82">
        <f>IF(Consultas!J356='Parâmetros'!$E$1,1,-13)</f>
        <v>-13</v>
      </c>
      <c r="J356" s="82">
        <f>IF(Consultas!K356='Parâmetros'!$E$1,2,-5)</f>
        <v>-5</v>
      </c>
      <c r="K356" s="82" t="str">
        <f>IF(Consultas!L356='Parâmetros'!$D$1,"SOLIC CONTRATO DE ENTREGA","N/A")</f>
        <v>N/A</v>
      </c>
      <c r="L356" s="82">
        <f>IF(Consultas!R356='Parâmetros'!$E$1,1,-3)</f>
        <v>-3</v>
      </c>
      <c r="M356" s="82" t="b">
        <f>IF(Consultas!S356&gt;1,(IF(Consultas!S356='Parâmetros'!$E$1,-3,9)))</f>
        <v>0</v>
      </c>
      <c r="N356" s="82">
        <f>IF(Consultas!T356="S",23,0)</f>
        <v>0</v>
      </c>
      <c r="O356" s="82">
        <f>IF(Consultas!U356='Parâmetros'!$E$1,-3,3)</f>
        <v>3</v>
      </c>
      <c r="P356" s="82">
        <f>IF(Consultas!V356='Parâmetros'!$E$1,-100,2)</f>
        <v>2</v>
      </c>
      <c r="Q356" s="82">
        <f>IF(Consultas!M356='Parâmetros'!$D$1,2,-9)</f>
        <v>-9</v>
      </c>
      <c r="R356" s="82">
        <f>IF(Consultas!N356="RJ",-12,0)</f>
        <v>0</v>
      </c>
      <c r="S356" s="82">
        <f>IF(Consultas!O356="-",-3,IF(Consultas!O356=0,-6,IF(Consultas!O356=5,0,IF(Consultas!O356=10,6))))</f>
        <v>-6</v>
      </c>
      <c r="T356" s="82">
        <f>IF(Consultas!M356="S",0,(IF(Consultas!P356="S",6,0)))</f>
        <v>0</v>
      </c>
      <c r="U356" s="82">
        <f>IF(Consultas!Q356&gt;97,9,IF(Consultas!Q356&gt;75,0,-7))</f>
        <v>-7</v>
      </c>
      <c r="V356" s="82">
        <f>IF(Consultas!W356='Parâmetros'!$E$1,1,-5)</f>
        <v>-5</v>
      </c>
      <c r="W356" s="82">
        <f>IF(Consultas!X356="S",3,-3)</f>
        <v>-3</v>
      </c>
      <c r="X356" s="82">
        <f>IF(Consultas!Y356="S",0,-7)</f>
        <v>-7</v>
      </c>
      <c r="Y356" s="82">
        <f>IF(Consultas!Z356='Parâmetros'!$E$1,2,-8)</f>
        <v>-8</v>
      </c>
      <c r="Z356" s="82">
        <f>IF(Consultas!AA356='Parâmetros'!$E$1,-15,1)</f>
        <v>1</v>
      </c>
      <c r="AA356" s="147" t="s">
        <v>140</v>
      </c>
      <c r="AB356" s="82" t="str">
        <f>IF(E356="NA","NA",IF(E356&gt;'Parâmetros'!$A$9,8,IF(E356&gt;'Parâmetros'!$A$8,4,IF(E356&gt;'Parâmetros'!$A$7,0,-6))))</f>
        <v>NA</v>
      </c>
      <c r="AC356" s="82">
        <f>IF(Consultas!AC356='Parâmetros'!$E$1,0,5)</f>
        <v>5</v>
      </c>
      <c r="AD356" s="82">
        <f>IF(Consultas!AH356='Parâmetros'!$D$1,-10,5)</f>
        <v>5</v>
      </c>
      <c r="AE356" s="82">
        <f>IF(Consultas!AI356&gt;(Consultas!F356*2),-10,0)</f>
        <v>0</v>
      </c>
      <c r="AF356" s="82" t="b">
        <f>IF(Consultas!AD356&gt;1,(IF(Consultas!AI356&gt;(Consultas!AD356),-20,4)))</f>
        <v>0</v>
      </c>
      <c r="AG356" s="82">
        <f>IF(Consultas!AG356='Parâmetros'!$E$1,0,-6)</f>
        <v>-6</v>
      </c>
      <c r="AH356" s="82">
        <f>IF(Consultas!AF356='Parâmetros'!$E$1,1,-5)</f>
        <v>-5</v>
      </c>
      <c r="AI356" s="82">
        <f>IF(Consultas!AJ356&gt;700,8,IF(Consultas!AJ356&gt;500,4,IF(Consultas!AJ356&gt;200,-4,IF(Consultas!AJ356&gt;1,-15,-20))))</f>
        <v>-20</v>
      </c>
      <c r="AJ356" s="82">
        <f>IF(Consultas!AD356='Parâmetros'!$E$10,0,IF(Consultas!AD356&gt;'Parâmetros'!$A$30,12,IF(Consultas!AD356&gt;'Parâmetros'!$A$31,6,IF(Consultas!AD356&gt;'Parâmetros'!$A$32,0,IF(Consultas!AD356&gt;'Parâmetros'!$A$33,0,IF(Consultas!AD356&gt;'Parâmetros'!$A$34,-3,IF(Consultas!AD356&gt;'Parâmetros'!$A$35,-7,-1)))))))</f>
        <v>-1</v>
      </c>
      <c r="AK356" s="82">
        <f>IF(Consultas!AO356='Parâmetros'!$D$1,3,-3)</f>
        <v>-3</v>
      </c>
      <c r="AL356" s="82">
        <f>IF(Consultas!AP356='Parâmetros'!$D$1,5,-3)</f>
        <v>-3</v>
      </c>
      <c r="AM356" s="82">
        <f>IF(Consultas!AL356="N",-6,0)</f>
        <v>0</v>
      </c>
      <c r="AN356" s="82">
        <f>IF(Consultas!AM356="N",-10,0)</f>
        <v>0</v>
      </c>
      <c r="AO356" s="82">
        <f>IF(Consultas!AN356="S",4,-2)</f>
        <v>-2</v>
      </c>
      <c r="AP356" s="39"/>
      <c r="AQ356" s="165" t="str">
        <f>IF(Consultas!F356&gt;1,(SUM(F356:AO356)),"N/A")</f>
        <v>N/A</v>
      </c>
      <c r="AR356" s="78">
        <f>IF((Consultas!AD356&gt;'Parâmetros'!$A$31),"X",AJ356+Y356+V356+AC356)</f>
        <v>-9</v>
      </c>
      <c r="AS356" s="78">
        <f>IF((Consultas!AD356&gt;'Parâmetros'!$A$31),"X",(H356+I356+J356+Q356+T356+Y356+Z356+AJ356+AN356))</f>
        <v>-23</v>
      </c>
      <c r="AT356" s="78" t="str">
        <f>IF((Consultas!AD356&lt;'Parâmetros'!$A$31),"X",(AD356+AC356+AB356))</f>
        <v>X</v>
      </c>
      <c r="AU356" s="78">
        <f t="shared" si="1"/>
        <v>-23</v>
      </c>
      <c r="AV356" s="82" t="str">
        <f>IF(AQ356="N/A","N/A",IF(AQ356&gt;5,'Parâmetros'!$A$15,(IF(AU356=AR356,'Parâmetros'!$A$17,IF(AU356=AS356,'Parâmetros'!$A$16,'Parâmetros'!$A$14)))))</f>
        <v>N/A</v>
      </c>
      <c r="AW356" s="86" t="str">
        <f>IF(AQ356="N/A","N/A",IF(AV356='Parâmetros'!$A$15,'Parâmetros'!$C$15,(IF(AV356='Parâmetros'!$A$17,'Parâmetros'!$C$17,IF(AV356='Parâmetros'!$A$16,'Parâmetros'!$C$16,IF(AV356='Parâmetros'!$A$14,'Parâmetros'!$C$12))))))</f>
        <v>N/A</v>
      </c>
      <c r="AX356" s="82" t="b">
        <f>IF(Consultas!F356&gt;1,(IF(Consultas!F356&gt;5000,"SOLICITAR PED COMPRA","N/A")))</f>
        <v>0</v>
      </c>
      <c r="AY356" s="167" t="str">
        <f>IF(AND(Consultas!M356&lt;&gt;"S", Consultas!H356="S"), "CHECAGEM REVERSA", "N/A")</f>
        <v>N/A</v>
      </c>
      <c r="AZ356" s="167" t="str">
        <f>IF(Consultas!U356="N","PRECISA CORRIGIR END DIVERGENTE","N/A")</f>
        <v>N/A</v>
      </c>
    </row>
    <row r="357" ht="12.0" customHeight="1">
      <c r="A357" s="39" t="s">
        <v>90</v>
      </c>
      <c r="B357" s="82" t="str">
        <f>Consultas!B357</f>
        <v/>
      </c>
      <c r="C357" s="82" t="str">
        <f>Consultas!D357</f>
        <v/>
      </c>
      <c r="D357" s="96" t="str">
        <f>Consultas!E357</f>
        <v/>
      </c>
      <c r="E357" s="104" t="str">
        <f>IF(Consultas!AB357&gt;0,YEAR('Parâmetros'!$B$1)-YEAR(Consultas!AB357),"NA")</f>
        <v>NA</v>
      </c>
      <c r="F357" s="82">
        <f>IF(Consultas!F357&gt;'Parâmetros'!$B$2,-8,0)</f>
        <v>0</v>
      </c>
      <c r="G357" s="82">
        <f>IF(Consultas!H357='Parâmetros'!$E$1,100,0)</f>
        <v>0</v>
      </c>
      <c r="H357" s="82">
        <f>IF(Consultas!I357='Parâmetros'!$E$1,-4,12)</f>
        <v>12</v>
      </c>
      <c r="I357" s="82">
        <f>IF(Consultas!J357='Parâmetros'!$E$1,1,-13)</f>
        <v>-13</v>
      </c>
      <c r="J357" s="82">
        <f>IF(Consultas!K357='Parâmetros'!$E$1,2,-5)</f>
        <v>-5</v>
      </c>
      <c r="K357" s="82" t="str">
        <f>IF(Consultas!L357='Parâmetros'!$D$1,"SOLIC CONTRATO DE ENTREGA","N/A")</f>
        <v>N/A</v>
      </c>
      <c r="L357" s="82">
        <f>IF(Consultas!R357='Parâmetros'!$E$1,1,-3)</f>
        <v>-3</v>
      </c>
      <c r="M357" s="82" t="b">
        <f>IF(Consultas!S357&gt;1,(IF(Consultas!S357='Parâmetros'!$E$1,-3,9)))</f>
        <v>0</v>
      </c>
      <c r="N357" s="82">
        <f>IF(Consultas!T357="S",23,0)</f>
        <v>0</v>
      </c>
      <c r="O357" s="82">
        <f>IF(Consultas!U357='Parâmetros'!$E$1,-3,3)</f>
        <v>3</v>
      </c>
      <c r="P357" s="82">
        <f>IF(Consultas!V357='Parâmetros'!$E$1,-100,2)</f>
        <v>2</v>
      </c>
      <c r="Q357" s="82">
        <f>IF(Consultas!M357='Parâmetros'!$D$1,2,-9)</f>
        <v>-9</v>
      </c>
      <c r="R357" s="82">
        <f>IF(Consultas!N357="RJ",-12,0)</f>
        <v>0</v>
      </c>
      <c r="S357" s="82">
        <f>IF(Consultas!O357="-",-3,IF(Consultas!O357=0,-6,IF(Consultas!O357=5,0,IF(Consultas!O357=10,6))))</f>
        <v>-6</v>
      </c>
      <c r="T357" s="82">
        <f>IF(Consultas!M357="S",0,(IF(Consultas!P357="S",6,0)))</f>
        <v>0</v>
      </c>
      <c r="U357" s="82">
        <f>IF(Consultas!Q357&gt;97,9,IF(Consultas!Q357&gt;75,0,-7))</f>
        <v>-7</v>
      </c>
      <c r="V357" s="82">
        <f>IF(Consultas!W357='Parâmetros'!$E$1,1,-5)</f>
        <v>-5</v>
      </c>
      <c r="W357" s="82">
        <f>IF(Consultas!X357="S",3,-3)</f>
        <v>-3</v>
      </c>
      <c r="X357" s="82">
        <f>IF(Consultas!Y357="S",0,-7)</f>
        <v>-7</v>
      </c>
      <c r="Y357" s="82">
        <f>IF(Consultas!Z357='Parâmetros'!$E$1,2,-8)</f>
        <v>-8</v>
      </c>
      <c r="Z357" s="82">
        <f>IF(Consultas!AA357='Parâmetros'!$E$1,-15,1)</f>
        <v>1</v>
      </c>
      <c r="AA357" s="147" t="s">
        <v>140</v>
      </c>
      <c r="AB357" s="82" t="str">
        <f>IF(E357="NA","NA",IF(E357&gt;'Parâmetros'!$A$9,8,IF(E357&gt;'Parâmetros'!$A$8,4,IF(E357&gt;'Parâmetros'!$A$7,0,-6))))</f>
        <v>NA</v>
      </c>
      <c r="AC357" s="82">
        <f>IF(Consultas!AC357='Parâmetros'!$E$1,0,5)</f>
        <v>5</v>
      </c>
      <c r="AD357" s="82">
        <f>IF(Consultas!AH357='Parâmetros'!$D$1,-10,5)</f>
        <v>5</v>
      </c>
      <c r="AE357" s="82">
        <f>IF(Consultas!AI357&gt;(Consultas!F357*2),-10,0)</f>
        <v>0</v>
      </c>
      <c r="AF357" s="82" t="b">
        <f>IF(Consultas!AD357&gt;1,(IF(Consultas!AI357&gt;(Consultas!AD357),-20,4)))</f>
        <v>0</v>
      </c>
      <c r="AG357" s="82">
        <f>IF(Consultas!AG357='Parâmetros'!$E$1,0,-6)</f>
        <v>-6</v>
      </c>
      <c r="AH357" s="82">
        <f>IF(Consultas!AF357='Parâmetros'!$E$1,1,-5)</f>
        <v>-5</v>
      </c>
      <c r="AI357" s="82">
        <f>IF(Consultas!AJ357&gt;700,8,IF(Consultas!AJ357&gt;500,4,IF(Consultas!AJ357&gt;200,-4,IF(Consultas!AJ357&gt;1,-15,-20))))</f>
        <v>-20</v>
      </c>
      <c r="AJ357" s="82">
        <f>IF(Consultas!AD357='Parâmetros'!$E$10,0,IF(Consultas!AD357&gt;'Parâmetros'!$A$30,12,IF(Consultas!AD357&gt;'Parâmetros'!$A$31,6,IF(Consultas!AD357&gt;'Parâmetros'!$A$32,0,IF(Consultas!AD357&gt;'Parâmetros'!$A$33,0,IF(Consultas!AD357&gt;'Parâmetros'!$A$34,-3,IF(Consultas!AD357&gt;'Parâmetros'!$A$35,-7,-1)))))))</f>
        <v>-1</v>
      </c>
      <c r="AK357" s="82">
        <f>IF(Consultas!AO357='Parâmetros'!$D$1,3,-3)</f>
        <v>-3</v>
      </c>
      <c r="AL357" s="82">
        <f>IF(Consultas!AP357='Parâmetros'!$D$1,5,-3)</f>
        <v>-3</v>
      </c>
      <c r="AM357" s="82">
        <f>IF(Consultas!AL357="N",-6,0)</f>
        <v>0</v>
      </c>
      <c r="AN357" s="82">
        <f>IF(Consultas!AM357="N",-10,0)</f>
        <v>0</v>
      </c>
      <c r="AO357" s="82">
        <f>IF(Consultas!AN357="S",4,-2)</f>
        <v>-2</v>
      </c>
      <c r="AP357" s="39"/>
      <c r="AQ357" s="165" t="str">
        <f>IF(Consultas!F357&gt;1,(SUM(F357:AO357)),"N/A")</f>
        <v>N/A</v>
      </c>
      <c r="AR357" s="78">
        <f>IF((Consultas!AD357&gt;'Parâmetros'!$A$31),"X",AJ357+Y357+V357+AC357)</f>
        <v>-9</v>
      </c>
      <c r="AS357" s="78">
        <f>IF((Consultas!AD357&gt;'Parâmetros'!$A$31),"X",(H357+I357+J357+Q357+T357+Y357+Z357+AJ357+AN357))</f>
        <v>-23</v>
      </c>
      <c r="AT357" s="78" t="str">
        <f>IF((Consultas!AD357&lt;'Parâmetros'!$A$31),"X",(AD357+AC357+AB357))</f>
        <v>X</v>
      </c>
      <c r="AU357" s="78">
        <f t="shared" si="1"/>
        <v>-23</v>
      </c>
      <c r="AV357" s="82" t="str">
        <f>IF(AQ357="N/A","N/A",IF(AQ357&gt;5,'Parâmetros'!$A$15,(IF(AU357=AR357,'Parâmetros'!$A$17,IF(AU357=AS357,'Parâmetros'!$A$16,'Parâmetros'!$A$14)))))</f>
        <v>N/A</v>
      </c>
      <c r="AW357" s="86" t="str">
        <f>IF(AQ357="N/A","N/A",IF(AV357='Parâmetros'!$A$15,'Parâmetros'!$C$15,(IF(AV357='Parâmetros'!$A$17,'Parâmetros'!$C$17,IF(AV357='Parâmetros'!$A$16,'Parâmetros'!$C$16,IF(AV357='Parâmetros'!$A$14,'Parâmetros'!$C$12))))))</f>
        <v>N/A</v>
      </c>
      <c r="AX357" s="82" t="b">
        <f>IF(Consultas!F357&gt;1,(IF(Consultas!F357&gt;5000,"SOLICITAR PED COMPRA","N/A")))</f>
        <v>0</v>
      </c>
      <c r="AY357" s="167" t="str">
        <f>IF(AND(Consultas!M357&lt;&gt;"S", Consultas!H357="S"), "CHECAGEM REVERSA", "N/A")</f>
        <v>N/A</v>
      </c>
      <c r="AZ357" s="167" t="str">
        <f>IF(Consultas!U357="N","PRECISA CORRIGIR END DIVERGENTE","N/A")</f>
        <v>N/A</v>
      </c>
    </row>
    <row r="358" ht="12.0" customHeight="1">
      <c r="A358" s="39" t="s">
        <v>90</v>
      </c>
      <c r="B358" s="82" t="str">
        <f>Consultas!B358</f>
        <v/>
      </c>
      <c r="C358" s="82" t="str">
        <f>Consultas!D358</f>
        <v/>
      </c>
      <c r="D358" s="96" t="str">
        <f>Consultas!E358</f>
        <v/>
      </c>
      <c r="E358" s="104" t="str">
        <f>IF(Consultas!AB358&gt;0,YEAR('Parâmetros'!$B$1)-YEAR(Consultas!AB358),"NA")</f>
        <v>NA</v>
      </c>
      <c r="F358" s="82">
        <f>IF(Consultas!F358&gt;'Parâmetros'!$B$2,-8,0)</f>
        <v>0</v>
      </c>
      <c r="G358" s="82">
        <f>IF(Consultas!H358='Parâmetros'!$E$1,100,0)</f>
        <v>0</v>
      </c>
      <c r="H358" s="82">
        <f>IF(Consultas!I358='Parâmetros'!$E$1,-4,12)</f>
        <v>12</v>
      </c>
      <c r="I358" s="82">
        <f>IF(Consultas!J358='Parâmetros'!$E$1,1,-13)</f>
        <v>-13</v>
      </c>
      <c r="J358" s="82">
        <f>IF(Consultas!K358='Parâmetros'!$E$1,2,-5)</f>
        <v>-5</v>
      </c>
      <c r="K358" s="82" t="str">
        <f>IF(Consultas!L358='Parâmetros'!$D$1,"SOLIC CONTRATO DE ENTREGA","N/A")</f>
        <v>N/A</v>
      </c>
      <c r="L358" s="82">
        <f>IF(Consultas!R358='Parâmetros'!$E$1,1,-3)</f>
        <v>-3</v>
      </c>
      <c r="M358" s="82" t="b">
        <f>IF(Consultas!S358&gt;1,(IF(Consultas!S358='Parâmetros'!$E$1,-3,9)))</f>
        <v>0</v>
      </c>
      <c r="N358" s="82">
        <f>IF(Consultas!T358="S",23,0)</f>
        <v>0</v>
      </c>
      <c r="O358" s="82">
        <f>IF(Consultas!U358='Parâmetros'!$E$1,-3,3)</f>
        <v>3</v>
      </c>
      <c r="P358" s="82">
        <f>IF(Consultas!V358='Parâmetros'!$E$1,-100,2)</f>
        <v>2</v>
      </c>
      <c r="Q358" s="82">
        <f>IF(Consultas!M358='Parâmetros'!$D$1,2,-9)</f>
        <v>-9</v>
      </c>
      <c r="R358" s="82">
        <f>IF(Consultas!N358="RJ",-12,0)</f>
        <v>0</v>
      </c>
      <c r="S358" s="82">
        <f>IF(Consultas!O358="-",-3,IF(Consultas!O358=0,-6,IF(Consultas!O358=5,0,IF(Consultas!O358=10,6))))</f>
        <v>-6</v>
      </c>
      <c r="T358" s="82">
        <f>IF(Consultas!M358="S",0,(IF(Consultas!P358="S",6,0)))</f>
        <v>0</v>
      </c>
      <c r="U358" s="82">
        <f>IF(Consultas!Q358&gt;97,9,IF(Consultas!Q358&gt;75,0,-7))</f>
        <v>-7</v>
      </c>
      <c r="V358" s="82">
        <f>IF(Consultas!W358='Parâmetros'!$E$1,1,-5)</f>
        <v>-5</v>
      </c>
      <c r="W358" s="82">
        <f>IF(Consultas!X358="S",3,-3)</f>
        <v>-3</v>
      </c>
      <c r="X358" s="82">
        <f>IF(Consultas!Y358="S",0,-7)</f>
        <v>-7</v>
      </c>
      <c r="Y358" s="82">
        <f>IF(Consultas!Z358='Parâmetros'!$E$1,2,-8)</f>
        <v>-8</v>
      </c>
      <c r="Z358" s="82">
        <f>IF(Consultas!AA358='Parâmetros'!$E$1,-15,1)</f>
        <v>1</v>
      </c>
      <c r="AA358" s="147" t="s">
        <v>140</v>
      </c>
      <c r="AB358" s="82" t="str">
        <f>IF(E358="NA","NA",IF(E358&gt;'Parâmetros'!$A$9,8,IF(E358&gt;'Parâmetros'!$A$8,4,IF(E358&gt;'Parâmetros'!$A$7,0,-6))))</f>
        <v>NA</v>
      </c>
      <c r="AC358" s="82">
        <f>IF(Consultas!AC358='Parâmetros'!$E$1,0,5)</f>
        <v>5</v>
      </c>
      <c r="AD358" s="82">
        <f>IF(Consultas!AH358='Parâmetros'!$D$1,-10,5)</f>
        <v>5</v>
      </c>
      <c r="AE358" s="82">
        <f>IF(Consultas!AI358&gt;(Consultas!F358*2),-10,0)</f>
        <v>0</v>
      </c>
      <c r="AF358" s="82" t="b">
        <f>IF(Consultas!AD358&gt;1,(IF(Consultas!AI358&gt;(Consultas!AD358),-20,4)))</f>
        <v>0</v>
      </c>
      <c r="AG358" s="82">
        <f>IF(Consultas!AG358='Parâmetros'!$E$1,0,-6)</f>
        <v>-6</v>
      </c>
      <c r="AH358" s="82">
        <f>IF(Consultas!AF358='Parâmetros'!$E$1,1,-5)</f>
        <v>-5</v>
      </c>
      <c r="AI358" s="82">
        <f>IF(Consultas!AJ358&gt;700,8,IF(Consultas!AJ358&gt;500,4,IF(Consultas!AJ358&gt;200,-4,IF(Consultas!AJ358&gt;1,-15,-20))))</f>
        <v>-20</v>
      </c>
      <c r="AJ358" s="82">
        <f>IF(Consultas!AD358='Parâmetros'!$E$10,0,IF(Consultas!AD358&gt;'Parâmetros'!$A$30,12,IF(Consultas!AD358&gt;'Parâmetros'!$A$31,6,IF(Consultas!AD358&gt;'Parâmetros'!$A$32,0,IF(Consultas!AD358&gt;'Parâmetros'!$A$33,0,IF(Consultas!AD358&gt;'Parâmetros'!$A$34,-3,IF(Consultas!AD358&gt;'Parâmetros'!$A$35,-7,-1)))))))</f>
        <v>-1</v>
      </c>
      <c r="AK358" s="82">
        <f>IF(Consultas!AO358='Parâmetros'!$D$1,3,-3)</f>
        <v>-3</v>
      </c>
      <c r="AL358" s="82">
        <f>IF(Consultas!AP358='Parâmetros'!$D$1,5,-3)</f>
        <v>-3</v>
      </c>
      <c r="AM358" s="82">
        <f>IF(Consultas!AL358="N",-6,0)</f>
        <v>0</v>
      </c>
      <c r="AN358" s="82">
        <f>IF(Consultas!AM358="N",-10,0)</f>
        <v>0</v>
      </c>
      <c r="AO358" s="82">
        <f>IF(Consultas!AN358="S",4,-2)</f>
        <v>-2</v>
      </c>
      <c r="AP358" s="39"/>
      <c r="AQ358" s="165" t="str">
        <f>IF(Consultas!F358&gt;1,(SUM(F358:AO358)),"N/A")</f>
        <v>N/A</v>
      </c>
      <c r="AR358" s="78">
        <f>IF((Consultas!AD358&gt;'Parâmetros'!$A$31),"X",AJ358+Y358+V358+AC358)</f>
        <v>-9</v>
      </c>
      <c r="AS358" s="78">
        <f>IF((Consultas!AD358&gt;'Parâmetros'!$A$31),"X",(H358+I358+J358+Q358+T358+Y358+Z358+AJ358+AN358))</f>
        <v>-23</v>
      </c>
      <c r="AT358" s="78" t="str">
        <f>IF((Consultas!AD358&lt;'Parâmetros'!$A$31),"X",(AD358+AC358+AB358))</f>
        <v>X</v>
      </c>
      <c r="AU358" s="78">
        <f t="shared" si="1"/>
        <v>-23</v>
      </c>
      <c r="AV358" s="82" t="str">
        <f>IF(AQ358="N/A","N/A",IF(AQ358&gt;5,'Parâmetros'!$A$15,(IF(AU358=AR358,'Parâmetros'!$A$17,IF(AU358=AS358,'Parâmetros'!$A$16,'Parâmetros'!$A$14)))))</f>
        <v>N/A</v>
      </c>
      <c r="AW358" s="86" t="str">
        <f>IF(AQ358="N/A","N/A",IF(AV358='Parâmetros'!$A$15,'Parâmetros'!$C$15,(IF(AV358='Parâmetros'!$A$17,'Parâmetros'!$C$17,IF(AV358='Parâmetros'!$A$16,'Parâmetros'!$C$16,IF(AV358='Parâmetros'!$A$14,'Parâmetros'!$C$12))))))</f>
        <v>N/A</v>
      </c>
      <c r="AX358" s="82" t="b">
        <f>IF(Consultas!F358&gt;1,(IF(Consultas!F358&gt;5000,"SOLICITAR PED COMPRA","N/A")))</f>
        <v>0</v>
      </c>
      <c r="AY358" s="167" t="str">
        <f>IF(AND(Consultas!M358&lt;&gt;"S", Consultas!H358="S"), "CHECAGEM REVERSA", "N/A")</f>
        <v>N/A</v>
      </c>
      <c r="AZ358" s="167" t="str">
        <f>IF(Consultas!U358="N","PRECISA CORRIGIR END DIVERGENTE","N/A")</f>
        <v>N/A</v>
      </c>
    </row>
    <row r="359" ht="12.0" customHeight="1">
      <c r="A359" s="39" t="s">
        <v>90</v>
      </c>
      <c r="B359" s="82" t="str">
        <f>Consultas!B359</f>
        <v/>
      </c>
      <c r="C359" s="82" t="str">
        <f>Consultas!D359</f>
        <v/>
      </c>
      <c r="D359" s="96" t="str">
        <f>Consultas!E359</f>
        <v/>
      </c>
      <c r="E359" s="104" t="str">
        <f>IF(Consultas!AB359&gt;0,YEAR('Parâmetros'!$B$1)-YEAR(Consultas!AB359),"NA")</f>
        <v>NA</v>
      </c>
      <c r="F359" s="82">
        <f>IF(Consultas!F359&gt;'Parâmetros'!$B$2,-8,0)</f>
        <v>0</v>
      </c>
      <c r="G359" s="82">
        <f>IF(Consultas!H359='Parâmetros'!$E$1,100,0)</f>
        <v>0</v>
      </c>
      <c r="H359" s="82">
        <f>IF(Consultas!I359='Parâmetros'!$E$1,-4,12)</f>
        <v>12</v>
      </c>
      <c r="I359" s="82">
        <f>IF(Consultas!J359='Parâmetros'!$E$1,1,-13)</f>
        <v>-13</v>
      </c>
      <c r="J359" s="82">
        <f>IF(Consultas!K359='Parâmetros'!$E$1,2,-5)</f>
        <v>-5</v>
      </c>
      <c r="K359" s="82" t="str">
        <f>IF(Consultas!L359='Parâmetros'!$D$1,"SOLIC CONTRATO DE ENTREGA","N/A")</f>
        <v>N/A</v>
      </c>
      <c r="L359" s="82">
        <f>IF(Consultas!R359='Parâmetros'!$E$1,1,-3)</f>
        <v>-3</v>
      </c>
      <c r="M359" s="82" t="b">
        <f>IF(Consultas!S359&gt;1,(IF(Consultas!S359='Parâmetros'!$E$1,-3,9)))</f>
        <v>0</v>
      </c>
      <c r="N359" s="82">
        <f>IF(Consultas!T359="S",23,0)</f>
        <v>0</v>
      </c>
      <c r="O359" s="82">
        <f>IF(Consultas!U359='Parâmetros'!$E$1,-3,3)</f>
        <v>3</v>
      </c>
      <c r="P359" s="82">
        <f>IF(Consultas!V359='Parâmetros'!$E$1,-100,2)</f>
        <v>2</v>
      </c>
      <c r="Q359" s="82">
        <f>IF(Consultas!M359='Parâmetros'!$D$1,2,-9)</f>
        <v>-9</v>
      </c>
      <c r="R359" s="82">
        <f>IF(Consultas!N359="RJ",-12,0)</f>
        <v>0</v>
      </c>
      <c r="S359" s="82">
        <f>IF(Consultas!O359="-",-3,IF(Consultas!O359=0,-6,IF(Consultas!O359=5,0,IF(Consultas!O359=10,6))))</f>
        <v>-6</v>
      </c>
      <c r="T359" s="82">
        <f>IF(Consultas!M359="S",0,(IF(Consultas!P359="S",6,0)))</f>
        <v>0</v>
      </c>
      <c r="U359" s="82">
        <f>IF(Consultas!Q359&gt;97,9,IF(Consultas!Q359&gt;75,0,-7))</f>
        <v>-7</v>
      </c>
      <c r="V359" s="82">
        <f>IF(Consultas!W359='Parâmetros'!$E$1,1,-5)</f>
        <v>-5</v>
      </c>
      <c r="W359" s="82">
        <f>IF(Consultas!X359="S",3,-3)</f>
        <v>-3</v>
      </c>
      <c r="X359" s="82">
        <f>IF(Consultas!Y359="S",0,-7)</f>
        <v>-7</v>
      </c>
      <c r="Y359" s="82">
        <f>IF(Consultas!Z359='Parâmetros'!$E$1,2,-8)</f>
        <v>-8</v>
      </c>
      <c r="Z359" s="82">
        <f>IF(Consultas!AA359='Parâmetros'!$E$1,-15,1)</f>
        <v>1</v>
      </c>
      <c r="AA359" s="147" t="s">
        <v>140</v>
      </c>
      <c r="AB359" s="82" t="str">
        <f>IF(E359="NA","NA",IF(E359&gt;'Parâmetros'!$A$9,8,IF(E359&gt;'Parâmetros'!$A$8,4,IF(E359&gt;'Parâmetros'!$A$7,0,-6))))</f>
        <v>NA</v>
      </c>
      <c r="AC359" s="82">
        <f>IF(Consultas!AC359='Parâmetros'!$E$1,0,5)</f>
        <v>5</v>
      </c>
      <c r="AD359" s="82">
        <f>IF(Consultas!AH359='Parâmetros'!$D$1,-10,5)</f>
        <v>5</v>
      </c>
      <c r="AE359" s="82">
        <f>IF(Consultas!AI359&gt;(Consultas!F359*2),-10,0)</f>
        <v>0</v>
      </c>
      <c r="AF359" s="82" t="b">
        <f>IF(Consultas!AD359&gt;1,(IF(Consultas!AI359&gt;(Consultas!AD359),-20,4)))</f>
        <v>0</v>
      </c>
      <c r="AG359" s="82">
        <f>IF(Consultas!AG359='Parâmetros'!$E$1,0,-6)</f>
        <v>-6</v>
      </c>
      <c r="AH359" s="82">
        <f>IF(Consultas!AF359='Parâmetros'!$E$1,1,-5)</f>
        <v>-5</v>
      </c>
      <c r="AI359" s="82">
        <f>IF(Consultas!AJ359&gt;700,8,IF(Consultas!AJ359&gt;500,4,IF(Consultas!AJ359&gt;200,-4,IF(Consultas!AJ359&gt;1,-15,-20))))</f>
        <v>-20</v>
      </c>
      <c r="AJ359" s="82">
        <f>IF(Consultas!AD359='Parâmetros'!$E$10,0,IF(Consultas!AD359&gt;'Parâmetros'!$A$30,12,IF(Consultas!AD359&gt;'Parâmetros'!$A$31,6,IF(Consultas!AD359&gt;'Parâmetros'!$A$32,0,IF(Consultas!AD359&gt;'Parâmetros'!$A$33,0,IF(Consultas!AD359&gt;'Parâmetros'!$A$34,-3,IF(Consultas!AD359&gt;'Parâmetros'!$A$35,-7,-1)))))))</f>
        <v>-1</v>
      </c>
      <c r="AK359" s="82">
        <f>IF(Consultas!AO359='Parâmetros'!$D$1,3,-3)</f>
        <v>-3</v>
      </c>
      <c r="AL359" s="82">
        <f>IF(Consultas!AP359='Parâmetros'!$D$1,5,-3)</f>
        <v>-3</v>
      </c>
      <c r="AM359" s="82">
        <f>IF(Consultas!AL359="N",-6,0)</f>
        <v>0</v>
      </c>
      <c r="AN359" s="82">
        <f>IF(Consultas!AM359="N",-10,0)</f>
        <v>0</v>
      </c>
      <c r="AO359" s="82">
        <f>IF(Consultas!AN359="S",4,-2)</f>
        <v>-2</v>
      </c>
      <c r="AP359" s="39"/>
      <c r="AQ359" s="165" t="str">
        <f>IF(Consultas!F359&gt;1,(SUM(F359:AO359)),"N/A")</f>
        <v>N/A</v>
      </c>
      <c r="AR359" s="78">
        <f>IF((Consultas!AD359&gt;'Parâmetros'!$A$31),"X",AJ359+Y359+V359+AC359)</f>
        <v>-9</v>
      </c>
      <c r="AS359" s="78">
        <f>IF((Consultas!AD359&gt;'Parâmetros'!$A$31),"X",(H359+I359+J359+Q359+T359+Y359+Z359+AJ359+AN359))</f>
        <v>-23</v>
      </c>
      <c r="AT359" s="78" t="str">
        <f>IF((Consultas!AD359&lt;'Parâmetros'!$A$31),"X",(AD359+AC359+AB359))</f>
        <v>X</v>
      </c>
      <c r="AU359" s="78">
        <f t="shared" si="1"/>
        <v>-23</v>
      </c>
      <c r="AV359" s="82" t="str">
        <f>IF(AQ359="N/A","N/A",IF(AQ359&gt;5,'Parâmetros'!$A$15,(IF(AU359=AR359,'Parâmetros'!$A$17,IF(AU359=AS359,'Parâmetros'!$A$16,'Parâmetros'!$A$14)))))</f>
        <v>N/A</v>
      </c>
      <c r="AW359" s="86" t="str">
        <f>IF(AQ359="N/A","N/A",IF(AV359='Parâmetros'!$A$15,'Parâmetros'!$C$15,(IF(AV359='Parâmetros'!$A$17,'Parâmetros'!$C$17,IF(AV359='Parâmetros'!$A$16,'Parâmetros'!$C$16,IF(AV359='Parâmetros'!$A$14,'Parâmetros'!$C$12))))))</f>
        <v>N/A</v>
      </c>
      <c r="AX359" s="82" t="b">
        <f>IF(Consultas!F359&gt;1,(IF(Consultas!F359&gt;5000,"SOLICITAR PED COMPRA","N/A")))</f>
        <v>0</v>
      </c>
      <c r="AY359" s="167" t="str">
        <f>IF(AND(Consultas!M359&lt;&gt;"S", Consultas!H359="S"), "CHECAGEM REVERSA", "N/A")</f>
        <v>N/A</v>
      </c>
      <c r="AZ359" s="167" t="str">
        <f>IF(Consultas!U359="N","PRECISA CORRIGIR END DIVERGENTE","N/A")</f>
        <v>N/A</v>
      </c>
    </row>
    <row r="360" ht="12.0" customHeight="1">
      <c r="A360" s="39" t="s">
        <v>90</v>
      </c>
      <c r="B360" s="82" t="str">
        <f>Consultas!B360</f>
        <v/>
      </c>
      <c r="C360" s="82" t="str">
        <f>Consultas!D360</f>
        <v/>
      </c>
      <c r="D360" s="96" t="str">
        <f>Consultas!E360</f>
        <v/>
      </c>
      <c r="E360" s="104" t="str">
        <f>IF(Consultas!AB360&gt;0,YEAR('Parâmetros'!$B$1)-YEAR(Consultas!AB360),"NA")</f>
        <v>NA</v>
      </c>
      <c r="F360" s="82">
        <f>IF(Consultas!F360&gt;'Parâmetros'!$B$2,-8,0)</f>
        <v>0</v>
      </c>
      <c r="G360" s="82">
        <f>IF(Consultas!H360='Parâmetros'!$E$1,100,0)</f>
        <v>0</v>
      </c>
      <c r="H360" s="82">
        <f>IF(Consultas!I360='Parâmetros'!$E$1,-4,12)</f>
        <v>12</v>
      </c>
      <c r="I360" s="82">
        <f>IF(Consultas!J360='Parâmetros'!$E$1,1,-13)</f>
        <v>-13</v>
      </c>
      <c r="J360" s="82">
        <f>IF(Consultas!K360='Parâmetros'!$E$1,2,-5)</f>
        <v>-5</v>
      </c>
      <c r="K360" s="82" t="str">
        <f>IF(Consultas!L360='Parâmetros'!$D$1,"SOLIC CONTRATO DE ENTREGA","N/A")</f>
        <v>N/A</v>
      </c>
      <c r="L360" s="82">
        <f>IF(Consultas!R360='Parâmetros'!$E$1,1,-3)</f>
        <v>-3</v>
      </c>
      <c r="M360" s="82" t="b">
        <f>IF(Consultas!S360&gt;1,(IF(Consultas!S360='Parâmetros'!$E$1,-3,9)))</f>
        <v>0</v>
      </c>
      <c r="N360" s="82">
        <f>IF(Consultas!T360="S",23,0)</f>
        <v>0</v>
      </c>
      <c r="O360" s="82">
        <f>IF(Consultas!U360='Parâmetros'!$E$1,-3,3)</f>
        <v>3</v>
      </c>
      <c r="P360" s="82">
        <f>IF(Consultas!V360='Parâmetros'!$E$1,-100,2)</f>
        <v>2</v>
      </c>
      <c r="Q360" s="82">
        <f>IF(Consultas!M360='Parâmetros'!$D$1,2,-9)</f>
        <v>-9</v>
      </c>
      <c r="R360" s="82">
        <f>IF(Consultas!N360="RJ",-12,0)</f>
        <v>0</v>
      </c>
      <c r="S360" s="82">
        <f>IF(Consultas!O360="-",-3,IF(Consultas!O360=0,-6,IF(Consultas!O360=5,0,IF(Consultas!O360=10,6))))</f>
        <v>-6</v>
      </c>
      <c r="T360" s="82">
        <f>IF(Consultas!M360="S",0,(IF(Consultas!P360="S",6,0)))</f>
        <v>0</v>
      </c>
      <c r="U360" s="82">
        <f>IF(Consultas!Q360&gt;97,9,IF(Consultas!Q360&gt;75,0,-7))</f>
        <v>-7</v>
      </c>
      <c r="V360" s="82">
        <f>IF(Consultas!W360='Parâmetros'!$E$1,1,-5)</f>
        <v>-5</v>
      </c>
      <c r="W360" s="82">
        <f>IF(Consultas!X360="S",3,-3)</f>
        <v>-3</v>
      </c>
      <c r="X360" s="82">
        <f>IF(Consultas!Y360="S",0,-7)</f>
        <v>-7</v>
      </c>
      <c r="Y360" s="82">
        <f>IF(Consultas!Z360='Parâmetros'!$E$1,2,-8)</f>
        <v>-8</v>
      </c>
      <c r="Z360" s="82">
        <f>IF(Consultas!AA360='Parâmetros'!$E$1,-15,1)</f>
        <v>1</v>
      </c>
      <c r="AA360" s="147" t="s">
        <v>140</v>
      </c>
      <c r="AB360" s="82" t="str">
        <f>IF(E360="NA","NA",IF(E360&gt;'Parâmetros'!$A$9,8,IF(E360&gt;'Parâmetros'!$A$8,4,IF(E360&gt;'Parâmetros'!$A$7,0,-6))))</f>
        <v>NA</v>
      </c>
      <c r="AC360" s="82">
        <f>IF(Consultas!AC360='Parâmetros'!$E$1,0,5)</f>
        <v>5</v>
      </c>
      <c r="AD360" s="82">
        <f>IF(Consultas!AH360='Parâmetros'!$D$1,-10,5)</f>
        <v>5</v>
      </c>
      <c r="AE360" s="82">
        <f>IF(Consultas!AI360&gt;(Consultas!F360*2),-10,0)</f>
        <v>0</v>
      </c>
      <c r="AF360" s="82" t="b">
        <f>IF(Consultas!AD360&gt;1,(IF(Consultas!AI360&gt;(Consultas!AD360),-20,4)))</f>
        <v>0</v>
      </c>
      <c r="AG360" s="82">
        <f>IF(Consultas!AG360='Parâmetros'!$E$1,0,-6)</f>
        <v>-6</v>
      </c>
      <c r="AH360" s="82">
        <f>IF(Consultas!AF360='Parâmetros'!$E$1,1,-5)</f>
        <v>-5</v>
      </c>
      <c r="AI360" s="82">
        <f>IF(Consultas!AJ360&gt;700,8,IF(Consultas!AJ360&gt;500,4,IF(Consultas!AJ360&gt;200,-4,IF(Consultas!AJ360&gt;1,-15,-20))))</f>
        <v>-20</v>
      </c>
      <c r="AJ360" s="82">
        <f>IF(Consultas!AD360='Parâmetros'!$E$10,0,IF(Consultas!AD360&gt;'Parâmetros'!$A$30,12,IF(Consultas!AD360&gt;'Parâmetros'!$A$31,6,IF(Consultas!AD360&gt;'Parâmetros'!$A$32,0,IF(Consultas!AD360&gt;'Parâmetros'!$A$33,0,IF(Consultas!AD360&gt;'Parâmetros'!$A$34,-3,IF(Consultas!AD360&gt;'Parâmetros'!$A$35,-7,-1)))))))</f>
        <v>-1</v>
      </c>
      <c r="AK360" s="82">
        <f>IF(Consultas!AO360='Parâmetros'!$D$1,3,-3)</f>
        <v>-3</v>
      </c>
      <c r="AL360" s="82">
        <f>IF(Consultas!AP360='Parâmetros'!$D$1,5,-3)</f>
        <v>-3</v>
      </c>
      <c r="AM360" s="82">
        <f>IF(Consultas!AL360="N",-6,0)</f>
        <v>0</v>
      </c>
      <c r="AN360" s="82">
        <f>IF(Consultas!AM360="N",-10,0)</f>
        <v>0</v>
      </c>
      <c r="AO360" s="82">
        <f>IF(Consultas!AN360="S",4,-2)</f>
        <v>-2</v>
      </c>
      <c r="AP360" s="39"/>
      <c r="AQ360" s="165" t="str">
        <f>IF(Consultas!F360&gt;1,(SUM(F360:AO360)),"N/A")</f>
        <v>N/A</v>
      </c>
      <c r="AR360" s="78">
        <f>IF((Consultas!AD360&gt;'Parâmetros'!$A$31),"X",AJ360+Y360+V360+AC360)</f>
        <v>-9</v>
      </c>
      <c r="AS360" s="78">
        <f>IF((Consultas!AD360&gt;'Parâmetros'!$A$31),"X",(H360+I360+J360+Q360+T360+Y360+Z360+AJ360+AN360))</f>
        <v>-23</v>
      </c>
      <c r="AT360" s="78" t="str">
        <f>IF((Consultas!AD360&lt;'Parâmetros'!$A$31),"X",(AD360+AC360+AB360))</f>
        <v>X</v>
      </c>
      <c r="AU360" s="78">
        <f t="shared" si="1"/>
        <v>-23</v>
      </c>
      <c r="AV360" s="82" t="str">
        <f>IF(AQ360="N/A","N/A",IF(AQ360&gt;5,'Parâmetros'!$A$15,(IF(AU360=AR360,'Parâmetros'!$A$17,IF(AU360=AS360,'Parâmetros'!$A$16,'Parâmetros'!$A$14)))))</f>
        <v>N/A</v>
      </c>
      <c r="AW360" s="86" t="str">
        <f>IF(AQ360="N/A","N/A",IF(AV360='Parâmetros'!$A$15,'Parâmetros'!$C$15,(IF(AV360='Parâmetros'!$A$17,'Parâmetros'!$C$17,IF(AV360='Parâmetros'!$A$16,'Parâmetros'!$C$16,IF(AV360='Parâmetros'!$A$14,'Parâmetros'!$C$12))))))</f>
        <v>N/A</v>
      </c>
      <c r="AX360" s="82" t="b">
        <f>IF(Consultas!F360&gt;1,(IF(Consultas!F360&gt;5000,"SOLICITAR PED COMPRA","N/A")))</f>
        <v>0</v>
      </c>
      <c r="AY360" s="167" t="str">
        <f>IF(AND(Consultas!M360&lt;&gt;"S", Consultas!H360="S"), "CHECAGEM REVERSA", "N/A")</f>
        <v>N/A</v>
      </c>
      <c r="AZ360" s="167" t="str">
        <f>IF(Consultas!U360="N","PRECISA CORRIGIR END DIVERGENTE","N/A")</f>
        <v>N/A</v>
      </c>
    </row>
    <row r="361" ht="12.0" customHeight="1">
      <c r="A361" s="39" t="s">
        <v>90</v>
      </c>
      <c r="B361" s="82" t="str">
        <f>Consultas!B361</f>
        <v/>
      </c>
      <c r="C361" s="82" t="str">
        <f>Consultas!D361</f>
        <v/>
      </c>
      <c r="D361" s="96" t="str">
        <f>Consultas!E361</f>
        <v/>
      </c>
      <c r="E361" s="104" t="str">
        <f>IF(Consultas!AB361&gt;0,YEAR('Parâmetros'!$B$1)-YEAR(Consultas!AB361),"NA")</f>
        <v>NA</v>
      </c>
      <c r="F361" s="82">
        <f>IF(Consultas!F361&gt;'Parâmetros'!$B$2,-8,0)</f>
        <v>0</v>
      </c>
      <c r="G361" s="82">
        <f>IF(Consultas!H361='Parâmetros'!$E$1,100,0)</f>
        <v>0</v>
      </c>
      <c r="H361" s="82">
        <f>IF(Consultas!I361='Parâmetros'!$E$1,-4,12)</f>
        <v>12</v>
      </c>
      <c r="I361" s="82">
        <f>IF(Consultas!J361='Parâmetros'!$E$1,1,-13)</f>
        <v>-13</v>
      </c>
      <c r="J361" s="82">
        <f>IF(Consultas!K361='Parâmetros'!$E$1,2,-5)</f>
        <v>-5</v>
      </c>
      <c r="K361" s="82" t="str">
        <f>IF(Consultas!L361='Parâmetros'!$D$1,"SOLIC CONTRATO DE ENTREGA","N/A")</f>
        <v>N/A</v>
      </c>
      <c r="L361" s="82">
        <f>IF(Consultas!R361='Parâmetros'!$E$1,1,-3)</f>
        <v>-3</v>
      </c>
      <c r="M361" s="82" t="b">
        <f>IF(Consultas!S361&gt;1,(IF(Consultas!S361='Parâmetros'!$E$1,-3,9)))</f>
        <v>0</v>
      </c>
      <c r="N361" s="82">
        <f>IF(Consultas!T361="S",23,0)</f>
        <v>0</v>
      </c>
      <c r="O361" s="82">
        <f>IF(Consultas!U361='Parâmetros'!$E$1,-3,3)</f>
        <v>3</v>
      </c>
      <c r="P361" s="82">
        <f>IF(Consultas!V361='Parâmetros'!$E$1,-100,2)</f>
        <v>2</v>
      </c>
      <c r="Q361" s="82">
        <f>IF(Consultas!M361='Parâmetros'!$D$1,2,-9)</f>
        <v>-9</v>
      </c>
      <c r="R361" s="82">
        <f>IF(Consultas!N361="RJ",-12,0)</f>
        <v>0</v>
      </c>
      <c r="S361" s="82">
        <f>IF(Consultas!O361="-",-3,IF(Consultas!O361=0,-6,IF(Consultas!O361=5,0,IF(Consultas!O361=10,6))))</f>
        <v>-6</v>
      </c>
      <c r="T361" s="82">
        <f>IF(Consultas!M361="S",0,(IF(Consultas!P361="S",6,0)))</f>
        <v>0</v>
      </c>
      <c r="U361" s="82">
        <f>IF(Consultas!Q361&gt;97,9,IF(Consultas!Q361&gt;75,0,-7))</f>
        <v>-7</v>
      </c>
      <c r="V361" s="82">
        <f>IF(Consultas!W361='Parâmetros'!$E$1,1,-5)</f>
        <v>-5</v>
      </c>
      <c r="W361" s="82">
        <f>IF(Consultas!X361="S",3,-3)</f>
        <v>-3</v>
      </c>
      <c r="X361" s="82">
        <f>IF(Consultas!Y361="S",0,-7)</f>
        <v>-7</v>
      </c>
      <c r="Y361" s="82">
        <f>IF(Consultas!Z361='Parâmetros'!$E$1,2,-8)</f>
        <v>-8</v>
      </c>
      <c r="Z361" s="82">
        <f>IF(Consultas!AA361='Parâmetros'!$E$1,-15,1)</f>
        <v>1</v>
      </c>
      <c r="AA361" s="147" t="s">
        <v>140</v>
      </c>
      <c r="AB361" s="82" t="str">
        <f>IF(E361="NA","NA",IF(E361&gt;'Parâmetros'!$A$9,8,IF(E361&gt;'Parâmetros'!$A$8,4,IF(E361&gt;'Parâmetros'!$A$7,0,-6))))</f>
        <v>NA</v>
      </c>
      <c r="AC361" s="82">
        <f>IF(Consultas!AC361='Parâmetros'!$E$1,0,5)</f>
        <v>5</v>
      </c>
      <c r="AD361" s="82">
        <f>IF(Consultas!AH361='Parâmetros'!$D$1,-10,5)</f>
        <v>5</v>
      </c>
      <c r="AE361" s="82">
        <f>IF(Consultas!AI361&gt;(Consultas!F361*2),-10,0)</f>
        <v>0</v>
      </c>
      <c r="AF361" s="82" t="b">
        <f>IF(Consultas!AD361&gt;1,(IF(Consultas!AI361&gt;(Consultas!AD361),-20,4)))</f>
        <v>0</v>
      </c>
      <c r="AG361" s="82">
        <f>IF(Consultas!AG361='Parâmetros'!$E$1,0,-6)</f>
        <v>-6</v>
      </c>
      <c r="AH361" s="82">
        <f>IF(Consultas!AF361='Parâmetros'!$E$1,1,-5)</f>
        <v>-5</v>
      </c>
      <c r="AI361" s="82">
        <f>IF(Consultas!AJ361&gt;700,8,IF(Consultas!AJ361&gt;500,4,IF(Consultas!AJ361&gt;200,-4,IF(Consultas!AJ361&gt;1,-15,-20))))</f>
        <v>-20</v>
      </c>
      <c r="AJ361" s="82">
        <f>IF(Consultas!AD361='Parâmetros'!$E$10,0,IF(Consultas!AD361&gt;'Parâmetros'!$A$30,12,IF(Consultas!AD361&gt;'Parâmetros'!$A$31,6,IF(Consultas!AD361&gt;'Parâmetros'!$A$32,0,IF(Consultas!AD361&gt;'Parâmetros'!$A$33,0,IF(Consultas!AD361&gt;'Parâmetros'!$A$34,-3,IF(Consultas!AD361&gt;'Parâmetros'!$A$35,-7,-1)))))))</f>
        <v>-1</v>
      </c>
      <c r="AK361" s="82">
        <f>IF(Consultas!AO361='Parâmetros'!$D$1,3,-3)</f>
        <v>-3</v>
      </c>
      <c r="AL361" s="82">
        <f>IF(Consultas!AP361='Parâmetros'!$D$1,5,-3)</f>
        <v>-3</v>
      </c>
      <c r="AM361" s="82">
        <f>IF(Consultas!AL361="N",-6,0)</f>
        <v>0</v>
      </c>
      <c r="AN361" s="82">
        <f>IF(Consultas!AM361="N",-10,0)</f>
        <v>0</v>
      </c>
      <c r="AO361" s="82">
        <f>IF(Consultas!AN361="S",4,-2)</f>
        <v>-2</v>
      </c>
      <c r="AP361" s="39"/>
      <c r="AQ361" s="165" t="str">
        <f>IF(Consultas!F361&gt;1,(SUM(F361:AO361)),"N/A")</f>
        <v>N/A</v>
      </c>
      <c r="AR361" s="78">
        <f>IF((Consultas!AD361&gt;'Parâmetros'!$A$31),"X",AJ361+Y361+V361+AC361)</f>
        <v>-9</v>
      </c>
      <c r="AS361" s="78">
        <f>IF((Consultas!AD361&gt;'Parâmetros'!$A$31),"X",(H361+I361+J361+Q361+T361+Y361+Z361+AJ361+AN361))</f>
        <v>-23</v>
      </c>
      <c r="AT361" s="78" t="str">
        <f>IF((Consultas!AD361&lt;'Parâmetros'!$A$31),"X",(AD361+AC361+AB361))</f>
        <v>X</v>
      </c>
      <c r="AU361" s="78">
        <f t="shared" si="1"/>
        <v>-23</v>
      </c>
      <c r="AV361" s="82" t="str">
        <f>IF(AQ361="N/A","N/A",IF(AQ361&gt;5,'Parâmetros'!$A$15,(IF(AU361=AR361,'Parâmetros'!$A$17,IF(AU361=AS361,'Parâmetros'!$A$16,'Parâmetros'!$A$14)))))</f>
        <v>N/A</v>
      </c>
      <c r="AW361" s="86" t="str">
        <f>IF(AQ361="N/A","N/A",IF(AV361='Parâmetros'!$A$15,'Parâmetros'!$C$15,(IF(AV361='Parâmetros'!$A$17,'Parâmetros'!$C$17,IF(AV361='Parâmetros'!$A$16,'Parâmetros'!$C$16,IF(AV361='Parâmetros'!$A$14,'Parâmetros'!$C$12))))))</f>
        <v>N/A</v>
      </c>
      <c r="AX361" s="82" t="b">
        <f>IF(Consultas!F361&gt;1,(IF(Consultas!F361&gt;5000,"SOLICITAR PED COMPRA","N/A")))</f>
        <v>0</v>
      </c>
      <c r="AY361" s="167" t="str">
        <f>IF(AND(Consultas!M361&lt;&gt;"S", Consultas!H361="S"), "CHECAGEM REVERSA", "N/A")</f>
        <v>N/A</v>
      </c>
      <c r="AZ361" s="167" t="str">
        <f>IF(Consultas!U361="N","PRECISA CORRIGIR END DIVERGENTE","N/A")</f>
        <v>N/A</v>
      </c>
    </row>
    <row r="362" ht="12.0" customHeight="1">
      <c r="A362" s="39" t="s">
        <v>90</v>
      </c>
      <c r="B362" s="82" t="str">
        <f>Consultas!B362</f>
        <v/>
      </c>
      <c r="C362" s="82" t="str">
        <f>Consultas!D362</f>
        <v/>
      </c>
      <c r="D362" s="96" t="str">
        <f>Consultas!E362</f>
        <v/>
      </c>
      <c r="E362" s="104" t="str">
        <f>IF(Consultas!AB362&gt;0,YEAR('Parâmetros'!$B$1)-YEAR(Consultas!AB362),"NA")</f>
        <v>NA</v>
      </c>
      <c r="F362" s="82">
        <f>IF(Consultas!F362&gt;'Parâmetros'!$B$2,-8,0)</f>
        <v>0</v>
      </c>
      <c r="G362" s="82">
        <f>IF(Consultas!H362='Parâmetros'!$E$1,100,0)</f>
        <v>0</v>
      </c>
      <c r="H362" s="82">
        <f>IF(Consultas!I362='Parâmetros'!$E$1,-4,12)</f>
        <v>12</v>
      </c>
      <c r="I362" s="82">
        <f>IF(Consultas!J362='Parâmetros'!$E$1,1,-13)</f>
        <v>-13</v>
      </c>
      <c r="J362" s="82">
        <f>IF(Consultas!K362='Parâmetros'!$E$1,2,-5)</f>
        <v>-5</v>
      </c>
      <c r="K362" s="82" t="str">
        <f>IF(Consultas!L362='Parâmetros'!$D$1,"SOLIC CONTRATO DE ENTREGA","N/A")</f>
        <v>N/A</v>
      </c>
      <c r="L362" s="82">
        <f>IF(Consultas!R362='Parâmetros'!$E$1,1,-3)</f>
        <v>-3</v>
      </c>
      <c r="M362" s="82" t="b">
        <f>IF(Consultas!S362&gt;1,(IF(Consultas!S362='Parâmetros'!$E$1,-3,9)))</f>
        <v>0</v>
      </c>
      <c r="N362" s="82">
        <f>IF(Consultas!T362="S",23,0)</f>
        <v>0</v>
      </c>
      <c r="O362" s="82">
        <f>IF(Consultas!U362='Parâmetros'!$E$1,-3,3)</f>
        <v>3</v>
      </c>
      <c r="P362" s="82">
        <f>IF(Consultas!V362='Parâmetros'!$E$1,-100,2)</f>
        <v>2</v>
      </c>
      <c r="Q362" s="82">
        <f>IF(Consultas!M362='Parâmetros'!$D$1,2,-9)</f>
        <v>-9</v>
      </c>
      <c r="R362" s="82">
        <f>IF(Consultas!N362="RJ",-12,0)</f>
        <v>0</v>
      </c>
      <c r="S362" s="82">
        <f>IF(Consultas!O362="-",-3,IF(Consultas!O362=0,-6,IF(Consultas!O362=5,0,IF(Consultas!O362=10,6))))</f>
        <v>-6</v>
      </c>
      <c r="T362" s="82">
        <f>IF(Consultas!M362="S",0,(IF(Consultas!P362="S",6,0)))</f>
        <v>0</v>
      </c>
      <c r="U362" s="82">
        <f>IF(Consultas!Q362&gt;97,9,IF(Consultas!Q362&gt;75,0,-7))</f>
        <v>-7</v>
      </c>
      <c r="V362" s="82">
        <f>IF(Consultas!W362='Parâmetros'!$E$1,1,-5)</f>
        <v>-5</v>
      </c>
      <c r="W362" s="82">
        <f>IF(Consultas!X362="S",3,-3)</f>
        <v>-3</v>
      </c>
      <c r="X362" s="82">
        <f>IF(Consultas!Y362="S",0,-7)</f>
        <v>-7</v>
      </c>
      <c r="Y362" s="82">
        <f>IF(Consultas!Z362='Parâmetros'!$E$1,2,-8)</f>
        <v>-8</v>
      </c>
      <c r="Z362" s="82">
        <f>IF(Consultas!AA362='Parâmetros'!$E$1,-15,1)</f>
        <v>1</v>
      </c>
      <c r="AA362" s="147" t="s">
        <v>140</v>
      </c>
      <c r="AB362" s="82" t="str">
        <f>IF(E362="NA","NA",IF(E362&gt;'Parâmetros'!$A$9,8,IF(E362&gt;'Parâmetros'!$A$8,4,IF(E362&gt;'Parâmetros'!$A$7,0,-6))))</f>
        <v>NA</v>
      </c>
      <c r="AC362" s="82">
        <f>IF(Consultas!AC362='Parâmetros'!$E$1,0,5)</f>
        <v>5</v>
      </c>
      <c r="AD362" s="82">
        <f>IF(Consultas!AH362='Parâmetros'!$D$1,-10,5)</f>
        <v>5</v>
      </c>
      <c r="AE362" s="82">
        <f>IF(Consultas!AI362&gt;(Consultas!F362*2),-10,0)</f>
        <v>0</v>
      </c>
      <c r="AF362" s="82" t="b">
        <f>IF(Consultas!AD362&gt;1,(IF(Consultas!AI362&gt;(Consultas!AD362),-20,4)))</f>
        <v>0</v>
      </c>
      <c r="AG362" s="82">
        <f>IF(Consultas!AG362='Parâmetros'!$E$1,0,-6)</f>
        <v>-6</v>
      </c>
      <c r="AH362" s="82">
        <f>IF(Consultas!AF362='Parâmetros'!$E$1,1,-5)</f>
        <v>-5</v>
      </c>
      <c r="AI362" s="82">
        <f>IF(Consultas!AJ362&gt;700,8,IF(Consultas!AJ362&gt;500,4,IF(Consultas!AJ362&gt;200,-4,IF(Consultas!AJ362&gt;1,-15,-20))))</f>
        <v>-20</v>
      </c>
      <c r="AJ362" s="82">
        <f>IF(Consultas!AD362='Parâmetros'!$E$10,0,IF(Consultas!AD362&gt;'Parâmetros'!$A$30,12,IF(Consultas!AD362&gt;'Parâmetros'!$A$31,6,IF(Consultas!AD362&gt;'Parâmetros'!$A$32,0,IF(Consultas!AD362&gt;'Parâmetros'!$A$33,0,IF(Consultas!AD362&gt;'Parâmetros'!$A$34,-3,IF(Consultas!AD362&gt;'Parâmetros'!$A$35,-7,-1)))))))</f>
        <v>-1</v>
      </c>
      <c r="AK362" s="82">
        <f>IF(Consultas!AO362='Parâmetros'!$D$1,3,-3)</f>
        <v>-3</v>
      </c>
      <c r="AL362" s="82">
        <f>IF(Consultas!AP362='Parâmetros'!$D$1,5,-3)</f>
        <v>-3</v>
      </c>
      <c r="AM362" s="82">
        <f>IF(Consultas!AL362="N",-6,0)</f>
        <v>0</v>
      </c>
      <c r="AN362" s="82">
        <f>IF(Consultas!AM362="N",-10,0)</f>
        <v>0</v>
      </c>
      <c r="AO362" s="82">
        <f>IF(Consultas!AN362="S",4,-2)</f>
        <v>-2</v>
      </c>
      <c r="AP362" s="39"/>
      <c r="AQ362" s="165" t="str">
        <f>IF(Consultas!F362&gt;1,(SUM(F362:AO362)),"N/A")</f>
        <v>N/A</v>
      </c>
      <c r="AR362" s="78">
        <f>IF((Consultas!AD362&gt;'Parâmetros'!$A$31),"X",AJ362+Y362+V362+AC362)</f>
        <v>-9</v>
      </c>
      <c r="AS362" s="78">
        <f>IF((Consultas!AD362&gt;'Parâmetros'!$A$31),"X",(H362+I362+J362+Q362+T362+Y362+Z362+AJ362+AN362))</f>
        <v>-23</v>
      </c>
      <c r="AT362" s="78" t="str">
        <f>IF((Consultas!AD362&lt;'Parâmetros'!$A$31),"X",(AD362+AC362+AB362))</f>
        <v>X</v>
      </c>
      <c r="AU362" s="78">
        <f t="shared" si="1"/>
        <v>-23</v>
      </c>
      <c r="AV362" s="82" t="str">
        <f>IF(AQ362="N/A","N/A",IF(AQ362&gt;5,'Parâmetros'!$A$15,(IF(AU362=AR362,'Parâmetros'!$A$17,IF(AU362=AS362,'Parâmetros'!$A$16,'Parâmetros'!$A$14)))))</f>
        <v>N/A</v>
      </c>
      <c r="AW362" s="86" t="str">
        <f>IF(AQ362="N/A","N/A",IF(AV362='Parâmetros'!$A$15,'Parâmetros'!$C$15,(IF(AV362='Parâmetros'!$A$17,'Parâmetros'!$C$17,IF(AV362='Parâmetros'!$A$16,'Parâmetros'!$C$16,IF(AV362='Parâmetros'!$A$14,'Parâmetros'!$C$12))))))</f>
        <v>N/A</v>
      </c>
      <c r="AX362" s="82" t="b">
        <f>IF(Consultas!F362&gt;1,(IF(Consultas!F362&gt;5000,"SOLICITAR PED COMPRA","N/A")))</f>
        <v>0</v>
      </c>
      <c r="AY362" s="167" t="str">
        <f>IF(AND(Consultas!M362&lt;&gt;"S", Consultas!H362="S"), "CHECAGEM REVERSA", "N/A")</f>
        <v>N/A</v>
      </c>
      <c r="AZ362" s="167" t="str">
        <f>IF(Consultas!U362="N","PRECISA CORRIGIR END DIVERGENTE","N/A")</f>
        <v>N/A</v>
      </c>
    </row>
    <row r="363" ht="12.0" customHeight="1">
      <c r="A363" s="39" t="s">
        <v>90</v>
      </c>
      <c r="B363" s="82" t="str">
        <f>Consultas!B363</f>
        <v/>
      </c>
      <c r="C363" s="82" t="str">
        <f>Consultas!D363</f>
        <v/>
      </c>
      <c r="D363" s="96" t="str">
        <f>Consultas!E363</f>
        <v/>
      </c>
      <c r="E363" s="104" t="str">
        <f>IF(Consultas!AB363&gt;0,YEAR('Parâmetros'!$B$1)-YEAR(Consultas!AB363),"NA")</f>
        <v>NA</v>
      </c>
      <c r="F363" s="82">
        <f>IF(Consultas!F363&gt;'Parâmetros'!$B$2,-8,0)</f>
        <v>0</v>
      </c>
      <c r="G363" s="82">
        <f>IF(Consultas!H363='Parâmetros'!$E$1,100,0)</f>
        <v>0</v>
      </c>
      <c r="H363" s="82">
        <f>IF(Consultas!I363='Parâmetros'!$E$1,-4,12)</f>
        <v>12</v>
      </c>
      <c r="I363" s="82">
        <f>IF(Consultas!J363='Parâmetros'!$E$1,1,-13)</f>
        <v>-13</v>
      </c>
      <c r="J363" s="82">
        <f>IF(Consultas!K363='Parâmetros'!$E$1,2,-5)</f>
        <v>-5</v>
      </c>
      <c r="K363" s="82" t="str">
        <f>IF(Consultas!L363='Parâmetros'!$D$1,"SOLIC CONTRATO DE ENTREGA","N/A")</f>
        <v>N/A</v>
      </c>
      <c r="L363" s="82">
        <f>IF(Consultas!R363='Parâmetros'!$E$1,1,-3)</f>
        <v>-3</v>
      </c>
      <c r="M363" s="82" t="b">
        <f>IF(Consultas!S363&gt;1,(IF(Consultas!S363='Parâmetros'!$E$1,-3,9)))</f>
        <v>0</v>
      </c>
      <c r="N363" s="82">
        <f>IF(Consultas!T363="S",23,0)</f>
        <v>0</v>
      </c>
      <c r="O363" s="82">
        <f>IF(Consultas!U363='Parâmetros'!$E$1,-3,3)</f>
        <v>3</v>
      </c>
      <c r="P363" s="82">
        <f>IF(Consultas!V363='Parâmetros'!$E$1,-100,2)</f>
        <v>2</v>
      </c>
      <c r="Q363" s="82">
        <f>IF(Consultas!M363='Parâmetros'!$D$1,2,-9)</f>
        <v>-9</v>
      </c>
      <c r="R363" s="82">
        <f>IF(Consultas!N363="RJ",-12,0)</f>
        <v>0</v>
      </c>
      <c r="S363" s="82">
        <f>IF(Consultas!O363="-",-3,IF(Consultas!O363=0,-6,IF(Consultas!O363=5,0,IF(Consultas!O363=10,6))))</f>
        <v>-6</v>
      </c>
      <c r="T363" s="82">
        <f>IF(Consultas!M363="S",0,(IF(Consultas!P363="S",6,0)))</f>
        <v>0</v>
      </c>
      <c r="U363" s="82">
        <f>IF(Consultas!Q363&gt;97,9,IF(Consultas!Q363&gt;75,0,-7))</f>
        <v>-7</v>
      </c>
      <c r="V363" s="82">
        <f>IF(Consultas!W363='Parâmetros'!$E$1,1,-5)</f>
        <v>-5</v>
      </c>
      <c r="W363" s="82">
        <f>IF(Consultas!X363="S",3,-3)</f>
        <v>-3</v>
      </c>
      <c r="X363" s="82">
        <f>IF(Consultas!Y363="S",0,-7)</f>
        <v>-7</v>
      </c>
      <c r="Y363" s="82">
        <f>IF(Consultas!Z363='Parâmetros'!$E$1,2,-8)</f>
        <v>-8</v>
      </c>
      <c r="Z363" s="82">
        <f>IF(Consultas!AA363='Parâmetros'!$E$1,-15,1)</f>
        <v>1</v>
      </c>
      <c r="AA363" s="147" t="s">
        <v>140</v>
      </c>
      <c r="AB363" s="82" t="str">
        <f>IF(E363="NA","NA",IF(E363&gt;'Parâmetros'!$A$9,8,IF(E363&gt;'Parâmetros'!$A$8,4,IF(E363&gt;'Parâmetros'!$A$7,0,-6))))</f>
        <v>NA</v>
      </c>
      <c r="AC363" s="82">
        <f>IF(Consultas!AC363='Parâmetros'!$E$1,0,5)</f>
        <v>5</v>
      </c>
      <c r="AD363" s="82">
        <f>IF(Consultas!AH363='Parâmetros'!$D$1,-10,5)</f>
        <v>5</v>
      </c>
      <c r="AE363" s="82">
        <f>IF(Consultas!AI363&gt;(Consultas!F363*2),-10,0)</f>
        <v>0</v>
      </c>
      <c r="AF363" s="82" t="b">
        <f>IF(Consultas!AD363&gt;1,(IF(Consultas!AI363&gt;(Consultas!AD363),-20,4)))</f>
        <v>0</v>
      </c>
      <c r="AG363" s="82">
        <f>IF(Consultas!AG363='Parâmetros'!$E$1,0,-6)</f>
        <v>-6</v>
      </c>
      <c r="AH363" s="82">
        <f>IF(Consultas!AF363='Parâmetros'!$E$1,1,-5)</f>
        <v>-5</v>
      </c>
      <c r="AI363" s="82">
        <f>IF(Consultas!AJ363&gt;700,8,IF(Consultas!AJ363&gt;500,4,IF(Consultas!AJ363&gt;200,-4,IF(Consultas!AJ363&gt;1,-15,-20))))</f>
        <v>-20</v>
      </c>
      <c r="AJ363" s="82">
        <f>IF(Consultas!AD363='Parâmetros'!$E$10,0,IF(Consultas!AD363&gt;'Parâmetros'!$A$30,12,IF(Consultas!AD363&gt;'Parâmetros'!$A$31,6,IF(Consultas!AD363&gt;'Parâmetros'!$A$32,0,IF(Consultas!AD363&gt;'Parâmetros'!$A$33,0,IF(Consultas!AD363&gt;'Parâmetros'!$A$34,-3,IF(Consultas!AD363&gt;'Parâmetros'!$A$35,-7,-1)))))))</f>
        <v>-1</v>
      </c>
      <c r="AK363" s="82">
        <f>IF(Consultas!AO363='Parâmetros'!$D$1,3,-3)</f>
        <v>-3</v>
      </c>
      <c r="AL363" s="82">
        <f>IF(Consultas!AP363='Parâmetros'!$D$1,5,-3)</f>
        <v>-3</v>
      </c>
      <c r="AM363" s="82">
        <f>IF(Consultas!AL363="N",-6,0)</f>
        <v>0</v>
      </c>
      <c r="AN363" s="82">
        <f>IF(Consultas!AM363="N",-10,0)</f>
        <v>0</v>
      </c>
      <c r="AO363" s="82">
        <f>IF(Consultas!AN363="S",4,-2)</f>
        <v>-2</v>
      </c>
      <c r="AP363" s="39"/>
      <c r="AQ363" s="165" t="str">
        <f>IF(Consultas!F363&gt;1,(SUM(F363:AO363)),"N/A")</f>
        <v>N/A</v>
      </c>
      <c r="AR363" s="78">
        <f>IF((Consultas!AD363&gt;'Parâmetros'!$A$31),"X",AJ363+Y363+V363+AC363)</f>
        <v>-9</v>
      </c>
      <c r="AS363" s="78">
        <f>IF((Consultas!AD363&gt;'Parâmetros'!$A$31),"X",(H363+I363+J363+Q363+T363+Y363+Z363+AJ363+AN363))</f>
        <v>-23</v>
      </c>
      <c r="AT363" s="78" t="str">
        <f>IF((Consultas!AD363&lt;'Parâmetros'!$A$31),"X",(AD363+AC363+AB363))</f>
        <v>X</v>
      </c>
      <c r="AU363" s="78">
        <f t="shared" si="1"/>
        <v>-23</v>
      </c>
      <c r="AV363" s="82" t="str">
        <f>IF(AQ363="N/A","N/A",IF(AQ363&gt;5,'Parâmetros'!$A$15,(IF(AU363=AR363,'Parâmetros'!$A$17,IF(AU363=AS363,'Parâmetros'!$A$16,'Parâmetros'!$A$14)))))</f>
        <v>N/A</v>
      </c>
      <c r="AW363" s="86" t="str">
        <f>IF(AQ363="N/A","N/A",IF(AV363='Parâmetros'!$A$15,'Parâmetros'!$C$15,(IF(AV363='Parâmetros'!$A$17,'Parâmetros'!$C$17,IF(AV363='Parâmetros'!$A$16,'Parâmetros'!$C$16,IF(AV363='Parâmetros'!$A$14,'Parâmetros'!$C$12))))))</f>
        <v>N/A</v>
      </c>
      <c r="AX363" s="82" t="b">
        <f>IF(Consultas!F363&gt;1,(IF(Consultas!F363&gt;5000,"SOLICITAR PED COMPRA","N/A")))</f>
        <v>0</v>
      </c>
      <c r="AY363" s="167" t="str">
        <f>IF(AND(Consultas!M363&lt;&gt;"S", Consultas!H363="S"), "CHECAGEM REVERSA", "N/A")</f>
        <v>N/A</v>
      </c>
      <c r="AZ363" s="167" t="str">
        <f>IF(Consultas!U363="N","PRECISA CORRIGIR END DIVERGENTE","N/A")</f>
        <v>N/A</v>
      </c>
    </row>
    <row r="364" ht="12.0" customHeight="1">
      <c r="A364" s="39" t="s">
        <v>90</v>
      </c>
      <c r="B364" s="82" t="str">
        <f>Consultas!B364</f>
        <v/>
      </c>
      <c r="C364" s="82" t="str">
        <f>Consultas!D364</f>
        <v/>
      </c>
      <c r="D364" s="96" t="str">
        <f>Consultas!E364</f>
        <v/>
      </c>
      <c r="E364" s="104" t="str">
        <f>IF(Consultas!AB364&gt;0,YEAR('Parâmetros'!$B$1)-YEAR(Consultas!AB364),"NA")</f>
        <v>NA</v>
      </c>
      <c r="F364" s="82">
        <f>IF(Consultas!F364&gt;'Parâmetros'!$B$2,-8,0)</f>
        <v>0</v>
      </c>
      <c r="G364" s="82">
        <f>IF(Consultas!H364='Parâmetros'!$E$1,100,0)</f>
        <v>0</v>
      </c>
      <c r="H364" s="82">
        <f>IF(Consultas!I364='Parâmetros'!$E$1,-4,12)</f>
        <v>12</v>
      </c>
      <c r="I364" s="82">
        <f>IF(Consultas!J364='Parâmetros'!$E$1,1,-13)</f>
        <v>-13</v>
      </c>
      <c r="J364" s="82">
        <f>IF(Consultas!K364='Parâmetros'!$E$1,2,-5)</f>
        <v>-5</v>
      </c>
      <c r="K364" s="82" t="str">
        <f>IF(Consultas!L364='Parâmetros'!$D$1,"SOLIC CONTRATO DE ENTREGA","N/A")</f>
        <v>N/A</v>
      </c>
      <c r="L364" s="82">
        <f>IF(Consultas!R364='Parâmetros'!$E$1,1,-3)</f>
        <v>-3</v>
      </c>
      <c r="M364" s="82" t="b">
        <f>IF(Consultas!S364&gt;1,(IF(Consultas!S364='Parâmetros'!$E$1,-3,9)))</f>
        <v>0</v>
      </c>
      <c r="N364" s="82">
        <f>IF(Consultas!T364="S",23,0)</f>
        <v>0</v>
      </c>
      <c r="O364" s="82">
        <f>IF(Consultas!U364='Parâmetros'!$E$1,-3,3)</f>
        <v>3</v>
      </c>
      <c r="P364" s="82">
        <f>IF(Consultas!V364='Parâmetros'!$E$1,-100,2)</f>
        <v>2</v>
      </c>
      <c r="Q364" s="82">
        <f>IF(Consultas!M364='Parâmetros'!$D$1,2,-9)</f>
        <v>-9</v>
      </c>
      <c r="R364" s="82">
        <f>IF(Consultas!N364="RJ",-12,0)</f>
        <v>0</v>
      </c>
      <c r="S364" s="82">
        <f>IF(Consultas!O364="-",-3,IF(Consultas!O364=0,-6,IF(Consultas!O364=5,0,IF(Consultas!O364=10,6))))</f>
        <v>-6</v>
      </c>
      <c r="T364" s="82">
        <f>IF(Consultas!M364="S",0,(IF(Consultas!P364="S",6,0)))</f>
        <v>0</v>
      </c>
      <c r="U364" s="82">
        <f>IF(Consultas!Q364&gt;97,9,IF(Consultas!Q364&gt;75,0,-7))</f>
        <v>-7</v>
      </c>
      <c r="V364" s="82">
        <f>IF(Consultas!W364='Parâmetros'!$E$1,1,-5)</f>
        <v>-5</v>
      </c>
      <c r="W364" s="82">
        <f>IF(Consultas!X364="S",3,-3)</f>
        <v>-3</v>
      </c>
      <c r="X364" s="82">
        <f>IF(Consultas!Y364="S",0,-7)</f>
        <v>-7</v>
      </c>
      <c r="Y364" s="82">
        <f>IF(Consultas!Z364='Parâmetros'!$E$1,2,-8)</f>
        <v>-8</v>
      </c>
      <c r="Z364" s="82">
        <f>IF(Consultas!AA364='Parâmetros'!$E$1,-15,1)</f>
        <v>1</v>
      </c>
      <c r="AA364" s="147" t="s">
        <v>140</v>
      </c>
      <c r="AB364" s="82" t="str">
        <f>IF(E364="NA","NA",IF(E364&gt;'Parâmetros'!$A$9,8,IF(E364&gt;'Parâmetros'!$A$8,4,IF(E364&gt;'Parâmetros'!$A$7,0,-6))))</f>
        <v>NA</v>
      </c>
      <c r="AC364" s="82">
        <f>IF(Consultas!AC364='Parâmetros'!$E$1,0,5)</f>
        <v>5</v>
      </c>
      <c r="AD364" s="82">
        <f>IF(Consultas!AH364='Parâmetros'!$D$1,-10,5)</f>
        <v>5</v>
      </c>
      <c r="AE364" s="82">
        <f>IF(Consultas!AI364&gt;(Consultas!F364*2),-10,0)</f>
        <v>0</v>
      </c>
      <c r="AF364" s="82" t="b">
        <f>IF(Consultas!AD364&gt;1,(IF(Consultas!AI364&gt;(Consultas!AD364),-20,4)))</f>
        <v>0</v>
      </c>
      <c r="AG364" s="82">
        <f>IF(Consultas!AG364='Parâmetros'!$E$1,0,-6)</f>
        <v>-6</v>
      </c>
      <c r="AH364" s="82">
        <f>IF(Consultas!AF364='Parâmetros'!$E$1,1,-5)</f>
        <v>-5</v>
      </c>
      <c r="AI364" s="82">
        <f>IF(Consultas!AJ364&gt;700,8,IF(Consultas!AJ364&gt;500,4,IF(Consultas!AJ364&gt;200,-4,IF(Consultas!AJ364&gt;1,-15,-20))))</f>
        <v>-20</v>
      </c>
      <c r="AJ364" s="82">
        <f>IF(Consultas!AD364='Parâmetros'!$E$10,0,IF(Consultas!AD364&gt;'Parâmetros'!$A$30,12,IF(Consultas!AD364&gt;'Parâmetros'!$A$31,6,IF(Consultas!AD364&gt;'Parâmetros'!$A$32,0,IF(Consultas!AD364&gt;'Parâmetros'!$A$33,0,IF(Consultas!AD364&gt;'Parâmetros'!$A$34,-3,IF(Consultas!AD364&gt;'Parâmetros'!$A$35,-7,-1)))))))</f>
        <v>-1</v>
      </c>
      <c r="AK364" s="82">
        <f>IF(Consultas!AO364='Parâmetros'!$D$1,3,-3)</f>
        <v>-3</v>
      </c>
      <c r="AL364" s="82">
        <f>IF(Consultas!AP364='Parâmetros'!$D$1,5,-3)</f>
        <v>-3</v>
      </c>
      <c r="AM364" s="82">
        <f>IF(Consultas!AL364="N",-6,0)</f>
        <v>0</v>
      </c>
      <c r="AN364" s="82">
        <f>IF(Consultas!AM364="N",-10,0)</f>
        <v>0</v>
      </c>
      <c r="AO364" s="82">
        <f>IF(Consultas!AN364="S",4,-2)</f>
        <v>-2</v>
      </c>
      <c r="AP364" s="39"/>
      <c r="AQ364" s="165" t="str">
        <f>IF(Consultas!F364&gt;1,(SUM(F364:AO364)),"N/A")</f>
        <v>N/A</v>
      </c>
      <c r="AR364" s="78">
        <f>IF((Consultas!AD364&gt;'Parâmetros'!$A$31),"X",AJ364+Y364+V364+AC364)</f>
        <v>-9</v>
      </c>
      <c r="AS364" s="78">
        <f>IF((Consultas!AD364&gt;'Parâmetros'!$A$31),"X",(H364+I364+J364+Q364+T364+Y364+Z364+AJ364+AN364))</f>
        <v>-23</v>
      </c>
      <c r="AT364" s="78" t="str">
        <f>IF((Consultas!AD364&lt;'Parâmetros'!$A$31),"X",(AD364+AC364+AB364))</f>
        <v>X</v>
      </c>
      <c r="AU364" s="78">
        <f t="shared" si="1"/>
        <v>-23</v>
      </c>
      <c r="AV364" s="82" t="str">
        <f>IF(AQ364="N/A","N/A",IF(AQ364&gt;5,'Parâmetros'!$A$15,(IF(AU364=AR364,'Parâmetros'!$A$17,IF(AU364=AS364,'Parâmetros'!$A$16,'Parâmetros'!$A$14)))))</f>
        <v>N/A</v>
      </c>
      <c r="AW364" s="86" t="str">
        <f>IF(AQ364="N/A","N/A",IF(AV364='Parâmetros'!$A$15,'Parâmetros'!$C$15,(IF(AV364='Parâmetros'!$A$17,'Parâmetros'!$C$17,IF(AV364='Parâmetros'!$A$16,'Parâmetros'!$C$16,IF(AV364='Parâmetros'!$A$14,'Parâmetros'!$C$12))))))</f>
        <v>N/A</v>
      </c>
      <c r="AX364" s="82" t="b">
        <f>IF(Consultas!F364&gt;1,(IF(Consultas!F364&gt;5000,"SOLICITAR PED COMPRA","N/A")))</f>
        <v>0</v>
      </c>
      <c r="AY364" s="167" t="str">
        <f>IF(AND(Consultas!M364&lt;&gt;"S", Consultas!H364="S"), "CHECAGEM REVERSA", "N/A")</f>
        <v>N/A</v>
      </c>
      <c r="AZ364" s="167" t="str">
        <f>IF(Consultas!U364="N","PRECISA CORRIGIR END DIVERGENTE","N/A")</f>
        <v>N/A</v>
      </c>
    </row>
    <row r="365" ht="12.0" customHeight="1">
      <c r="A365" s="39" t="s">
        <v>90</v>
      </c>
      <c r="B365" s="82" t="str">
        <f>Consultas!B365</f>
        <v/>
      </c>
      <c r="C365" s="82" t="str">
        <f>Consultas!D365</f>
        <v/>
      </c>
      <c r="D365" s="96" t="str">
        <f>Consultas!E365</f>
        <v/>
      </c>
      <c r="E365" s="104" t="str">
        <f>IF(Consultas!AB365&gt;0,YEAR('Parâmetros'!$B$1)-YEAR(Consultas!AB365),"NA")</f>
        <v>NA</v>
      </c>
      <c r="F365" s="82">
        <f>IF(Consultas!F365&gt;'Parâmetros'!$B$2,-8,0)</f>
        <v>0</v>
      </c>
      <c r="G365" s="82">
        <f>IF(Consultas!H365='Parâmetros'!$E$1,100,0)</f>
        <v>0</v>
      </c>
      <c r="H365" s="82">
        <f>IF(Consultas!I365='Parâmetros'!$E$1,-4,12)</f>
        <v>12</v>
      </c>
      <c r="I365" s="82">
        <f>IF(Consultas!J365='Parâmetros'!$E$1,1,-13)</f>
        <v>-13</v>
      </c>
      <c r="J365" s="82">
        <f>IF(Consultas!K365='Parâmetros'!$E$1,2,-5)</f>
        <v>-5</v>
      </c>
      <c r="K365" s="82" t="str">
        <f>IF(Consultas!L365='Parâmetros'!$D$1,"SOLIC CONTRATO DE ENTREGA","N/A")</f>
        <v>N/A</v>
      </c>
      <c r="L365" s="82">
        <f>IF(Consultas!R365='Parâmetros'!$E$1,1,-3)</f>
        <v>-3</v>
      </c>
      <c r="M365" s="82" t="b">
        <f>IF(Consultas!S365&gt;1,(IF(Consultas!S365='Parâmetros'!$E$1,-3,9)))</f>
        <v>0</v>
      </c>
      <c r="N365" s="82">
        <f>IF(Consultas!T365="S",23,0)</f>
        <v>0</v>
      </c>
      <c r="O365" s="82">
        <f>IF(Consultas!U365='Parâmetros'!$E$1,-3,3)</f>
        <v>3</v>
      </c>
      <c r="P365" s="82">
        <f>IF(Consultas!V365='Parâmetros'!$E$1,-100,2)</f>
        <v>2</v>
      </c>
      <c r="Q365" s="82">
        <f>IF(Consultas!M365='Parâmetros'!$D$1,2,-9)</f>
        <v>-9</v>
      </c>
      <c r="R365" s="82">
        <f>IF(Consultas!N365="RJ",-12,0)</f>
        <v>0</v>
      </c>
      <c r="S365" s="82">
        <f>IF(Consultas!O365="-",-3,IF(Consultas!O365=0,-6,IF(Consultas!O365=5,0,IF(Consultas!O365=10,6))))</f>
        <v>-6</v>
      </c>
      <c r="T365" s="82">
        <f>IF(Consultas!M365="S",0,(IF(Consultas!P365="S",6,0)))</f>
        <v>0</v>
      </c>
      <c r="U365" s="82">
        <f>IF(Consultas!Q365&gt;97,9,IF(Consultas!Q365&gt;75,0,-7))</f>
        <v>-7</v>
      </c>
      <c r="V365" s="82">
        <f>IF(Consultas!W365='Parâmetros'!$E$1,1,-5)</f>
        <v>-5</v>
      </c>
      <c r="W365" s="82">
        <f>IF(Consultas!X365="S",3,-3)</f>
        <v>-3</v>
      </c>
      <c r="X365" s="82">
        <f>IF(Consultas!Y365="S",0,-7)</f>
        <v>-7</v>
      </c>
      <c r="Y365" s="82">
        <f>IF(Consultas!Z365='Parâmetros'!$E$1,2,-8)</f>
        <v>-8</v>
      </c>
      <c r="Z365" s="82">
        <f>IF(Consultas!AA365='Parâmetros'!$E$1,-15,1)</f>
        <v>1</v>
      </c>
      <c r="AA365" s="147" t="s">
        <v>140</v>
      </c>
      <c r="AB365" s="82" t="str">
        <f>IF(E365="NA","NA",IF(E365&gt;'Parâmetros'!$A$9,8,IF(E365&gt;'Parâmetros'!$A$8,4,IF(E365&gt;'Parâmetros'!$A$7,0,-6))))</f>
        <v>NA</v>
      </c>
      <c r="AC365" s="82">
        <f>IF(Consultas!AC365='Parâmetros'!$E$1,0,5)</f>
        <v>5</v>
      </c>
      <c r="AD365" s="82">
        <f>IF(Consultas!AH365='Parâmetros'!$D$1,-10,5)</f>
        <v>5</v>
      </c>
      <c r="AE365" s="82">
        <f>IF(Consultas!AI365&gt;(Consultas!F365*2),-10,0)</f>
        <v>0</v>
      </c>
      <c r="AF365" s="82" t="b">
        <f>IF(Consultas!AD365&gt;1,(IF(Consultas!AI365&gt;(Consultas!AD365),-20,4)))</f>
        <v>0</v>
      </c>
      <c r="AG365" s="82">
        <f>IF(Consultas!AG365='Parâmetros'!$E$1,0,-6)</f>
        <v>-6</v>
      </c>
      <c r="AH365" s="82">
        <f>IF(Consultas!AF365='Parâmetros'!$E$1,1,-5)</f>
        <v>-5</v>
      </c>
      <c r="AI365" s="82">
        <f>IF(Consultas!AJ365&gt;700,8,IF(Consultas!AJ365&gt;500,4,IF(Consultas!AJ365&gt;200,-4,IF(Consultas!AJ365&gt;1,-15,-20))))</f>
        <v>-20</v>
      </c>
      <c r="AJ365" s="82">
        <f>IF(Consultas!AD365='Parâmetros'!$E$10,0,IF(Consultas!AD365&gt;'Parâmetros'!$A$30,12,IF(Consultas!AD365&gt;'Parâmetros'!$A$31,6,IF(Consultas!AD365&gt;'Parâmetros'!$A$32,0,IF(Consultas!AD365&gt;'Parâmetros'!$A$33,0,IF(Consultas!AD365&gt;'Parâmetros'!$A$34,-3,IF(Consultas!AD365&gt;'Parâmetros'!$A$35,-7,-1)))))))</f>
        <v>-1</v>
      </c>
      <c r="AK365" s="82">
        <f>IF(Consultas!AO365='Parâmetros'!$D$1,3,-3)</f>
        <v>-3</v>
      </c>
      <c r="AL365" s="82">
        <f>IF(Consultas!AP365='Parâmetros'!$D$1,5,-3)</f>
        <v>-3</v>
      </c>
      <c r="AM365" s="82">
        <f>IF(Consultas!AL365="N",-6,0)</f>
        <v>0</v>
      </c>
      <c r="AN365" s="82">
        <f>IF(Consultas!AM365="N",-10,0)</f>
        <v>0</v>
      </c>
      <c r="AO365" s="82">
        <f>IF(Consultas!AN365="S",4,-2)</f>
        <v>-2</v>
      </c>
      <c r="AP365" s="39"/>
      <c r="AQ365" s="165" t="str">
        <f>IF(Consultas!F365&gt;1,(SUM(F365:AO365)),"N/A")</f>
        <v>N/A</v>
      </c>
      <c r="AR365" s="78">
        <f>IF((Consultas!AD365&gt;'Parâmetros'!$A$31),"X",AJ365+Y365+V365+AC365)</f>
        <v>-9</v>
      </c>
      <c r="AS365" s="78">
        <f>IF((Consultas!AD365&gt;'Parâmetros'!$A$31),"X",(H365+I365+J365+Q365+T365+Y365+Z365+AJ365+AN365))</f>
        <v>-23</v>
      </c>
      <c r="AT365" s="78" t="str">
        <f>IF((Consultas!AD365&lt;'Parâmetros'!$A$31),"X",(AD365+AC365+AB365))</f>
        <v>X</v>
      </c>
      <c r="AU365" s="78">
        <f t="shared" si="1"/>
        <v>-23</v>
      </c>
      <c r="AV365" s="82" t="str">
        <f>IF(AQ365="N/A","N/A",IF(AQ365&gt;5,'Parâmetros'!$A$15,(IF(AU365=AR365,'Parâmetros'!$A$17,IF(AU365=AS365,'Parâmetros'!$A$16,'Parâmetros'!$A$14)))))</f>
        <v>N/A</v>
      </c>
      <c r="AW365" s="86" t="str">
        <f>IF(AQ365="N/A","N/A",IF(AV365='Parâmetros'!$A$15,'Parâmetros'!$C$15,(IF(AV365='Parâmetros'!$A$17,'Parâmetros'!$C$17,IF(AV365='Parâmetros'!$A$16,'Parâmetros'!$C$16,IF(AV365='Parâmetros'!$A$14,'Parâmetros'!$C$12))))))</f>
        <v>N/A</v>
      </c>
      <c r="AX365" s="82" t="b">
        <f>IF(Consultas!F365&gt;1,(IF(Consultas!F365&gt;5000,"SOLICITAR PED COMPRA","N/A")))</f>
        <v>0</v>
      </c>
      <c r="AY365" s="167" t="str">
        <f>IF(AND(Consultas!M365&lt;&gt;"S", Consultas!H365="S"), "CHECAGEM REVERSA", "N/A")</f>
        <v>N/A</v>
      </c>
      <c r="AZ365" s="167" t="str">
        <f>IF(Consultas!U365="N","PRECISA CORRIGIR END DIVERGENTE","N/A")</f>
        <v>N/A</v>
      </c>
    </row>
    <row r="366" ht="12.0" customHeight="1">
      <c r="A366" s="39" t="s">
        <v>90</v>
      </c>
      <c r="B366" s="82" t="str">
        <f>Consultas!B366</f>
        <v/>
      </c>
      <c r="C366" s="82" t="str">
        <f>Consultas!D366</f>
        <v/>
      </c>
      <c r="D366" s="96" t="str">
        <f>Consultas!E366</f>
        <v/>
      </c>
      <c r="E366" s="104" t="str">
        <f>IF(Consultas!AB366&gt;0,YEAR('Parâmetros'!$B$1)-YEAR(Consultas!AB366),"NA")</f>
        <v>NA</v>
      </c>
      <c r="F366" s="82">
        <f>IF(Consultas!F366&gt;'Parâmetros'!$B$2,-8,0)</f>
        <v>0</v>
      </c>
      <c r="G366" s="82">
        <f>IF(Consultas!H366='Parâmetros'!$E$1,100,0)</f>
        <v>0</v>
      </c>
      <c r="H366" s="82">
        <f>IF(Consultas!I366='Parâmetros'!$E$1,-4,12)</f>
        <v>12</v>
      </c>
      <c r="I366" s="82">
        <f>IF(Consultas!J366='Parâmetros'!$E$1,1,-13)</f>
        <v>-13</v>
      </c>
      <c r="J366" s="82">
        <f>IF(Consultas!K366='Parâmetros'!$E$1,2,-5)</f>
        <v>-5</v>
      </c>
      <c r="K366" s="82" t="str">
        <f>IF(Consultas!L366='Parâmetros'!$D$1,"SOLIC CONTRATO DE ENTREGA","N/A")</f>
        <v>N/A</v>
      </c>
      <c r="L366" s="82">
        <f>IF(Consultas!R366='Parâmetros'!$E$1,1,-3)</f>
        <v>-3</v>
      </c>
      <c r="M366" s="82" t="b">
        <f>IF(Consultas!S366&gt;1,(IF(Consultas!S366='Parâmetros'!$E$1,-3,9)))</f>
        <v>0</v>
      </c>
      <c r="N366" s="82">
        <f>IF(Consultas!T366="S",23,0)</f>
        <v>0</v>
      </c>
      <c r="O366" s="82">
        <f>IF(Consultas!U366='Parâmetros'!$E$1,-3,3)</f>
        <v>3</v>
      </c>
      <c r="P366" s="82">
        <f>IF(Consultas!V366='Parâmetros'!$E$1,-100,2)</f>
        <v>2</v>
      </c>
      <c r="Q366" s="82">
        <f>IF(Consultas!M366='Parâmetros'!$D$1,2,-9)</f>
        <v>-9</v>
      </c>
      <c r="R366" s="82">
        <f>IF(Consultas!N366="RJ",-12,0)</f>
        <v>0</v>
      </c>
      <c r="S366" s="82">
        <f>IF(Consultas!O366="-",-3,IF(Consultas!O366=0,-6,IF(Consultas!O366=5,0,IF(Consultas!O366=10,6))))</f>
        <v>-6</v>
      </c>
      <c r="T366" s="82">
        <f>IF(Consultas!M366="S",0,(IF(Consultas!P366="S",6,0)))</f>
        <v>0</v>
      </c>
      <c r="U366" s="82">
        <f>IF(Consultas!Q366&gt;97,9,IF(Consultas!Q366&gt;75,0,-7))</f>
        <v>-7</v>
      </c>
      <c r="V366" s="82">
        <f>IF(Consultas!W366='Parâmetros'!$E$1,1,-5)</f>
        <v>-5</v>
      </c>
      <c r="W366" s="82">
        <f>IF(Consultas!X366="S",3,-3)</f>
        <v>-3</v>
      </c>
      <c r="X366" s="82">
        <f>IF(Consultas!Y366="S",0,-7)</f>
        <v>-7</v>
      </c>
      <c r="Y366" s="82">
        <f>IF(Consultas!Z366='Parâmetros'!$E$1,2,-8)</f>
        <v>-8</v>
      </c>
      <c r="Z366" s="82">
        <f>IF(Consultas!AA366='Parâmetros'!$E$1,-15,1)</f>
        <v>1</v>
      </c>
      <c r="AA366" s="147" t="s">
        <v>140</v>
      </c>
      <c r="AB366" s="82" t="str">
        <f>IF(E366="NA","NA",IF(E366&gt;'Parâmetros'!$A$9,8,IF(E366&gt;'Parâmetros'!$A$8,4,IF(E366&gt;'Parâmetros'!$A$7,0,-6))))</f>
        <v>NA</v>
      </c>
      <c r="AC366" s="82">
        <f>IF(Consultas!AC366='Parâmetros'!$E$1,0,5)</f>
        <v>5</v>
      </c>
      <c r="AD366" s="82">
        <f>IF(Consultas!AH366='Parâmetros'!$D$1,-10,5)</f>
        <v>5</v>
      </c>
      <c r="AE366" s="82">
        <f>IF(Consultas!AI366&gt;(Consultas!F366*2),-10,0)</f>
        <v>0</v>
      </c>
      <c r="AF366" s="82" t="b">
        <f>IF(Consultas!AD366&gt;1,(IF(Consultas!AI366&gt;(Consultas!AD366),-20,4)))</f>
        <v>0</v>
      </c>
      <c r="AG366" s="82">
        <f>IF(Consultas!AG366='Parâmetros'!$E$1,0,-6)</f>
        <v>-6</v>
      </c>
      <c r="AH366" s="82">
        <f>IF(Consultas!AF366='Parâmetros'!$E$1,1,-5)</f>
        <v>-5</v>
      </c>
      <c r="AI366" s="82">
        <f>IF(Consultas!AJ366&gt;700,8,IF(Consultas!AJ366&gt;500,4,IF(Consultas!AJ366&gt;200,-4,IF(Consultas!AJ366&gt;1,-15,-20))))</f>
        <v>-20</v>
      </c>
      <c r="AJ366" s="82">
        <f>IF(Consultas!AD366='Parâmetros'!$E$10,0,IF(Consultas!AD366&gt;'Parâmetros'!$A$30,12,IF(Consultas!AD366&gt;'Parâmetros'!$A$31,6,IF(Consultas!AD366&gt;'Parâmetros'!$A$32,0,IF(Consultas!AD366&gt;'Parâmetros'!$A$33,0,IF(Consultas!AD366&gt;'Parâmetros'!$A$34,-3,IF(Consultas!AD366&gt;'Parâmetros'!$A$35,-7,-1)))))))</f>
        <v>-1</v>
      </c>
      <c r="AK366" s="82">
        <f>IF(Consultas!AO366='Parâmetros'!$D$1,3,-3)</f>
        <v>-3</v>
      </c>
      <c r="AL366" s="82">
        <f>IF(Consultas!AP366='Parâmetros'!$D$1,5,-3)</f>
        <v>-3</v>
      </c>
      <c r="AM366" s="82">
        <f>IF(Consultas!AL366="N",-6,0)</f>
        <v>0</v>
      </c>
      <c r="AN366" s="82">
        <f>IF(Consultas!AM366="N",-10,0)</f>
        <v>0</v>
      </c>
      <c r="AO366" s="82">
        <f>IF(Consultas!AN366="S",4,-2)</f>
        <v>-2</v>
      </c>
      <c r="AP366" s="39"/>
      <c r="AQ366" s="165" t="str">
        <f>IF(Consultas!F366&gt;1,(SUM(F366:AO366)),"N/A")</f>
        <v>N/A</v>
      </c>
      <c r="AR366" s="78">
        <f>IF((Consultas!AD366&gt;'Parâmetros'!$A$31),"X",AJ366+Y366+V366+AC366)</f>
        <v>-9</v>
      </c>
      <c r="AS366" s="78">
        <f>IF((Consultas!AD366&gt;'Parâmetros'!$A$31),"X",(H366+I366+J366+Q366+T366+Y366+Z366+AJ366+AN366))</f>
        <v>-23</v>
      </c>
      <c r="AT366" s="78" t="str">
        <f>IF((Consultas!AD366&lt;'Parâmetros'!$A$31),"X",(AD366+AC366+AB366))</f>
        <v>X</v>
      </c>
      <c r="AU366" s="78">
        <f t="shared" si="1"/>
        <v>-23</v>
      </c>
      <c r="AV366" s="82" t="str">
        <f>IF(AQ366="N/A","N/A",IF(AQ366&gt;5,'Parâmetros'!$A$15,(IF(AU366=AR366,'Parâmetros'!$A$17,IF(AU366=AS366,'Parâmetros'!$A$16,'Parâmetros'!$A$14)))))</f>
        <v>N/A</v>
      </c>
      <c r="AW366" s="86" t="str">
        <f>IF(AQ366="N/A","N/A",IF(AV366='Parâmetros'!$A$15,'Parâmetros'!$C$15,(IF(AV366='Parâmetros'!$A$17,'Parâmetros'!$C$17,IF(AV366='Parâmetros'!$A$16,'Parâmetros'!$C$16,IF(AV366='Parâmetros'!$A$14,'Parâmetros'!$C$12))))))</f>
        <v>N/A</v>
      </c>
      <c r="AX366" s="82" t="b">
        <f>IF(Consultas!F366&gt;1,(IF(Consultas!F366&gt;5000,"SOLICITAR PED COMPRA","N/A")))</f>
        <v>0</v>
      </c>
      <c r="AY366" s="167" t="str">
        <f>IF(AND(Consultas!M366&lt;&gt;"S", Consultas!H366="S"), "CHECAGEM REVERSA", "N/A")</f>
        <v>N/A</v>
      </c>
      <c r="AZ366" s="167" t="str">
        <f>IF(Consultas!U366="N","PRECISA CORRIGIR END DIVERGENTE","N/A")</f>
        <v>N/A</v>
      </c>
    </row>
    <row r="367" ht="12.0" customHeight="1">
      <c r="A367" s="39" t="s">
        <v>90</v>
      </c>
      <c r="B367" s="82" t="str">
        <f>Consultas!B367</f>
        <v/>
      </c>
      <c r="C367" s="82" t="str">
        <f>Consultas!D367</f>
        <v/>
      </c>
      <c r="D367" s="96" t="str">
        <f>Consultas!E367</f>
        <v/>
      </c>
      <c r="E367" s="104" t="str">
        <f>IF(Consultas!AB367&gt;0,YEAR('Parâmetros'!$B$1)-YEAR(Consultas!AB367),"NA")</f>
        <v>NA</v>
      </c>
      <c r="F367" s="82">
        <f>IF(Consultas!F367&gt;'Parâmetros'!$B$2,-8,0)</f>
        <v>0</v>
      </c>
      <c r="G367" s="82">
        <f>IF(Consultas!H367='Parâmetros'!$E$1,100,0)</f>
        <v>0</v>
      </c>
      <c r="H367" s="82">
        <f>IF(Consultas!I367='Parâmetros'!$E$1,-4,12)</f>
        <v>12</v>
      </c>
      <c r="I367" s="82">
        <f>IF(Consultas!J367='Parâmetros'!$E$1,1,-13)</f>
        <v>-13</v>
      </c>
      <c r="J367" s="82">
        <f>IF(Consultas!K367='Parâmetros'!$E$1,2,-5)</f>
        <v>-5</v>
      </c>
      <c r="K367" s="82" t="str">
        <f>IF(Consultas!L367='Parâmetros'!$D$1,"SOLIC CONTRATO DE ENTREGA","N/A")</f>
        <v>N/A</v>
      </c>
      <c r="L367" s="82">
        <f>IF(Consultas!R367='Parâmetros'!$E$1,1,-3)</f>
        <v>-3</v>
      </c>
      <c r="M367" s="82" t="b">
        <f>IF(Consultas!S367&gt;1,(IF(Consultas!S367='Parâmetros'!$E$1,-3,9)))</f>
        <v>0</v>
      </c>
      <c r="N367" s="82">
        <f>IF(Consultas!T367="S",23,0)</f>
        <v>0</v>
      </c>
      <c r="O367" s="82">
        <f>IF(Consultas!U367='Parâmetros'!$E$1,-3,3)</f>
        <v>3</v>
      </c>
      <c r="P367" s="82">
        <f>IF(Consultas!V367='Parâmetros'!$E$1,-100,2)</f>
        <v>2</v>
      </c>
      <c r="Q367" s="82">
        <f>IF(Consultas!M367='Parâmetros'!$D$1,2,-9)</f>
        <v>-9</v>
      </c>
      <c r="R367" s="82">
        <f>IF(Consultas!N367="RJ",-12,0)</f>
        <v>0</v>
      </c>
      <c r="S367" s="82">
        <f>IF(Consultas!O367="-",-3,IF(Consultas!O367=0,-6,IF(Consultas!O367=5,0,IF(Consultas!O367=10,6))))</f>
        <v>-6</v>
      </c>
      <c r="T367" s="82">
        <f>IF(Consultas!M367="S",0,(IF(Consultas!P367="S",6,0)))</f>
        <v>0</v>
      </c>
      <c r="U367" s="82">
        <f>IF(Consultas!Q367&gt;97,9,IF(Consultas!Q367&gt;75,0,-7))</f>
        <v>-7</v>
      </c>
      <c r="V367" s="82">
        <f>IF(Consultas!W367='Parâmetros'!$E$1,1,-5)</f>
        <v>-5</v>
      </c>
      <c r="W367" s="82">
        <f>IF(Consultas!X367="S",3,-3)</f>
        <v>-3</v>
      </c>
      <c r="X367" s="82">
        <f>IF(Consultas!Y367="S",0,-7)</f>
        <v>-7</v>
      </c>
      <c r="Y367" s="82">
        <f>IF(Consultas!Z367='Parâmetros'!$E$1,2,-8)</f>
        <v>-8</v>
      </c>
      <c r="Z367" s="82">
        <f>IF(Consultas!AA367='Parâmetros'!$E$1,-15,1)</f>
        <v>1</v>
      </c>
      <c r="AA367" s="147" t="s">
        <v>140</v>
      </c>
      <c r="AB367" s="82" t="str">
        <f>IF(E367="NA","NA",IF(E367&gt;'Parâmetros'!$A$9,8,IF(E367&gt;'Parâmetros'!$A$8,4,IF(E367&gt;'Parâmetros'!$A$7,0,-6))))</f>
        <v>NA</v>
      </c>
      <c r="AC367" s="82">
        <f>IF(Consultas!AC367='Parâmetros'!$E$1,0,5)</f>
        <v>5</v>
      </c>
      <c r="AD367" s="82">
        <f>IF(Consultas!AH367='Parâmetros'!$D$1,-10,5)</f>
        <v>5</v>
      </c>
      <c r="AE367" s="82">
        <f>IF(Consultas!AI367&gt;(Consultas!F367*2),-10,0)</f>
        <v>0</v>
      </c>
      <c r="AF367" s="82" t="b">
        <f>IF(Consultas!AD367&gt;1,(IF(Consultas!AI367&gt;(Consultas!AD367),-20,4)))</f>
        <v>0</v>
      </c>
      <c r="AG367" s="82">
        <f>IF(Consultas!AG367='Parâmetros'!$E$1,0,-6)</f>
        <v>-6</v>
      </c>
      <c r="AH367" s="82">
        <f>IF(Consultas!AF367='Parâmetros'!$E$1,1,-5)</f>
        <v>-5</v>
      </c>
      <c r="AI367" s="82">
        <f>IF(Consultas!AJ367&gt;700,8,IF(Consultas!AJ367&gt;500,4,IF(Consultas!AJ367&gt;200,-4,IF(Consultas!AJ367&gt;1,-15,-20))))</f>
        <v>-20</v>
      </c>
      <c r="AJ367" s="82">
        <f>IF(Consultas!AD367='Parâmetros'!$E$10,0,IF(Consultas!AD367&gt;'Parâmetros'!$A$30,12,IF(Consultas!AD367&gt;'Parâmetros'!$A$31,6,IF(Consultas!AD367&gt;'Parâmetros'!$A$32,0,IF(Consultas!AD367&gt;'Parâmetros'!$A$33,0,IF(Consultas!AD367&gt;'Parâmetros'!$A$34,-3,IF(Consultas!AD367&gt;'Parâmetros'!$A$35,-7,-1)))))))</f>
        <v>-1</v>
      </c>
      <c r="AK367" s="82">
        <f>IF(Consultas!AO367='Parâmetros'!$D$1,3,-3)</f>
        <v>-3</v>
      </c>
      <c r="AL367" s="82">
        <f>IF(Consultas!AP367='Parâmetros'!$D$1,5,-3)</f>
        <v>-3</v>
      </c>
      <c r="AM367" s="82">
        <f>IF(Consultas!AL367="N",-6,0)</f>
        <v>0</v>
      </c>
      <c r="AN367" s="82">
        <f>IF(Consultas!AM367="N",-10,0)</f>
        <v>0</v>
      </c>
      <c r="AO367" s="82">
        <f>IF(Consultas!AN367="S",4,-2)</f>
        <v>-2</v>
      </c>
      <c r="AP367" s="39"/>
      <c r="AQ367" s="165" t="str">
        <f>IF(Consultas!F367&gt;1,(SUM(F367:AO367)),"N/A")</f>
        <v>N/A</v>
      </c>
      <c r="AR367" s="78">
        <f>IF((Consultas!AD367&gt;'Parâmetros'!$A$31),"X",AJ367+Y367+V367+AC367)</f>
        <v>-9</v>
      </c>
      <c r="AS367" s="78">
        <f>IF((Consultas!AD367&gt;'Parâmetros'!$A$31),"X",(H367+I367+J367+Q367+T367+Y367+Z367+AJ367+AN367))</f>
        <v>-23</v>
      </c>
      <c r="AT367" s="78" t="str">
        <f>IF((Consultas!AD367&lt;'Parâmetros'!$A$31),"X",(AD367+AC367+AB367))</f>
        <v>X</v>
      </c>
      <c r="AU367" s="78">
        <f t="shared" si="1"/>
        <v>-23</v>
      </c>
      <c r="AV367" s="82" t="str">
        <f>IF(AQ367="N/A","N/A",IF(AQ367&gt;5,'Parâmetros'!$A$15,(IF(AU367=AR367,'Parâmetros'!$A$17,IF(AU367=AS367,'Parâmetros'!$A$16,'Parâmetros'!$A$14)))))</f>
        <v>N/A</v>
      </c>
      <c r="AW367" s="86" t="str">
        <f>IF(AQ367="N/A","N/A",IF(AV367='Parâmetros'!$A$15,'Parâmetros'!$C$15,(IF(AV367='Parâmetros'!$A$17,'Parâmetros'!$C$17,IF(AV367='Parâmetros'!$A$16,'Parâmetros'!$C$16,IF(AV367='Parâmetros'!$A$14,'Parâmetros'!$C$12))))))</f>
        <v>N/A</v>
      </c>
      <c r="AX367" s="82" t="b">
        <f>IF(Consultas!F367&gt;1,(IF(Consultas!F367&gt;5000,"SOLICITAR PED COMPRA","N/A")))</f>
        <v>0</v>
      </c>
      <c r="AY367" s="167" t="str">
        <f>IF(AND(Consultas!M367&lt;&gt;"S", Consultas!H367="S"), "CHECAGEM REVERSA", "N/A")</f>
        <v>N/A</v>
      </c>
      <c r="AZ367" s="167" t="str">
        <f>IF(Consultas!U367="N","PRECISA CORRIGIR END DIVERGENTE","N/A")</f>
        <v>N/A</v>
      </c>
    </row>
    <row r="368" ht="12.0" customHeight="1">
      <c r="A368" s="39" t="s">
        <v>90</v>
      </c>
      <c r="B368" s="82" t="str">
        <f>Consultas!B368</f>
        <v/>
      </c>
      <c r="C368" s="82" t="str">
        <f>Consultas!D368</f>
        <v/>
      </c>
      <c r="D368" s="96" t="str">
        <f>Consultas!E368</f>
        <v/>
      </c>
      <c r="E368" s="104" t="str">
        <f>IF(Consultas!AB368&gt;0,YEAR('Parâmetros'!$B$1)-YEAR(Consultas!AB368),"NA")</f>
        <v>NA</v>
      </c>
      <c r="F368" s="82">
        <f>IF(Consultas!F368&gt;'Parâmetros'!$B$2,-8,0)</f>
        <v>0</v>
      </c>
      <c r="G368" s="82">
        <f>IF(Consultas!H368='Parâmetros'!$E$1,100,0)</f>
        <v>0</v>
      </c>
      <c r="H368" s="82">
        <f>IF(Consultas!I368='Parâmetros'!$E$1,-4,12)</f>
        <v>12</v>
      </c>
      <c r="I368" s="82">
        <f>IF(Consultas!J368='Parâmetros'!$E$1,1,-13)</f>
        <v>-13</v>
      </c>
      <c r="J368" s="82">
        <f>IF(Consultas!K368='Parâmetros'!$E$1,2,-5)</f>
        <v>-5</v>
      </c>
      <c r="K368" s="82" t="str">
        <f>IF(Consultas!L368='Parâmetros'!$D$1,"SOLIC CONTRATO DE ENTREGA","N/A")</f>
        <v>N/A</v>
      </c>
      <c r="L368" s="82">
        <f>IF(Consultas!R368='Parâmetros'!$E$1,1,-3)</f>
        <v>-3</v>
      </c>
      <c r="M368" s="82" t="b">
        <f>IF(Consultas!S368&gt;1,(IF(Consultas!S368='Parâmetros'!$E$1,-3,9)))</f>
        <v>0</v>
      </c>
      <c r="N368" s="82">
        <f>IF(Consultas!T368="S",23,0)</f>
        <v>0</v>
      </c>
      <c r="O368" s="82">
        <f>IF(Consultas!U368='Parâmetros'!$E$1,-3,3)</f>
        <v>3</v>
      </c>
      <c r="P368" s="82">
        <f>IF(Consultas!V368='Parâmetros'!$E$1,-100,2)</f>
        <v>2</v>
      </c>
      <c r="Q368" s="82">
        <f>IF(Consultas!M368='Parâmetros'!$D$1,2,-9)</f>
        <v>-9</v>
      </c>
      <c r="R368" s="82">
        <f>IF(Consultas!N368="RJ",-12,0)</f>
        <v>0</v>
      </c>
      <c r="S368" s="82">
        <f>IF(Consultas!O368="-",-3,IF(Consultas!O368=0,-6,IF(Consultas!O368=5,0,IF(Consultas!O368=10,6))))</f>
        <v>-6</v>
      </c>
      <c r="T368" s="82">
        <f>IF(Consultas!M368="S",0,(IF(Consultas!P368="S",6,0)))</f>
        <v>0</v>
      </c>
      <c r="U368" s="82">
        <f>IF(Consultas!Q368&gt;97,9,IF(Consultas!Q368&gt;75,0,-7))</f>
        <v>-7</v>
      </c>
      <c r="V368" s="82">
        <f>IF(Consultas!W368='Parâmetros'!$E$1,1,-5)</f>
        <v>-5</v>
      </c>
      <c r="W368" s="82">
        <f>IF(Consultas!X368="S",3,-3)</f>
        <v>-3</v>
      </c>
      <c r="X368" s="82">
        <f>IF(Consultas!Y368="S",0,-7)</f>
        <v>-7</v>
      </c>
      <c r="Y368" s="82">
        <f>IF(Consultas!Z368='Parâmetros'!$E$1,2,-8)</f>
        <v>-8</v>
      </c>
      <c r="Z368" s="82">
        <f>IF(Consultas!AA368='Parâmetros'!$E$1,-15,1)</f>
        <v>1</v>
      </c>
      <c r="AA368" s="147" t="s">
        <v>140</v>
      </c>
      <c r="AB368" s="82" t="str">
        <f>IF(E368="NA","NA",IF(E368&gt;'Parâmetros'!$A$9,8,IF(E368&gt;'Parâmetros'!$A$8,4,IF(E368&gt;'Parâmetros'!$A$7,0,-6))))</f>
        <v>NA</v>
      </c>
      <c r="AC368" s="82">
        <f>IF(Consultas!AC368='Parâmetros'!$E$1,0,5)</f>
        <v>5</v>
      </c>
      <c r="AD368" s="82">
        <f>IF(Consultas!AH368='Parâmetros'!$D$1,-10,5)</f>
        <v>5</v>
      </c>
      <c r="AE368" s="82">
        <f>IF(Consultas!AI368&gt;(Consultas!F368*2),-10,0)</f>
        <v>0</v>
      </c>
      <c r="AF368" s="82" t="b">
        <f>IF(Consultas!AD368&gt;1,(IF(Consultas!AI368&gt;(Consultas!AD368),-20,4)))</f>
        <v>0</v>
      </c>
      <c r="AG368" s="82">
        <f>IF(Consultas!AG368='Parâmetros'!$E$1,0,-6)</f>
        <v>-6</v>
      </c>
      <c r="AH368" s="82">
        <f>IF(Consultas!AF368='Parâmetros'!$E$1,1,-5)</f>
        <v>-5</v>
      </c>
      <c r="AI368" s="82">
        <f>IF(Consultas!AJ368&gt;700,8,IF(Consultas!AJ368&gt;500,4,IF(Consultas!AJ368&gt;200,-4,IF(Consultas!AJ368&gt;1,-15,-20))))</f>
        <v>-20</v>
      </c>
      <c r="AJ368" s="82">
        <f>IF(Consultas!AD368='Parâmetros'!$E$10,0,IF(Consultas!AD368&gt;'Parâmetros'!$A$30,12,IF(Consultas!AD368&gt;'Parâmetros'!$A$31,6,IF(Consultas!AD368&gt;'Parâmetros'!$A$32,0,IF(Consultas!AD368&gt;'Parâmetros'!$A$33,0,IF(Consultas!AD368&gt;'Parâmetros'!$A$34,-3,IF(Consultas!AD368&gt;'Parâmetros'!$A$35,-7,-1)))))))</f>
        <v>-1</v>
      </c>
      <c r="AK368" s="82">
        <f>IF(Consultas!AO368='Parâmetros'!$D$1,3,-3)</f>
        <v>-3</v>
      </c>
      <c r="AL368" s="82">
        <f>IF(Consultas!AP368='Parâmetros'!$D$1,5,-3)</f>
        <v>-3</v>
      </c>
      <c r="AM368" s="82">
        <f>IF(Consultas!AL368="N",-6,0)</f>
        <v>0</v>
      </c>
      <c r="AN368" s="82">
        <f>IF(Consultas!AM368="N",-10,0)</f>
        <v>0</v>
      </c>
      <c r="AO368" s="82">
        <f>IF(Consultas!AN368="S",4,-2)</f>
        <v>-2</v>
      </c>
      <c r="AP368" s="39"/>
      <c r="AQ368" s="165" t="str">
        <f>IF(Consultas!F368&gt;1,(SUM(F368:AO368)),"N/A")</f>
        <v>N/A</v>
      </c>
      <c r="AR368" s="78">
        <f>IF((Consultas!AD368&gt;'Parâmetros'!$A$31),"X",AJ368+Y368+V368+AC368)</f>
        <v>-9</v>
      </c>
      <c r="AS368" s="78">
        <f>IF((Consultas!AD368&gt;'Parâmetros'!$A$31),"X",(H368+I368+J368+Q368+T368+Y368+Z368+AJ368+AN368))</f>
        <v>-23</v>
      </c>
      <c r="AT368" s="78" t="str">
        <f>IF((Consultas!AD368&lt;'Parâmetros'!$A$31),"X",(AD368+AC368+AB368))</f>
        <v>X</v>
      </c>
      <c r="AU368" s="78">
        <f t="shared" si="1"/>
        <v>-23</v>
      </c>
      <c r="AV368" s="82" t="str">
        <f>IF(AQ368="N/A","N/A",IF(AQ368&gt;5,'Parâmetros'!$A$15,(IF(AU368=AR368,'Parâmetros'!$A$17,IF(AU368=AS368,'Parâmetros'!$A$16,'Parâmetros'!$A$14)))))</f>
        <v>N/A</v>
      </c>
      <c r="AW368" s="86" t="str">
        <f>IF(AQ368="N/A","N/A",IF(AV368='Parâmetros'!$A$15,'Parâmetros'!$C$15,(IF(AV368='Parâmetros'!$A$17,'Parâmetros'!$C$17,IF(AV368='Parâmetros'!$A$16,'Parâmetros'!$C$16,IF(AV368='Parâmetros'!$A$14,'Parâmetros'!$C$12))))))</f>
        <v>N/A</v>
      </c>
      <c r="AX368" s="82" t="b">
        <f>IF(Consultas!F368&gt;1,(IF(Consultas!F368&gt;5000,"SOLICITAR PED COMPRA","N/A")))</f>
        <v>0</v>
      </c>
      <c r="AY368" s="167" t="str">
        <f>IF(AND(Consultas!M368&lt;&gt;"S", Consultas!H368="S"), "CHECAGEM REVERSA", "N/A")</f>
        <v>N/A</v>
      </c>
      <c r="AZ368" s="167" t="str">
        <f>IF(Consultas!U368="N","PRECISA CORRIGIR END DIVERGENTE","N/A")</f>
        <v>N/A</v>
      </c>
    </row>
    <row r="369" ht="12.0" customHeight="1">
      <c r="A369" s="39" t="s">
        <v>90</v>
      </c>
      <c r="B369" s="82" t="str">
        <f>Consultas!B369</f>
        <v/>
      </c>
      <c r="C369" s="82" t="str">
        <f>Consultas!D369</f>
        <v/>
      </c>
      <c r="D369" s="96" t="str">
        <f>Consultas!E369</f>
        <v/>
      </c>
      <c r="E369" s="104" t="str">
        <f>IF(Consultas!AB369&gt;0,YEAR('Parâmetros'!$B$1)-YEAR(Consultas!AB369),"NA")</f>
        <v>NA</v>
      </c>
      <c r="F369" s="82">
        <f>IF(Consultas!F369&gt;'Parâmetros'!$B$2,-8,0)</f>
        <v>0</v>
      </c>
      <c r="G369" s="82">
        <f>IF(Consultas!H369='Parâmetros'!$E$1,100,0)</f>
        <v>0</v>
      </c>
      <c r="H369" s="82">
        <f>IF(Consultas!I369='Parâmetros'!$E$1,-4,12)</f>
        <v>12</v>
      </c>
      <c r="I369" s="82">
        <f>IF(Consultas!J369='Parâmetros'!$E$1,1,-13)</f>
        <v>-13</v>
      </c>
      <c r="J369" s="82">
        <f>IF(Consultas!K369='Parâmetros'!$E$1,2,-5)</f>
        <v>-5</v>
      </c>
      <c r="K369" s="82" t="str">
        <f>IF(Consultas!L369='Parâmetros'!$D$1,"SOLIC CONTRATO DE ENTREGA","N/A")</f>
        <v>N/A</v>
      </c>
      <c r="L369" s="82">
        <f>IF(Consultas!R369='Parâmetros'!$E$1,1,-3)</f>
        <v>-3</v>
      </c>
      <c r="M369" s="82" t="b">
        <f>IF(Consultas!S369&gt;1,(IF(Consultas!S369='Parâmetros'!$E$1,-3,9)))</f>
        <v>0</v>
      </c>
      <c r="N369" s="82">
        <f>IF(Consultas!T369="S",23,0)</f>
        <v>0</v>
      </c>
      <c r="O369" s="82">
        <f>IF(Consultas!U369='Parâmetros'!$E$1,-3,3)</f>
        <v>3</v>
      </c>
      <c r="P369" s="82">
        <f>IF(Consultas!V369='Parâmetros'!$E$1,-100,2)</f>
        <v>2</v>
      </c>
      <c r="Q369" s="82">
        <f>IF(Consultas!M369='Parâmetros'!$D$1,2,-9)</f>
        <v>-9</v>
      </c>
      <c r="R369" s="82">
        <f>IF(Consultas!N369="RJ",-12,0)</f>
        <v>0</v>
      </c>
      <c r="S369" s="82">
        <f>IF(Consultas!O369="-",-3,IF(Consultas!O369=0,-6,IF(Consultas!O369=5,0,IF(Consultas!O369=10,6))))</f>
        <v>-6</v>
      </c>
      <c r="T369" s="82">
        <f>IF(Consultas!M369="S",0,(IF(Consultas!P369="S",6,0)))</f>
        <v>0</v>
      </c>
      <c r="U369" s="82">
        <f>IF(Consultas!Q369&gt;97,9,IF(Consultas!Q369&gt;75,0,-7))</f>
        <v>-7</v>
      </c>
      <c r="V369" s="82">
        <f>IF(Consultas!W369='Parâmetros'!$E$1,1,-5)</f>
        <v>-5</v>
      </c>
      <c r="W369" s="82">
        <f>IF(Consultas!X369="S",3,-3)</f>
        <v>-3</v>
      </c>
      <c r="X369" s="82">
        <f>IF(Consultas!Y369="S",0,-7)</f>
        <v>-7</v>
      </c>
      <c r="Y369" s="82">
        <f>IF(Consultas!Z369='Parâmetros'!$E$1,2,-8)</f>
        <v>-8</v>
      </c>
      <c r="Z369" s="82">
        <f>IF(Consultas!AA369='Parâmetros'!$E$1,-15,1)</f>
        <v>1</v>
      </c>
      <c r="AA369" s="147" t="s">
        <v>140</v>
      </c>
      <c r="AB369" s="82" t="str">
        <f>IF(E369="NA","NA",IF(E369&gt;'Parâmetros'!$A$9,8,IF(E369&gt;'Parâmetros'!$A$8,4,IF(E369&gt;'Parâmetros'!$A$7,0,-6))))</f>
        <v>NA</v>
      </c>
      <c r="AC369" s="82">
        <f>IF(Consultas!AC369='Parâmetros'!$E$1,0,5)</f>
        <v>5</v>
      </c>
      <c r="AD369" s="82">
        <f>IF(Consultas!AH369='Parâmetros'!$D$1,-10,5)</f>
        <v>5</v>
      </c>
      <c r="AE369" s="82">
        <f>IF(Consultas!AI369&gt;(Consultas!F369*2),-10,0)</f>
        <v>0</v>
      </c>
      <c r="AF369" s="82" t="b">
        <f>IF(Consultas!AD369&gt;1,(IF(Consultas!AI369&gt;(Consultas!AD369),-20,4)))</f>
        <v>0</v>
      </c>
      <c r="AG369" s="82">
        <f>IF(Consultas!AG369='Parâmetros'!$E$1,0,-6)</f>
        <v>-6</v>
      </c>
      <c r="AH369" s="82">
        <f>IF(Consultas!AF369='Parâmetros'!$E$1,1,-5)</f>
        <v>-5</v>
      </c>
      <c r="AI369" s="82">
        <f>IF(Consultas!AJ369&gt;700,8,IF(Consultas!AJ369&gt;500,4,IF(Consultas!AJ369&gt;200,-4,IF(Consultas!AJ369&gt;1,-15,-20))))</f>
        <v>-20</v>
      </c>
      <c r="AJ369" s="82">
        <f>IF(Consultas!AD369='Parâmetros'!$E$10,0,IF(Consultas!AD369&gt;'Parâmetros'!$A$30,12,IF(Consultas!AD369&gt;'Parâmetros'!$A$31,6,IF(Consultas!AD369&gt;'Parâmetros'!$A$32,0,IF(Consultas!AD369&gt;'Parâmetros'!$A$33,0,IF(Consultas!AD369&gt;'Parâmetros'!$A$34,-3,IF(Consultas!AD369&gt;'Parâmetros'!$A$35,-7,-1)))))))</f>
        <v>-1</v>
      </c>
      <c r="AK369" s="82">
        <f>IF(Consultas!AO369='Parâmetros'!$D$1,3,-3)</f>
        <v>-3</v>
      </c>
      <c r="AL369" s="82">
        <f>IF(Consultas!AP369='Parâmetros'!$D$1,5,-3)</f>
        <v>-3</v>
      </c>
      <c r="AM369" s="82">
        <f>IF(Consultas!AL369="N",-6,0)</f>
        <v>0</v>
      </c>
      <c r="AN369" s="82">
        <f>IF(Consultas!AM369="N",-10,0)</f>
        <v>0</v>
      </c>
      <c r="AO369" s="82">
        <f>IF(Consultas!AN369="S",4,-2)</f>
        <v>-2</v>
      </c>
      <c r="AP369" s="39"/>
      <c r="AQ369" s="165" t="str">
        <f>IF(Consultas!F369&gt;1,(SUM(F369:AO369)),"N/A")</f>
        <v>N/A</v>
      </c>
      <c r="AR369" s="78">
        <f>IF((Consultas!AD369&gt;'Parâmetros'!$A$31),"X",AJ369+Y369+V369+AC369)</f>
        <v>-9</v>
      </c>
      <c r="AS369" s="78">
        <f>IF((Consultas!AD369&gt;'Parâmetros'!$A$31),"X",(H369+I369+J369+Q369+T369+Y369+Z369+AJ369+AN369))</f>
        <v>-23</v>
      </c>
      <c r="AT369" s="78" t="str">
        <f>IF((Consultas!AD369&lt;'Parâmetros'!$A$31),"X",(AD369+AC369+AB369))</f>
        <v>X</v>
      </c>
      <c r="AU369" s="78">
        <f t="shared" si="1"/>
        <v>-23</v>
      </c>
      <c r="AV369" s="82" t="str">
        <f>IF(AQ369="N/A","N/A",IF(AQ369&gt;5,'Parâmetros'!$A$15,(IF(AU369=AR369,'Parâmetros'!$A$17,IF(AU369=AS369,'Parâmetros'!$A$16,'Parâmetros'!$A$14)))))</f>
        <v>N/A</v>
      </c>
      <c r="AW369" s="86" t="str">
        <f>IF(AQ369="N/A","N/A",IF(AV369='Parâmetros'!$A$15,'Parâmetros'!$C$15,(IF(AV369='Parâmetros'!$A$17,'Parâmetros'!$C$17,IF(AV369='Parâmetros'!$A$16,'Parâmetros'!$C$16,IF(AV369='Parâmetros'!$A$14,'Parâmetros'!$C$12))))))</f>
        <v>N/A</v>
      </c>
      <c r="AX369" s="82" t="b">
        <f>IF(Consultas!F369&gt;1,(IF(Consultas!F369&gt;5000,"SOLICITAR PED COMPRA","N/A")))</f>
        <v>0</v>
      </c>
      <c r="AY369" s="167" t="str">
        <f>IF(AND(Consultas!M369&lt;&gt;"S", Consultas!H369="S"), "CHECAGEM REVERSA", "N/A")</f>
        <v>N/A</v>
      </c>
      <c r="AZ369" s="167" t="str">
        <f>IF(Consultas!U369="N","PRECISA CORRIGIR END DIVERGENTE","N/A")</f>
        <v>N/A</v>
      </c>
    </row>
    <row r="370" ht="12.0" customHeight="1">
      <c r="A370" s="39" t="s">
        <v>90</v>
      </c>
      <c r="B370" s="82" t="str">
        <f>Consultas!B370</f>
        <v/>
      </c>
      <c r="C370" s="82" t="str">
        <f>Consultas!D370</f>
        <v/>
      </c>
      <c r="D370" s="96" t="str">
        <f>Consultas!E370</f>
        <v/>
      </c>
      <c r="E370" s="104" t="str">
        <f>IF(Consultas!AB370&gt;0,YEAR('Parâmetros'!$B$1)-YEAR(Consultas!AB370),"NA")</f>
        <v>NA</v>
      </c>
      <c r="F370" s="82">
        <f>IF(Consultas!F370&gt;'Parâmetros'!$B$2,-8,0)</f>
        <v>0</v>
      </c>
      <c r="G370" s="82">
        <f>IF(Consultas!H370='Parâmetros'!$E$1,100,0)</f>
        <v>0</v>
      </c>
      <c r="H370" s="82">
        <f>IF(Consultas!I370='Parâmetros'!$E$1,-4,12)</f>
        <v>12</v>
      </c>
      <c r="I370" s="82">
        <f>IF(Consultas!J370='Parâmetros'!$E$1,1,-13)</f>
        <v>-13</v>
      </c>
      <c r="J370" s="82">
        <f>IF(Consultas!K370='Parâmetros'!$E$1,2,-5)</f>
        <v>-5</v>
      </c>
      <c r="K370" s="82" t="str">
        <f>IF(Consultas!L370='Parâmetros'!$D$1,"SOLIC CONTRATO DE ENTREGA","N/A")</f>
        <v>N/A</v>
      </c>
      <c r="L370" s="82">
        <f>IF(Consultas!R370='Parâmetros'!$E$1,1,-3)</f>
        <v>-3</v>
      </c>
      <c r="M370" s="82" t="b">
        <f>IF(Consultas!S370&gt;1,(IF(Consultas!S370='Parâmetros'!$E$1,-3,9)))</f>
        <v>0</v>
      </c>
      <c r="N370" s="82">
        <f>IF(Consultas!T370="S",23,0)</f>
        <v>0</v>
      </c>
      <c r="O370" s="82">
        <f>IF(Consultas!U370='Parâmetros'!$E$1,-3,3)</f>
        <v>3</v>
      </c>
      <c r="P370" s="82">
        <f>IF(Consultas!V370='Parâmetros'!$E$1,-100,2)</f>
        <v>2</v>
      </c>
      <c r="Q370" s="82">
        <f>IF(Consultas!M370='Parâmetros'!$D$1,2,-9)</f>
        <v>-9</v>
      </c>
      <c r="R370" s="82">
        <f>IF(Consultas!N370="RJ",-12,0)</f>
        <v>0</v>
      </c>
      <c r="S370" s="82">
        <f>IF(Consultas!O370="-",-3,IF(Consultas!O370=0,-6,IF(Consultas!O370=5,0,IF(Consultas!O370=10,6))))</f>
        <v>-6</v>
      </c>
      <c r="T370" s="82">
        <f>IF(Consultas!M370="S",0,(IF(Consultas!P370="S",6,0)))</f>
        <v>0</v>
      </c>
      <c r="U370" s="82">
        <f>IF(Consultas!Q370&gt;97,9,IF(Consultas!Q370&gt;75,0,-7))</f>
        <v>-7</v>
      </c>
      <c r="V370" s="82">
        <f>IF(Consultas!W370='Parâmetros'!$E$1,1,-5)</f>
        <v>-5</v>
      </c>
      <c r="W370" s="82">
        <f>IF(Consultas!X370="S",3,-3)</f>
        <v>-3</v>
      </c>
      <c r="X370" s="82">
        <f>IF(Consultas!Y370="S",0,-7)</f>
        <v>-7</v>
      </c>
      <c r="Y370" s="82">
        <f>IF(Consultas!Z370='Parâmetros'!$E$1,2,-8)</f>
        <v>-8</v>
      </c>
      <c r="Z370" s="82">
        <f>IF(Consultas!AA370='Parâmetros'!$E$1,-15,1)</f>
        <v>1</v>
      </c>
      <c r="AA370" s="147" t="s">
        <v>140</v>
      </c>
      <c r="AB370" s="82" t="str">
        <f>IF(E370="NA","NA",IF(E370&gt;'Parâmetros'!$A$9,8,IF(E370&gt;'Parâmetros'!$A$8,4,IF(E370&gt;'Parâmetros'!$A$7,0,-6))))</f>
        <v>NA</v>
      </c>
      <c r="AC370" s="82">
        <f>IF(Consultas!AC370='Parâmetros'!$E$1,0,5)</f>
        <v>5</v>
      </c>
      <c r="AD370" s="82">
        <f>IF(Consultas!AH370='Parâmetros'!$D$1,-10,5)</f>
        <v>5</v>
      </c>
      <c r="AE370" s="82">
        <f>IF(Consultas!AI370&gt;(Consultas!F370*2),-10,0)</f>
        <v>0</v>
      </c>
      <c r="AF370" s="82" t="b">
        <f>IF(Consultas!AD370&gt;1,(IF(Consultas!AI370&gt;(Consultas!AD370),-20,4)))</f>
        <v>0</v>
      </c>
      <c r="AG370" s="82">
        <f>IF(Consultas!AG370='Parâmetros'!$E$1,0,-6)</f>
        <v>-6</v>
      </c>
      <c r="AH370" s="82">
        <f>IF(Consultas!AF370='Parâmetros'!$E$1,1,-5)</f>
        <v>-5</v>
      </c>
      <c r="AI370" s="82">
        <f>IF(Consultas!AJ370&gt;700,8,IF(Consultas!AJ370&gt;500,4,IF(Consultas!AJ370&gt;200,-4,IF(Consultas!AJ370&gt;1,-15,-20))))</f>
        <v>-20</v>
      </c>
      <c r="AJ370" s="82">
        <f>IF(Consultas!AD370='Parâmetros'!$E$10,0,IF(Consultas!AD370&gt;'Parâmetros'!$A$30,12,IF(Consultas!AD370&gt;'Parâmetros'!$A$31,6,IF(Consultas!AD370&gt;'Parâmetros'!$A$32,0,IF(Consultas!AD370&gt;'Parâmetros'!$A$33,0,IF(Consultas!AD370&gt;'Parâmetros'!$A$34,-3,IF(Consultas!AD370&gt;'Parâmetros'!$A$35,-7,-1)))))))</f>
        <v>-1</v>
      </c>
      <c r="AK370" s="82">
        <f>IF(Consultas!AO370='Parâmetros'!$D$1,3,-3)</f>
        <v>-3</v>
      </c>
      <c r="AL370" s="82">
        <f>IF(Consultas!AP370='Parâmetros'!$D$1,5,-3)</f>
        <v>-3</v>
      </c>
      <c r="AM370" s="82">
        <f>IF(Consultas!AL370="N",-6,0)</f>
        <v>0</v>
      </c>
      <c r="AN370" s="82">
        <f>IF(Consultas!AM370="N",-10,0)</f>
        <v>0</v>
      </c>
      <c r="AO370" s="82">
        <f>IF(Consultas!AN370="S",4,-2)</f>
        <v>-2</v>
      </c>
      <c r="AP370" s="39"/>
      <c r="AQ370" s="165" t="str">
        <f>IF(Consultas!F370&gt;1,(SUM(F370:AO370)),"N/A")</f>
        <v>N/A</v>
      </c>
      <c r="AR370" s="78">
        <f>IF((Consultas!AD370&gt;'Parâmetros'!$A$31),"X",AJ370+Y370+V370+AC370)</f>
        <v>-9</v>
      </c>
      <c r="AS370" s="78">
        <f>IF((Consultas!AD370&gt;'Parâmetros'!$A$31),"X",(H370+I370+J370+Q370+T370+Y370+Z370+AJ370+AN370))</f>
        <v>-23</v>
      </c>
      <c r="AT370" s="78" t="str">
        <f>IF((Consultas!AD370&lt;'Parâmetros'!$A$31),"X",(AD370+AC370+AB370))</f>
        <v>X</v>
      </c>
      <c r="AU370" s="78">
        <f t="shared" si="1"/>
        <v>-23</v>
      </c>
      <c r="AV370" s="82" t="str">
        <f>IF(AQ370="N/A","N/A",IF(AQ370&gt;5,'Parâmetros'!$A$15,(IF(AU370=AR370,'Parâmetros'!$A$17,IF(AU370=AS370,'Parâmetros'!$A$16,'Parâmetros'!$A$14)))))</f>
        <v>N/A</v>
      </c>
      <c r="AW370" s="86" t="str">
        <f>IF(AQ370="N/A","N/A",IF(AV370='Parâmetros'!$A$15,'Parâmetros'!$C$15,(IF(AV370='Parâmetros'!$A$17,'Parâmetros'!$C$17,IF(AV370='Parâmetros'!$A$16,'Parâmetros'!$C$16,IF(AV370='Parâmetros'!$A$14,'Parâmetros'!$C$12))))))</f>
        <v>N/A</v>
      </c>
      <c r="AX370" s="82" t="b">
        <f>IF(Consultas!F370&gt;1,(IF(Consultas!F370&gt;5000,"SOLICITAR PED COMPRA","N/A")))</f>
        <v>0</v>
      </c>
      <c r="AY370" s="167" t="str">
        <f>IF(AND(Consultas!M370&lt;&gt;"S", Consultas!H370="S"), "CHECAGEM REVERSA", "N/A")</f>
        <v>N/A</v>
      </c>
      <c r="AZ370" s="167" t="str">
        <f>IF(Consultas!U370="N","PRECISA CORRIGIR END DIVERGENTE","N/A")</f>
        <v>N/A</v>
      </c>
    </row>
    <row r="371" ht="12.0" customHeight="1">
      <c r="A371" s="39" t="s">
        <v>90</v>
      </c>
      <c r="B371" s="82" t="str">
        <f>Consultas!B371</f>
        <v/>
      </c>
      <c r="C371" s="82" t="str">
        <f>Consultas!D371</f>
        <v/>
      </c>
      <c r="D371" s="96" t="str">
        <f>Consultas!E371</f>
        <v/>
      </c>
      <c r="E371" s="104" t="str">
        <f>IF(Consultas!AB371&gt;0,YEAR('Parâmetros'!$B$1)-YEAR(Consultas!AB371),"NA")</f>
        <v>NA</v>
      </c>
      <c r="F371" s="82">
        <f>IF(Consultas!F371&gt;'Parâmetros'!$B$2,-8,0)</f>
        <v>0</v>
      </c>
      <c r="G371" s="82">
        <f>IF(Consultas!H371='Parâmetros'!$E$1,100,0)</f>
        <v>0</v>
      </c>
      <c r="H371" s="82">
        <f>IF(Consultas!I371='Parâmetros'!$E$1,-4,12)</f>
        <v>12</v>
      </c>
      <c r="I371" s="82">
        <f>IF(Consultas!J371='Parâmetros'!$E$1,1,-13)</f>
        <v>-13</v>
      </c>
      <c r="J371" s="82">
        <f>IF(Consultas!K371='Parâmetros'!$E$1,2,-5)</f>
        <v>-5</v>
      </c>
      <c r="K371" s="82" t="str">
        <f>IF(Consultas!L371='Parâmetros'!$D$1,"SOLIC CONTRATO DE ENTREGA","N/A")</f>
        <v>N/A</v>
      </c>
      <c r="L371" s="82">
        <f>IF(Consultas!R371='Parâmetros'!$E$1,1,-3)</f>
        <v>-3</v>
      </c>
      <c r="M371" s="82" t="b">
        <f>IF(Consultas!S371&gt;1,(IF(Consultas!S371='Parâmetros'!$E$1,-3,9)))</f>
        <v>0</v>
      </c>
      <c r="N371" s="82">
        <f>IF(Consultas!T371="S",23,0)</f>
        <v>0</v>
      </c>
      <c r="O371" s="82">
        <f>IF(Consultas!U371='Parâmetros'!$E$1,-3,3)</f>
        <v>3</v>
      </c>
      <c r="P371" s="82">
        <f>IF(Consultas!V371='Parâmetros'!$E$1,-100,2)</f>
        <v>2</v>
      </c>
      <c r="Q371" s="82">
        <f>IF(Consultas!M371='Parâmetros'!$D$1,2,-9)</f>
        <v>-9</v>
      </c>
      <c r="R371" s="82">
        <f>IF(Consultas!N371="RJ",-12,0)</f>
        <v>0</v>
      </c>
      <c r="S371" s="82">
        <f>IF(Consultas!O371="-",-3,IF(Consultas!O371=0,-6,IF(Consultas!O371=5,0,IF(Consultas!O371=10,6))))</f>
        <v>-6</v>
      </c>
      <c r="T371" s="82">
        <f>IF(Consultas!M371="S",0,(IF(Consultas!P371="S",6,0)))</f>
        <v>0</v>
      </c>
      <c r="U371" s="82">
        <f>IF(Consultas!Q371&gt;97,9,IF(Consultas!Q371&gt;75,0,-7))</f>
        <v>-7</v>
      </c>
      <c r="V371" s="82">
        <f>IF(Consultas!W371='Parâmetros'!$E$1,1,-5)</f>
        <v>-5</v>
      </c>
      <c r="W371" s="82">
        <f>IF(Consultas!X371="S",3,-3)</f>
        <v>-3</v>
      </c>
      <c r="X371" s="82">
        <f>IF(Consultas!Y371="S",0,-7)</f>
        <v>-7</v>
      </c>
      <c r="Y371" s="82">
        <f>IF(Consultas!Z371='Parâmetros'!$E$1,2,-8)</f>
        <v>-8</v>
      </c>
      <c r="Z371" s="82">
        <f>IF(Consultas!AA371='Parâmetros'!$E$1,-15,1)</f>
        <v>1</v>
      </c>
      <c r="AA371" s="147" t="s">
        <v>140</v>
      </c>
      <c r="AB371" s="82" t="str">
        <f>IF(E371="NA","NA",IF(E371&gt;'Parâmetros'!$A$9,8,IF(E371&gt;'Parâmetros'!$A$8,4,IF(E371&gt;'Parâmetros'!$A$7,0,-6))))</f>
        <v>NA</v>
      </c>
      <c r="AC371" s="82">
        <f>IF(Consultas!AC371='Parâmetros'!$E$1,0,5)</f>
        <v>5</v>
      </c>
      <c r="AD371" s="82">
        <f>IF(Consultas!AH371='Parâmetros'!$D$1,-10,5)</f>
        <v>5</v>
      </c>
      <c r="AE371" s="82">
        <f>IF(Consultas!AI371&gt;(Consultas!F371*2),-10,0)</f>
        <v>0</v>
      </c>
      <c r="AF371" s="82" t="b">
        <f>IF(Consultas!AD371&gt;1,(IF(Consultas!AI371&gt;(Consultas!AD371),-20,4)))</f>
        <v>0</v>
      </c>
      <c r="AG371" s="82">
        <f>IF(Consultas!AG371='Parâmetros'!$E$1,0,-6)</f>
        <v>-6</v>
      </c>
      <c r="AH371" s="82">
        <f>IF(Consultas!AF371='Parâmetros'!$E$1,1,-5)</f>
        <v>-5</v>
      </c>
      <c r="AI371" s="82">
        <f>IF(Consultas!AJ371&gt;700,8,IF(Consultas!AJ371&gt;500,4,IF(Consultas!AJ371&gt;200,-4,IF(Consultas!AJ371&gt;1,-15,-20))))</f>
        <v>-20</v>
      </c>
      <c r="AJ371" s="82">
        <f>IF(Consultas!AD371='Parâmetros'!$E$10,0,IF(Consultas!AD371&gt;'Parâmetros'!$A$30,12,IF(Consultas!AD371&gt;'Parâmetros'!$A$31,6,IF(Consultas!AD371&gt;'Parâmetros'!$A$32,0,IF(Consultas!AD371&gt;'Parâmetros'!$A$33,0,IF(Consultas!AD371&gt;'Parâmetros'!$A$34,-3,IF(Consultas!AD371&gt;'Parâmetros'!$A$35,-7,-1)))))))</f>
        <v>-1</v>
      </c>
      <c r="AK371" s="82">
        <f>IF(Consultas!AO371='Parâmetros'!$D$1,3,-3)</f>
        <v>-3</v>
      </c>
      <c r="AL371" s="82">
        <f>IF(Consultas!AP371='Parâmetros'!$D$1,5,-3)</f>
        <v>-3</v>
      </c>
      <c r="AM371" s="82">
        <f>IF(Consultas!AL371="N",-6,0)</f>
        <v>0</v>
      </c>
      <c r="AN371" s="82">
        <f>IF(Consultas!AM371="N",-10,0)</f>
        <v>0</v>
      </c>
      <c r="AO371" s="82">
        <f>IF(Consultas!AN371="S",4,-2)</f>
        <v>-2</v>
      </c>
      <c r="AP371" s="39"/>
      <c r="AQ371" s="165" t="str">
        <f>IF(Consultas!F371&gt;1,(SUM(F371:AO371)),"N/A")</f>
        <v>N/A</v>
      </c>
      <c r="AR371" s="78">
        <f>IF((Consultas!AD371&gt;'Parâmetros'!$A$31),"X",AJ371+Y371+V371+AC371)</f>
        <v>-9</v>
      </c>
      <c r="AS371" s="78">
        <f>IF((Consultas!AD371&gt;'Parâmetros'!$A$31),"X",(H371+I371+J371+Q371+T371+Y371+Z371+AJ371+AN371))</f>
        <v>-23</v>
      </c>
      <c r="AT371" s="78" t="str">
        <f>IF((Consultas!AD371&lt;'Parâmetros'!$A$31),"X",(AD371+AC371+AB371))</f>
        <v>X</v>
      </c>
      <c r="AU371" s="78">
        <f t="shared" si="1"/>
        <v>-23</v>
      </c>
      <c r="AV371" s="82" t="str">
        <f>IF(AQ371="N/A","N/A",IF(AQ371&gt;5,'Parâmetros'!$A$15,(IF(AU371=AR371,'Parâmetros'!$A$17,IF(AU371=AS371,'Parâmetros'!$A$16,'Parâmetros'!$A$14)))))</f>
        <v>N/A</v>
      </c>
      <c r="AW371" s="86" t="str">
        <f>IF(AQ371="N/A","N/A",IF(AV371='Parâmetros'!$A$15,'Parâmetros'!$C$15,(IF(AV371='Parâmetros'!$A$17,'Parâmetros'!$C$17,IF(AV371='Parâmetros'!$A$16,'Parâmetros'!$C$16,IF(AV371='Parâmetros'!$A$14,'Parâmetros'!$C$12))))))</f>
        <v>N/A</v>
      </c>
      <c r="AX371" s="82" t="b">
        <f>IF(Consultas!F371&gt;1,(IF(Consultas!F371&gt;5000,"SOLICITAR PED COMPRA","N/A")))</f>
        <v>0</v>
      </c>
      <c r="AY371" s="167" t="str">
        <f>IF(AND(Consultas!M371&lt;&gt;"S", Consultas!H371="S"), "CHECAGEM REVERSA", "N/A")</f>
        <v>N/A</v>
      </c>
      <c r="AZ371" s="167" t="str">
        <f>IF(Consultas!U371="N","PRECISA CORRIGIR END DIVERGENTE","N/A")</f>
        <v>N/A</v>
      </c>
    </row>
    <row r="372" ht="12.0" customHeight="1">
      <c r="A372" s="39" t="s">
        <v>90</v>
      </c>
      <c r="B372" s="82" t="str">
        <f>Consultas!B372</f>
        <v/>
      </c>
      <c r="C372" s="82" t="str">
        <f>Consultas!D372</f>
        <v/>
      </c>
      <c r="D372" s="96" t="str">
        <f>Consultas!E372</f>
        <v/>
      </c>
      <c r="E372" s="104" t="str">
        <f>IF(Consultas!AB372&gt;0,YEAR('Parâmetros'!$B$1)-YEAR(Consultas!AB372),"NA")</f>
        <v>NA</v>
      </c>
      <c r="F372" s="82">
        <f>IF(Consultas!F372&gt;'Parâmetros'!$B$2,-8,0)</f>
        <v>0</v>
      </c>
      <c r="G372" s="82">
        <f>IF(Consultas!H372='Parâmetros'!$E$1,100,0)</f>
        <v>0</v>
      </c>
      <c r="H372" s="82">
        <f>IF(Consultas!I372='Parâmetros'!$E$1,-4,12)</f>
        <v>12</v>
      </c>
      <c r="I372" s="82">
        <f>IF(Consultas!J372='Parâmetros'!$E$1,1,-13)</f>
        <v>-13</v>
      </c>
      <c r="J372" s="82">
        <f>IF(Consultas!K372='Parâmetros'!$E$1,2,-5)</f>
        <v>-5</v>
      </c>
      <c r="K372" s="82" t="str">
        <f>IF(Consultas!L372='Parâmetros'!$D$1,"SOLIC CONTRATO DE ENTREGA","N/A")</f>
        <v>N/A</v>
      </c>
      <c r="L372" s="82">
        <f>IF(Consultas!R372='Parâmetros'!$E$1,1,-3)</f>
        <v>-3</v>
      </c>
      <c r="M372" s="82" t="b">
        <f>IF(Consultas!S372&gt;1,(IF(Consultas!S372='Parâmetros'!$E$1,-3,9)))</f>
        <v>0</v>
      </c>
      <c r="N372" s="82">
        <f>IF(Consultas!T372="S",23,0)</f>
        <v>0</v>
      </c>
      <c r="O372" s="82">
        <f>IF(Consultas!U372='Parâmetros'!$E$1,-3,3)</f>
        <v>3</v>
      </c>
      <c r="P372" s="82">
        <f>IF(Consultas!V372='Parâmetros'!$E$1,-100,2)</f>
        <v>2</v>
      </c>
      <c r="Q372" s="82">
        <f>IF(Consultas!M372='Parâmetros'!$D$1,2,-9)</f>
        <v>-9</v>
      </c>
      <c r="R372" s="82">
        <f>IF(Consultas!N372="RJ",-12,0)</f>
        <v>0</v>
      </c>
      <c r="S372" s="82">
        <f>IF(Consultas!O372="-",-3,IF(Consultas!O372=0,-6,IF(Consultas!O372=5,0,IF(Consultas!O372=10,6))))</f>
        <v>-6</v>
      </c>
      <c r="T372" s="82">
        <f>IF(Consultas!M372="S",0,(IF(Consultas!P372="S",6,0)))</f>
        <v>0</v>
      </c>
      <c r="U372" s="82">
        <f>IF(Consultas!Q372&gt;97,9,IF(Consultas!Q372&gt;75,0,-7))</f>
        <v>-7</v>
      </c>
      <c r="V372" s="82">
        <f>IF(Consultas!W372='Parâmetros'!$E$1,1,-5)</f>
        <v>-5</v>
      </c>
      <c r="W372" s="82">
        <f>IF(Consultas!X372="S",3,-3)</f>
        <v>-3</v>
      </c>
      <c r="X372" s="82">
        <f>IF(Consultas!Y372="S",0,-7)</f>
        <v>-7</v>
      </c>
      <c r="Y372" s="82">
        <f>IF(Consultas!Z372='Parâmetros'!$E$1,2,-8)</f>
        <v>-8</v>
      </c>
      <c r="Z372" s="82">
        <f>IF(Consultas!AA372='Parâmetros'!$E$1,-15,1)</f>
        <v>1</v>
      </c>
      <c r="AA372" s="147" t="s">
        <v>140</v>
      </c>
      <c r="AB372" s="82" t="str">
        <f>IF(E372="NA","NA",IF(E372&gt;'Parâmetros'!$A$9,8,IF(E372&gt;'Parâmetros'!$A$8,4,IF(E372&gt;'Parâmetros'!$A$7,0,-6))))</f>
        <v>NA</v>
      </c>
      <c r="AC372" s="82">
        <f>IF(Consultas!AC372='Parâmetros'!$E$1,0,5)</f>
        <v>5</v>
      </c>
      <c r="AD372" s="82">
        <f>IF(Consultas!AH372='Parâmetros'!$D$1,-10,5)</f>
        <v>5</v>
      </c>
      <c r="AE372" s="82">
        <f>IF(Consultas!AI372&gt;(Consultas!F372*2),-10,0)</f>
        <v>0</v>
      </c>
      <c r="AF372" s="82" t="b">
        <f>IF(Consultas!AD372&gt;1,(IF(Consultas!AI372&gt;(Consultas!AD372),-20,4)))</f>
        <v>0</v>
      </c>
      <c r="AG372" s="82">
        <f>IF(Consultas!AG372='Parâmetros'!$E$1,0,-6)</f>
        <v>-6</v>
      </c>
      <c r="AH372" s="82">
        <f>IF(Consultas!AF372='Parâmetros'!$E$1,1,-5)</f>
        <v>-5</v>
      </c>
      <c r="AI372" s="82">
        <f>IF(Consultas!AJ372&gt;700,8,IF(Consultas!AJ372&gt;500,4,IF(Consultas!AJ372&gt;200,-4,IF(Consultas!AJ372&gt;1,-15,-20))))</f>
        <v>-20</v>
      </c>
      <c r="AJ372" s="82">
        <f>IF(Consultas!AD372='Parâmetros'!$E$10,0,IF(Consultas!AD372&gt;'Parâmetros'!$A$30,12,IF(Consultas!AD372&gt;'Parâmetros'!$A$31,6,IF(Consultas!AD372&gt;'Parâmetros'!$A$32,0,IF(Consultas!AD372&gt;'Parâmetros'!$A$33,0,IF(Consultas!AD372&gt;'Parâmetros'!$A$34,-3,IF(Consultas!AD372&gt;'Parâmetros'!$A$35,-7,-1)))))))</f>
        <v>-1</v>
      </c>
      <c r="AK372" s="82">
        <f>IF(Consultas!AO372='Parâmetros'!$D$1,3,-3)</f>
        <v>-3</v>
      </c>
      <c r="AL372" s="82">
        <f>IF(Consultas!AP372='Parâmetros'!$D$1,5,-3)</f>
        <v>-3</v>
      </c>
      <c r="AM372" s="82">
        <f>IF(Consultas!AL372="N",-6,0)</f>
        <v>0</v>
      </c>
      <c r="AN372" s="82">
        <f>IF(Consultas!AM372="N",-10,0)</f>
        <v>0</v>
      </c>
      <c r="AO372" s="82">
        <f>IF(Consultas!AN372="S",4,-2)</f>
        <v>-2</v>
      </c>
      <c r="AP372" s="39"/>
      <c r="AQ372" s="165" t="str">
        <f>IF(Consultas!F372&gt;1,(SUM(F372:AO372)),"N/A")</f>
        <v>N/A</v>
      </c>
      <c r="AR372" s="78">
        <f>IF((Consultas!AD372&gt;'Parâmetros'!$A$31),"X",AJ372+Y372+V372+AC372)</f>
        <v>-9</v>
      </c>
      <c r="AS372" s="78">
        <f>IF((Consultas!AD372&gt;'Parâmetros'!$A$31),"X",(H372+I372+J372+Q372+T372+Y372+Z372+AJ372+AN372))</f>
        <v>-23</v>
      </c>
      <c r="AT372" s="78" t="str">
        <f>IF((Consultas!AD372&lt;'Parâmetros'!$A$31),"X",(AD372+AC372+AB372))</f>
        <v>X</v>
      </c>
      <c r="AU372" s="78">
        <f t="shared" si="1"/>
        <v>-23</v>
      </c>
      <c r="AV372" s="82" t="str">
        <f>IF(AQ372="N/A","N/A",IF(AQ372&gt;5,'Parâmetros'!$A$15,(IF(AU372=AR372,'Parâmetros'!$A$17,IF(AU372=AS372,'Parâmetros'!$A$16,'Parâmetros'!$A$14)))))</f>
        <v>N/A</v>
      </c>
      <c r="AW372" s="86" t="str">
        <f>IF(AQ372="N/A","N/A",IF(AV372='Parâmetros'!$A$15,'Parâmetros'!$C$15,(IF(AV372='Parâmetros'!$A$17,'Parâmetros'!$C$17,IF(AV372='Parâmetros'!$A$16,'Parâmetros'!$C$16,IF(AV372='Parâmetros'!$A$14,'Parâmetros'!$C$12))))))</f>
        <v>N/A</v>
      </c>
      <c r="AX372" s="82" t="b">
        <f>IF(Consultas!F372&gt;1,(IF(Consultas!F372&gt;5000,"SOLICITAR PED COMPRA","N/A")))</f>
        <v>0</v>
      </c>
      <c r="AY372" s="167" t="str">
        <f>IF(AND(Consultas!M372&lt;&gt;"S", Consultas!H372="S"), "CHECAGEM REVERSA", "N/A")</f>
        <v>N/A</v>
      </c>
      <c r="AZ372" s="167" t="str">
        <f>IF(Consultas!U372="N","PRECISA CORRIGIR END DIVERGENTE","N/A")</f>
        <v>N/A</v>
      </c>
    </row>
    <row r="373" ht="12.0" customHeight="1">
      <c r="A373" s="39" t="s">
        <v>90</v>
      </c>
      <c r="B373" s="82" t="str">
        <f>Consultas!B373</f>
        <v/>
      </c>
      <c r="C373" s="82" t="str">
        <f>Consultas!D373</f>
        <v/>
      </c>
      <c r="D373" s="96" t="str">
        <f>Consultas!E373</f>
        <v/>
      </c>
      <c r="E373" s="104" t="str">
        <f>IF(Consultas!AB373&gt;0,YEAR('Parâmetros'!$B$1)-YEAR(Consultas!AB373),"NA")</f>
        <v>NA</v>
      </c>
      <c r="F373" s="82">
        <f>IF(Consultas!F373&gt;'Parâmetros'!$B$2,-8,0)</f>
        <v>0</v>
      </c>
      <c r="G373" s="82">
        <f>IF(Consultas!H373='Parâmetros'!$E$1,100,0)</f>
        <v>0</v>
      </c>
      <c r="H373" s="82">
        <f>IF(Consultas!I373='Parâmetros'!$E$1,-4,12)</f>
        <v>12</v>
      </c>
      <c r="I373" s="82">
        <f>IF(Consultas!J373='Parâmetros'!$E$1,1,-13)</f>
        <v>-13</v>
      </c>
      <c r="J373" s="82">
        <f>IF(Consultas!K373='Parâmetros'!$E$1,2,-5)</f>
        <v>-5</v>
      </c>
      <c r="K373" s="82" t="str">
        <f>IF(Consultas!L373='Parâmetros'!$D$1,"SOLIC CONTRATO DE ENTREGA","N/A")</f>
        <v>N/A</v>
      </c>
      <c r="L373" s="82">
        <f>IF(Consultas!R373='Parâmetros'!$E$1,1,-3)</f>
        <v>-3</v>
      </c>
      <c r="M373" s="82" t="b">
        <f>IF(Consultas!S373&gt;1,(IF(Consultas!S373='Parâmetros'!$E$1,-3,9)))</f>
        <v>0</v>
      </c>
      <c r="N373" s="82">
        <f>IF(Consultas!T373="S",23,0)</f>
        <v>0</v>
      </c>
      <c r="O373" s="82">
        <f>IF(Consultas!U373='Parâmetros'!$E$1,-3,3)</f>
        <v>3</v>
      </c>
      <c r="P373" s="82">
        <f>IF(Consultas!V373='Parâmetros'!$E$1,-100,2)</f>
        <v>2</v>
      </c>
      <c r="Q373" s="82">
        <f>IF(Consultas!M373='Parâmetros'!$D$1,2,-9)</f>
        <v>-9</v>
      </c>
      <c r="R373" s="82">
        <f>IF(Consultas!N373="RJ",-12,0)</f>
        <v>0</v>
      </c>
      <c r="S373" s="82">
        <f>IF(Consultas!O373="-",-3,IF(Consultas!O373=0,-6,IF(Consultas!O373=5,0,IF(Consultas!O373=10,6))))</f>
        <v>-6</v>
      </c>
      <c r="T373" s="82">
        <f>IF(Consultas!M373="S",0,(IF(Consultas!P373="S",6,0)))</f>
        <v>0</v>
      </c>
      <c r="U373" s="82">
        <f>IF(Consultas!Q373&gt;97,9,IF(Consultas!Q373&gt;75,0,-7))</f>
        <v>-7</v>
      </c>
      <c r="V373" s="82">
        <f>IF(Consultas!W373='Parâmetros'!$E$1,1,-5)</f>
        <v>-5</v>
      </c>
      <c r="W373" s="82">
        <f>IF(Consultas!X373="S",3,-3)</f>
        <v>-3</v>
      </c>
      <c r="X373" s="82">
        <f>IF(Consultas!Y373="S",0,-7)</f>
        <v>-7</v>
      </c>
      <c r="Y373" s="82">
        <f>IF(Consultas!Z373='Parâmetros'!$E$1,2,-8)</f>
        <v>-8</v>
      </c>
      <c r="Z373" s="82">
        <f>IF(Consultas!AA373='Parâmetros'!$E$1,-15,1)</f>
        <v>1</v>
      </c>
      <c r="AA373" s="147" t="s">
        <v>140</v>
      </c>
      <c r="AB373" s="82" t="str">
        <f>IF(E373="NA","NA",IF(E373&gt;'Parâmetros'!$A$9,8,IF(E373&gt;'Parâmetros'!$A$8,4,IF(E373&gt;'Parâmetros'!$A$7,0,-6))))</f>
        <v>NA</v>
      </c>
      <c r="AC373" s="82">
        <f>IF(Consultas!AC373='Parâmetros'!$E$1,0,5)</f>
        <v>5</v>
      </c>
      <c r="AD373" s="82">
        <f>IF(Consultas!AH373='Parâmetros'!$D$1,-10,5)</f>
        <v>5</v>
      </c>
      <c r="AE373" s="82">
        <f>IF(Consultas!AI373&gt;(Consultas!F373*2),-10,0)</f>
        <v>0</v>
      </c>
      <c r="AF373" s="82" t="b">
        <f>IF(Consultas!AD373&gt;1,(IF(Consultas!AI373&gt;(Consultas!AD373),-20,4)))</f>
        <v>0</v>
      </c>
      <c r="AG373" s="82">
        <f>IF(Consultas!AG373='Parâmetros'!$E$1,0,-6)</f>
        <v>-6</v>
      </c>
      <c r="AH373" s="82">
        <f>IF(Consultas!AF373='Parâmetros'!$E$1,1,-5)</f>
        <v>-5</v>
      </c>
      <c r="AI373" s="82">
        <f>IF(Consultas!AJ373&gt;700,8,IF(Consultas!AJ373&gt;500,4,IF(Consultas!AJ373&gt;200,-4,IF(Consultas!AJ373&gt;1,-15,-20))))</f>
        <v>-20</v>
      </c>
      <c r="AJ373" s="82">
        <f>IF(Consultas!AD373='Parâmetros'!$E$10,0,IF(Consultas!AD373&gt;'Parâmetros'!$A$30,12,IF(Consultas!AD373&gt;'Parâmetros'!$A$31,6,IF(Consultas!AD373&gt;'Parâmetros'!$A$32,0,IF(Consultas!AD373&gt;'Parâmetros'!$A$33,0,IF(Consultas!AD373&gt;'Parâmetros'!$A$34,-3,IF(Consultas!AD373&gt;'Parâmetros'!$A$35,-7,-1)))))))</f>
        <v>-1</v>
      </c>
      <c r="AK373" s="82">
        <f>IF(Consultas!AO373='Parâmetros'!$D$1,3,-3)</f>
        <v>-3</v>
      </c>
      <c r="AL373" s="82">
        <f>IF(Consultas!AP373='Parâmetros'!$D$1,5,-3)</f>
        <v>-3</v>
      </c>
      <c r="AM373" s="82">
        <f>IF(Consultas!AL373="N",-6,0)</f>
        <v>0</v>
      </c>
      <c r="AN373" s="82">
        <f>IF(Consultas!AM373="N",-10,0)</f>
        <v>0</v>
      </c>
      <c r="AO373" s="82">
        <f>IF(Consultas!AN373="S",4,-2)</f>
        <v>-2</v>
      </c>
      <c r="AP373" s="39"/>
      <c r="AQ373" s="165" t="str">
        <f>IF(Consultas!F373&gt;1,(SUM(F373:AO373)),"N/A")</f>
        <v>N/A</v>
      </c>
      <c r="AR373" s="78">
        <f>IF((Consultas!AD373&gt;'Parâmetros'!$A$31),"X",AJ373+Y373+V373+AC373)</f>
        <v>-9</v>
      </c>
      <c r="AS373" s="78">
        <f>IF((Consultas!AD373&gt;'Parâmetros'!$A$31),"X",(H373+I373+J373+Q373+T373+Y373+Z373+AJ373+AN373))</f>
        <v>-23</v>
      </c>
      <c r="AT373" s="78" t="str">
        <f>IF((Consultas!AD373&lt;'Parâmetros'!$A$31),"X",(AD373+AC373+AB373))</f>
        <v>X</v>
      </c>
      <c r="AU373" s="78">
        <f t="shared" si="1"/>
        <v>-23</v>
      </c>
      <c r="AV373" s="82" t="str">
        <f>IF(AQ373="N/A","N/A",IF(AQ373&gt;5,'Parâmetros'!$A$15,(IF(AU373=AR373,'Parâmetros'!$A$17,IF(AU373=AS373,'Parâmetros'!$A$16,'Parâmetros'!$A$14)))))</f>
        <v>N/A</v>
      </c>
      <c r="AW373" s="86" t="str">
        <f>IF(AQ373="N/A","N/A",IF(AV373='Parâmetros'!$A$15,'Parâmetros'!$C$15,(IF(AV373='Parâmetros'!$A$17,'Parâmetros'!$C$17,IF(AV373='Parâmetros'!$A$16,'Parâmetros'!$C$16,IF(AV373='Parâmetros'!$A$14,'Parâmetros'!$C$12))))))</f>
        <v>N/A</v>
      </c>
      <c r="AX373" s="82" t="b">
        <f>IF(Consultas!F373&gt;1,(IF(Consultas!F373&gt;5000,"SOLICITAR PED COMPRA","N/A")))</f>
        <v>0</v>
      </c>
      <c r="AY373" s="167" t="str">
        <f>IF(AND(Consultas!M373&lt;&gt;"S", Consultas!H373="S"), "CHECAGEM REVERSA", "N/A")</f>
        <v>N/A</v>
      </c>
      <c r="AZ373" s="167" t="str">
        <f>IF(Consultas!U373="N","PRECISA CORRIGIR END DIVERGENTE","N/A")</f>
        <v>N/A</v>
      </c>
    </row>
    <row r="374" ht="12.0" customHeight="1">
      <c r="A374" s="39" t="s">
        <v>90</v>
      </c>
      <c r="B374" s="82" t="str">
        <f>Consultas!B374</f>
        <v/>
      </c>
      <c r="C374" s="82" t="str">
        <f>Consultas!D374</f>
        <v/>
      </c>
      <c r="D374" s="96" t="str">
        <f>Consultas!E374</f>
        <v/>
      </c>
      <c r="E374" s="104" t="str">
        <f>IF(Consultas!AB374&gt;0,YEAR('Parâmetros'!$B$1)-YEAR(Consultas!AB374),"NA")</f>
        <v>NA</v>
      </c>
      <c r="F374" s="82">
        <f>IF(Consultas!F374&gt;'Parâmetros'!$B$2,-8,0)</f>
        <v>0</v>
      </c>
      <c r="G374" s="82">
        <f>IF(Consultas!H374='Parâmetros'!$E$1,100,0)</f>
        <v>0</v>
      </c>
      <c r="H374" s="82">
        <f>IF(Consultas!I374='Parâmetros'!$E$1,-4,12)</f>
        <v>12</v>
      </c>
      <c r="I374" s="82">
        <f>IF(Consultas!J374='Parâmetros'!$E$1,1,-13)</f>
        <v>-13</v>
      </c>
      <c r="J374" s="82">
        <f>IF(Consultas!K374='Parâmetros'!$E$1,2,-5)</f>
        <v>-5</v>
      </c>
      <c r="K374" s="82" t="str">
        <f>IF(Consultas!L374='Parâmetros'!$D$1,"SOLIC CONTRATO DE ENTREGA","N/A")</f>
        <v>N/A</v>
      </c>
      <c r="L374" s="82">
        <f>IF(Consultas!R374='Parâmetros'!$E$1,1,-3)</f>
        <v>-3</v>
      </c>
      <c r="M374" s="82" t="b">
        <f>IF(Consultas!S374&gt;1,(IF(Consultas!S374='Parâmetros'!$E$1,-3,9)))</f>
        <v>0</v>
      </c>
      <c r="N374" s="82">
        <f>IF(Consultas!T374="S",23,0)</f>
        <v>0</v>
      </c>
      <c r="O374" s="82">
        <f>IF(Consultas!U374='Parâmetros'!$E$1,-3,3)</f>
        <v>3</v>
      </c>
      <c r="P374" s="82">
        <f>IF(Consultas!V374='Parâmetros'!$E$1,-100,2)</f>
        <v>2</v>
      </c>
      <c r="Q374" s="82">
        <f>IF(Consultas!M374='Parâmetros'!$D$1,2,-9)</f>
        <v>-9</v>
      </c>
      <c r="R374" s="82">
        <f>IF(Consultas!N374="RJ",-12,0)</f>
        <v>0</v>
      </c>
      <c r="S374" s="82">
        <f>IF(Consultas!O374="-",-3,IF(Consultas!O374=0,-6,IF(Consultas!O374=5,0,IF(Consultas!O374=10,6))))</f>
        <v>-6</v>
      </c>
      <c r="T374" s="82">
        <f>IF(Consultas!M374="S",0,(IF(Consultas!P374="S",6,0)))</f>
        <v>0</v>
      </c>
      <c r="U374" s="82">
        <f>IF(Consultas!Q374&gt;97,9,IF(Consultas!Q374&gt;75,0,-7))</f>
        <v>-7</v>
      </c>
      <c r="V374" s="82">
        <f>IF(Consultas!W374='Parâmetros'!$E$1,1,-5)</f>
        <v>-5</v>
      </c>
      <c r="W374" s="82">
        <f>IF(Consultas!X374="S",3,-3)</f>
        <v>-3</v>
      </c>
      <c r="X374" s="82">
        <f>IF(Consultas!Y374="S",0,-7)</f>
        <v>-7</v>
      </c>
      <c r="Y374" s="82">
        <f>IF(Consultas!Z374='Parâmetros'!$E$1,2,-8)</f>
        <v>-8</v>
      </c>
      <c r="Z374" s="82">
        <f>IF(Consultas!AA374='Parâmetros'!$E$1,-15,1)</f>
        <v>1</v>
      </c>
      <c r="AA374" s="147" t="s">
        <v>140</v>
      </c>
      <c r="AB374" s="82" t="str">
        <f>IF(E374="NA","NA",IF(E374&gt;'Parâmetros'!$A$9,8,IF(E374&gt;'Parâmetros'!$A$8,4,IF(E374&gt;'Parâmetros'!$A$7,0,-6))))</f>
        <v>NA</v>
      </c>
      <c r="AC374" s="82">
        <f>IF(Consultas!AC374='Parâmetros'!$E$1,0,5)</f>
        <v>5</v>
      </c>
      <c r="AD374" s="82">
        <f>IF(Consultas!AH374='Parâmetros'!$D$1,-10,5)</f>
        <v>5</v>
      </c>
      <c r="AE374" s="82">
        <f>IF(Consultas!AI374&gt;(Consultas!F374*2),-10,0)</f>
        <v>0</v>
      </c>
      <c r="AF374" s="82" t="b">
        <f>IF(Consultas!AD374&gt;1,(IF(Consultas!AI374&gt;(Consultas!AD374),-20,4)))</f>
        <v>0</v>
      </c>
      <c r="AG374" s="82">
        <f>IF(Consultas!AG374='Parâmetros'!$E$1,0,-6)</f>
        <v>-6</v>
      </c>
      <c r="AH374" s="82">
        <f>IF(Consultas!AF374='Parâmetros'!$E$1,1,-5)</f>
        <v>-5</v>
      </c>
      <c r="AI374" s="82">
        <f>IF(Consultas!AJ374&gt;700,8,IF(Consultas!AJ374&gt;500,4,IF(Consultas!AJ374&gt;200,-4,IF(Consultas!AJ374&gt;1,-15,-20))))</f>
        <v>-20</v>
      </c>
      <c r="AJ374" s="82">
        <f>IF(Consultas!AD374='Parâmetros'!$E$10,0,IF(Consultas!AD374&gt;'Parâmetros'!$A$30,12,IF(Consultas!AD374&gt;'Parâmetros'!$A$31,6,IF(Consultas!AD374&gt;'Parâmetros'!$A$32,0,IF(Consultas!AD374&gt;'Parâmetros'!$A$33,0,IF(Consultas!AD374&gt;'Parâmetros'!$A$34,-3,IF(Consultas!AD374&gt;'Parâmetros'!$A$35,-7,-1)))))))</f>
        <v>-1</v>
      </c>
      <c r="AK374" s="82">
        <f>IF(Consultas!AO374='Parâmetros'!$D$1,3,-3)</f>
        <v>-3</v>
      </c>
      <c r="AL374" s="82">
        <f>IF(Consultas!AP374='Parâmetros'!$D$1,5,-3)</f>
        <v>-3</v>
      </c>
      <c r="AM374" s="82">
        <f>IF(Consultas!AL374="N",-6,0)</f>
        <v>0</v>
      </c>
      <c r="AN374" s="82">
        <f>IF(Consultas!AM374="N",-10,0)</f>
        <v>0</v>
      </c>
      <c r="AO374" s="82">
        <f>IF(Consultas!AN374="S",4,-2)</f>
        <v>-2</v>
      </c>
      <c r="AP374" s="39"/>
      <c r="AQ374" s="165" t="str">
        <f>IF(Consultas!F374&gt;1,(SUM(F374:AO374)),"N/A")</f>
        <v>N/A</v>
      </c>
      <c r="AR374" s="78">
        <f>IF((Consultas!AD374&gt;'Parâmetros'!$A$31),"X",AJ374+Y374+V374+AC374)</f>
        <v>-9</v>
      </c>
      <c r="AS374" s="78">
        <f>IF((Consultas!AD374&gt;'Parâmetros'!$A$31),"X",(H374+I374+J374+Q374+T374+Y374+Z374+AJ374+AN374))</f>
        <v>-23</v>
      </c>
      <c r="AT374" s="78" t="str">
        <f>IF((Consultas!AD374&lt;'Parâmetros'!$A$31),"X",(AD374+AC374+AB374))</f>
        <v>X</v>
      </c>
      <c r="AU374" s="78">
        <f t="shared" si="1"/>
        <v>-23</v>
      </c>
      <c r="AV374" s="82" t="str">
        <f>IF(AQ374="N/A","N/A",IF(AQ374&gt;5,'Parâmetros'!$A$15,(IF(AU374=AR374,'Parâmetros'!$A$17,IF(AU374=AS374,'Parâmetros'!$A$16,'Parâmetros'!$A$14)))))</f>
        <v>N/A</v>
      </c>
      <c r="AW374" s="86" t="str">
        <f>IF(AQ374="N/A","N/A",IF(AV374='Parâmetros'!$A$15,'Parâmetros'!$C$15,(IF(AV374='Parâmetros'!$A$17,'Parâmetros'!$C$17,IF(AV374='Parâmetros'!$A$16,'Parâmetros'!$C$16,IF(AV374='Parâmetros'!$A$14,'Parâmetros'!$C$12))))))</f>
        <v>N/A</v>
      </c>
      <c r="AX374" s="82" t="b">
        <f>IF(Consultas!F374&gt;1,(IF(Consultas!F374&gt;5000,"SOLICITAR PED COMPRA","N/A")))</f>
        <v>0</v>
      </c>
      <c r="AY374" s="167" t="str">
        <f>IF(AND(Consultas!M374&lt;&gt;"S", Consultas!H374="S"), "CHECAGEM REVERSA", "N/A")</f>
        <v>N/A</v>
      </c>
      <c r="AZ374" s="167" t="str">
        <f>IF(Consultas!U374="N","PRECISA CORRIGIR END DIVERGENTE","N/A")</f>
        <v>N/A</v>
      </c>
    </row>
    <row r="375" ht="12.0" customHeight="1">
      <c r="A375" s="39" t="s">
        <v>90</v>
      </c>
      <c r="B375" s="82" t="str">
        <f>Consultas!B375</f>
        <v/>
      </c>
      <c r="C375" s="82" t="str">
        <f>Consultas!D375</f>
        <v/>
      </c>
      <c r="D375" s="96" t="str">
        <f>Consultas!E375</f>
        <v/>
      </c>
      <c r="E375" s="104" t="str">
        <f>IF(Consultas!AB375&gt;0,YEAR('Parâmetros'!$B$1)-YEAR(Consultas!AB375),"NA")</f>
        <v>NA</v>
      </c>
      <c r="F375" s="82">
        <f>IF(Consultas!F375&gt;'Parâmetros'!$B$2,-8,0)</f>
        <v>0</v>
      </c>
      <c r="G375" s="82">
        <f>IF(Consultas!H375='Parâmetros'!$E$1,100,0)</f>
        <v>0</v>
      </c>
      <c r="H375" s="82">
        <f>IF(Consultas!I375='Parâmetros'!$E$1,-4,12)</f>
        <v>12</v>
      </c>
      <c r="I375" s="82">
        <f>IF(Consultas!J375='Parâmetros'!$E$1,1,-13)</f>
        <v>-13</v>
      </c>
      <c r="J375" s="82">
        <f>IF(Consultas!K375='Parâmetros'!$E$1,2,-5)</f>
        <v>-5</v>
      </c>
      <c r="K375" s="82" t="str">
        <f>IF(Consultas!L375='Parâmetros'!$D$1,"SOLIC CONTRATO DE ENTREGA","N/A")</f>
        <v>N/A</v>
      </c>
      <c r="L375" s="82">
        <f>IF(Consultas!R375='Parâmetros'!$E$1,1,-3)</f>
        <v>-3</v>
      </c>
      <c r="M375" s="82" t="b">
        <f>IF(Consultas!S375&gt;1,(IF(Consultas!S375='Parâmetros'!$E$1,-3,9)))</f>
        <v>0</v>
      </c>
      <c r="N375" s="82">
        <f>IF(Consultas!T375="S",23,0)</f>
        <v>0</v>
      </c>
      <c r="O375" s="82">
        <f>IF(Consultas!U375='Parâmetros'!$E$1,-3,3)</f>
        <v>3</v>
      </c>
      <c r="P375" s="82">
        <f>IF(Consultas!V375='Parâmetros'!$E$1,-100,2)</f>
        <v>2</v>
      </c>
      <c r="Q375" s="82">
        <f>IF(Consultas!M375='Parâmetros'!$D$1,2,-9)</f>
        <v>-9</v>
      </c>
      <c r="R375" s="82">
        <f>IF(Consultas!N375="RJ",-12,0)</f>
        <v>0</v>
      </c>
      <c r="S375" s="82">
        <f>IF(Consultas!O375="-",-3,IF(Consultas!O375=0,-6,IF(Consultas!O375=5,0,IF(Consultas!O375=10,6))))</f>
        <v>-6</v>
      </c>
      <c r="T375" s="82">
        <f>IF(Consultas!M375="S",0,(IF(Consultas!P375="S",6,0)))</f>
        <v>0</v>
      </c>
      <c r="U375" s="82">
        <f>IF(Consultas!Q375&gt;97,9,IF(Consultas!Q375&gt;75,0,-7))</f>
        <v>-7</v>
      </c>
      <c r="V375" s="82">
        <f>IF(Consultas!W375='Parâmetros'!$E$1,1,-5)</f>
        <v>-5</v>
      </c>
      <c r="W375" s="82">
        <f>IF(Consultas!X375="S",3,-3)</f>
        <v>-3</v>
      </c>
      <c r="X375" s="82">
        <f>IF(Consultas!Y375="S",0,-7)</f>
        <v>-7</v>
      </c>
      <c r="Y375" s="82">
        <f>IF(Consultas!Z375='Parâmetros'!$E$1,2,-8)</f>
        <v>-8</v>
      </c>
      <c r="Z375" s="82">
        <f>IF(Consultas!AA375='Parâmetros'!$E$1,-15,1)</f>
        <v>1</v>
      </c>
      <c r="AA375" s="147" t="s">
        <v>140</v>
      </c>
      <c r="AB375" s="82" t="str">
        <f>IF(E375="NA","NA",IF(E375&gt;'Parâmetros'!$A$9,8,IF(E375&gt;'Parâmetros'!$A$8,4,IF(E375&gt;'Parâmetros'!$A$7,0,-6))))</f>
        <v>NA</v>
      </c>
      <c r="AC375" s="82">
        <f>IF(Consultas!AC375='Parâmetros'!$E$1,0,5)</f>
        <v>5</v>
      </c>
      <c r="AD375" s="82">
        <f>IF(Consultas!AH375='Parâmetros'!$D$1,-10,5)</f>
        <v>5</v>
      </c>
      <c r="AE375" s="82">
        <f>IF(Consultas!AI375&gt;(Consultas!F375*2),-10,0)</f>
        <v>0</v>
      </c>
      <c r="AF375" s="82" t="b">
        <f>IF(Consultas!AD375&gt;1,(IF(Consultas!AI375&gt;(Consultas!AD375),-20,4)))</f>
        <v>0</v>
      </c>
      <c r="AG375" s="82">
        <f>IF(Consultas!AG375='Parâmetros'!$E$1,0,-6)</f>
        <v>-6</v>
      </c>
      <c r="AH375" s="82">
        <f>IF(Consultas!AF375='Parâmetros'!$E$1,1,-5)</f>
        <v>-5</v>
      </c>
      <c r="AI375" s="82">
        <f>IF(Consultas!AJ375&gt;700,8,IF(Consultas!AJ375&gt;500,4,IF(Consultas!AJ375&gt;200,-4,IF(Consultas!AJ375&gt;1,-15,-20))))</f>
        <v>-20</v>
      </c>
      <c r="AJ375" s="82">
        <f>IF(Consultas!AD375='Parâmetros'!$E$10,0,IF(Consultas!AD375&gt;'Parâmetros'!$A$30,12,IF(Consultas!AD375&gt;'Parâmetros'!$A$31,6,IF(Consultas!AD375&gt;'Parâmetros'!$A$32,0,IF(Consultas!AD375&gt;'Parâmetros'!$A$33,0,IF(Consultas!AD375&gt;'Parâmetros'!$A$34,-3,IF(Consultas!AD375&gt;'Parâmetros'!$A$35,-7,-1)))))))</f>
        <v>-1</v>
      </c>
      <c r="AK375" s="82">
        <f>IF(Consultas!AO375='Parâmetros'!$D$1,3,-3)</f>
        <v>-3</v>
      </c>
      <c r="AL375" s="82">
        <f>IF(Consultas!AP375='Parâmetros'!$D$1,5,-3)</f>
        <v>-3</v>
      </c>
      <c r="AM375" s="82">
        <f>IF(Consultas!AL375="N",-6,0)</f>
        <v>0</v>
      </c>
      <c r="AN375" s="82">
        <f>IF(Consultas!AM375="N",-10,0)</f>
        <v>0</v>
      </c>
      <c r="AO375" s="82">
        <f>IF(Consultas!AN375="S",4,-2)</f>
        <v>-2</v>
      </c>
      <c r="AP375" s="39"/>
      <c r="AQ375" s="165" t="str">
        <f>IF(Consultas!F375&gt;1,(SUM(F375:AO375)),"N/A")</f>
        <v>N/A</v>
      </c>
      <c r="AR375" s="78">
        <f>IF((Consultas!AD375&gt;'Parâmetros'!$A$31),"X",AJ375+Y375+V375+AC375)</f>
        <v>-9</v>
      </c>
      <c r="AS375" s="78">
        <f>IF((Consultas!AD375&gt;'Parâmetros'!$A$31),"X",(H375+I375+J375+Q375+T375+Y375+Z375+AJ375+AN375))</f>
        <v>-23</v>
      </c>
      <c r="AT375" s="78" t="str">
        <f>IF((Consultas!AD375&lt;'Parâmetros'!$A$31),"X",(AD375+AC375+AB375))</f>
        <v>X</v>
      </c>
      <c r="AU375" s="78">
        <f t="shared" si="1"/>
        <v>-23</v>
      </c>
      <c r="AV375" s="82" t="str">
        <f>IF(AQ375="N/A","N/A",IF(AQ375&gt;5,'Parâmetros'!$A$15,(IF(AU375=AR375,'Parâmetros'!$A$17,IF(AU375=AS375,'Parâmetros'!$A$16,'Parâmetros'!$A$14)))))</f>
        <v>N/A</v>
      </c>
      <c r="AW375" s="86" t="str">
        <f>IF(AQ375="N/A","N/A",IF(AV375='Parâmetros'!$A$15,'Parâmetros'!$C$15,(IF(AV375='Parâmetros'!$A$17,'Parâmetros'!$C$17,IF(AV375='Parâmetros'!$A$16,'Parâmetros'!$C$16,IF(AV375='Parâmetros'!$A$14,'Parâmetros'!$C$12))))))</f>
        <v>N/A</v>
      </c>
      <c r="AX375" s="82" t="b">
        <f>IF(Consultas!F375&gt;1,(IF(Consultas!F375&gt;5000,"SOLICITAR PED COMPRA","N/A")))</f>
        <v>0</v>
      </c>
      <c r="AY375" s="167" t="str">
        <f>IF(AND(Consultas!M375&lt;&gt;"S", Consultas!H375="S"), "CHECAGEM REVERSA", "N/A")</f>
        <v>N/A</v>
      </c>
      <c r="AZ375" s="167" t="str">
        <f>IF(Consultas!U375="N","PRECISA CORRIGIR END DIVERGENTE","N/A")</f>
        <v>N/A</v>
      </c>
    </row>
    <row r="376" ht="12.0" customHeight="1">
      <c r="A376" s="39" t="s">
        <v>90</v>
      </c>
      <c r="B376" s="82" t="str">
        <f>Consultas!B376</f>
        <v/>
      </c>
      <c r="C376" s="82" t="str">
        <f>Consultas!D376</f>
        <v/>
      </c>
      <c r="D376" s="96" t="str">
        <f>Consultas!E376</f>
        <v/>
      </c>
      <c r="E376" s="104" t="str">
        <f>IF(Consultas!AB376&gt;0,YEAR('Parâmetros'!$B$1)-YEAR(Consultas!AB376),"NA")</f>
        <v>NA</v>
      </c>
      <c r="F376" s="82">
        <f>IF(Consultas!F376&gt;'Parâmetros'!$B$2,-8,0)</f>
        <v>0</v>
      </c>
      <c r="G376" s="82">
        <f>IF(Consultas!H376='Parâmetros'!$E$1,100,0)</f>
        <v>0</v>
      </c>
      <c r="H376" s="82">
        <f>IF(Consultas!I376='Parâmetros'!$E$1,-4,12)</f>
        <v>12</v>
      </c>
      <c r="I376" s="82">
        <f>IF(Consultas!J376='Parâmetros'!$E$1,1,-13)</f>
        <v>-13</v>
      </c>
      <c r="J376" s="82">
        <f>IF(Consultas!K376='Parâmetros'!$E$1,2,-5)</f>
        <v>-5</v>
      </c>
      <c r="K376" s="82" t="str">
        <f>IF(Consultas!L376='Parâmetros'!$D$1,"SOLIC CONTRATO DE ENTREGA","N/A")</f>
        <v>N/A</v>
      </c>
      <c r="L376" s="82">
        <f>IF(Consultas!R376='Parâmetros'!$E$1,1,-3)</f>
        <v>-3</v>
      </c>
      <c r="M376" s="82" t="b">
        <f>IF(Consultas!S376&gt;1,(IF(Consultas!S376='Parâmetros'!$E$1,-3,9)))</f>
        <v>0</v>
      </c>
      <c r="N376" s="82">
        <f>IF(Consultas!T376="S",23,0)</f>
        <v>0</v>
      </c>
      <c r="O376" s="82">
        <f>IF(Consultas!U376='Parâmetros'!$E$1,-3,3)</f>
        <v>3</v>
      </c>
      <c r="P376" s="82">
        <f>IF(Consultas!V376='Parâmetros'!$E$1,-100,2)</f>
        <v>2</v>
      </c>
      <c r="Q376" s="82">
        <f>IF(Consultas!M376='Parâmetros'!$D$1,2,-9)</f>
        <v>-9</v>
      </c>
      <c r="R376" s="82">
        <f>IF(Consultas!N376="RJ",-12,0)</f>
        <v>0</v>
      </c>
      <c r="S376" s="82">
        <f>IF(Consultas!O376="-",-3,IF(Consultas!O376=0,-6,IF(Consultas!O376=5,0,IF(Consultas!O376=10,6))))</f>
        <v>-6</v>
      </c>
      <c r="T376" s="82">
        <f>IF(Consultas!M376="S",0,(IF(Consultas!P376="S",6,0)))</f>
        <v>0</v>
      </c>
      <c r="U376" s="82">
        <f>IF(Consultas!Q376&gt;97,9,IF(Consultas!Q376&gt;75,0,-7))</f>
        <v>-7</v>
      </c>
      <c r="V376" s="82">
        <f>IF(Consultas!W376='Parâmetros'!$E$1,1,-5)</f>
        <v>-5</v>
      </c>
      <c r="W376" s="82">
        <f>IF(Consultas!X376="S",3,-3)</f>
        <v>-3</v>
      </c>
      <c r="X376" s="82">
        <f>IF(Consultas!Y376="S",0,-7)</f>
        <v>-7</v>
      </c>
      <c r="Y376" s="82">
        <f>IF(Consultas!Z376='Parâmetros'!$E$1,2,-8)</f>
        <v>-8</v>
      </c>
      <c r="Z376" s="82">
        <f>IF(Consultas!AA376='Parâmetros'!$E$1,-15,1)</f>
        <v>1</v>
      </c>
      <c r="AA376" s="147" t="s">
        <v>140</v>
      </c>
      <c r="AB376" s="82" t="str">
        <f>IF(E376="NA","NA",IF(E376&gt;'Parâmetros'!$A$9,8,IF(E376&gt;'Parâmetros'!$A$8,4,IF(E376&gt;'Parâmetros'!$A$7,0,-6))))</f>
        <v>NA</v>
      </c>
      <c r="AC376" s="82">
        <f>IF(Consultas!AC376='Parâmetros'!$E$1,0,5)</f>
        <v>5</v>
      </c>
      <c r="AD376" s="82">
        <f>IF(Consultas!AH376='Parâmetros'!$D$1,-10,5)</f>
        <v>5</v>
      </c>
      <c r="AE376" s="82">
        <f>IF(Consultas!AI376&gt;(Consultas!F376*2),-10,0)</f>
        <v>0</v>
      </c>
      <c r="AF376" s="82" t="b">
        <f>IF(Consultas!AD376&gt;1,(IF(Consultas!AI376&gt;(Consultas!AD376),-20,4)))</f>
        <v>0</v>
      </c>
      <c r="AG376" s="82">
        <f>IF(Consultas!AG376='Parâmetros'!$E$1,0,-6)</f>
        <v>-6</v>
      </c>
      <c r="AH376" s="82">
        <f>IF(Consultas!AF376='Parâmetros'!$E$1,1,-5)</f>
        <v>-5</v>
      </c>
      <c r="AI376" s="82">
        <f>IF(Consultas!AJ376&gt;700,8,IF(Consultas!AJ376&gt;500,4,IF(Consultas!AJ376&gt;200,-4,IF(Consultas!AJ376&gt;1,-15,-20))))</f>
        <v>-20</v>
      </c>
      <c r="AJ376" s="82">
        <f>IF(Consultas!AD376='Parâmetros'!$E$10,0,IF(Consultas!AD376&gt;'Parâmetros'!$A$30,12,IF(Consultas!AD376&gt;'Parâmetros'!$A$31,6,IF(Consultas!AD376&gt;'Parâmetros'!$A$32,0,IF(Consultas!AD376&gt;'Parâmetros'!$A$33,0,IF(Consultas!AD376&gt;'Parâmetros'!$A$34,-3,IF(Consultas!AD376&gt;'Parâmetros'!$A$35,-7,-1)))))))</f>
        <v>-1</v>
      </c>
      <c r="AK376" s="82">
        <f>IF(Consultas!AO376='Parâmetros'!$D$1,3,-3)</f>
        <v>-3</v>
      </c>
      <c r="AL376" s="82">
        <f>IF(Consultas!AP376='Parâmetros'!$D$1,5,-3)</f>
        <v>-3</v>
      </c>
      <c r="AM376" s="82">
        <f>IF(Consultas!AL376="N",-6,0)</f>
        <v>0</v>
      </c>
      <c r="AN376" s="82">
        <f>IF(Consultas!AM376="N",-10,0)</f>
        <v>0</v>
      </c>
      <c r="AO376" s="82">
        <f>IF(Consultas!AN376="S",4,-2)</f>
        <v>-2</v>
      </c>
      <c r="AP376" s="39"/>
      <c r="AQ376" s="165" t="str">
        <f>IF(Consultas!F376&gt;1,(SUM(F376:AO376)),"N/A")</f>
        <v>N/A</v>
      </c>
      <c r="AR376" s="78">
        <f>IF((Consultas!AD376&gt;'Parâmetros'!$A$31),"X",AJ376+Y376+V376+AC376)</f>
        <v>-9</v>
      </c>
      <c r="AS376" s="78">
        <f>IF((Consultas!AD376&gt;'Parâmetros'!$A$31),"X",(H376+I376+J376+Q376+T376+Y376+Z376+AJ376+AN376))</f>
        <v>-23</v>
      </c>
      <c r="AT376" s="78" t="str">
        <f>IF((Consultas!AD376&lt;'Parâmetros'!$A$31),"X",(AD376+AC376+AB376))</f>
        <v>X</v>
      </c>
      <c r="AU376" s="78">
        <f t="shared" si="1"/>
        <v>-23</v>
      </c>
      <c r="AV376" s="82" t="str">
        <f>IF(AQ376="N/A","N/A",IF(AQ376&gt;5,'Parâmetros'!$A$15,(IF(AU376=AR376,'Parâmetros'!$A$17,IF(AU376=AS376,'Parâmetros'!$A$16,'Parâmetros'!$A$14)))))</f>
        <v>N/A</v>
      </c>
      <c r="AW376" s="86" t="str">
        <f>IF(AQ376="N/A","N/A",IF(AV376='Parâmetros'!$A$15,'Parâmetros'!$C$15,(IF(AV376='Parâmetros'!$A$17,'Parâmetros'!$C$17,IF(AV376='Parâmetros'!$A$16,'Parâmetros'!$C$16,IF(AV376='Parâmetros'!$A$14,'Parâmetros'!$C$12))))))</f>
        <v>N/A</v>
      </c>
      <c r="AX376" s="82" t="b">
        <f>IF(Consultas!F376&gt;1,(IF(Consultas!F376&gt;5000,"SOLICITAR PED COMPRA","N/A")))</f>
        <v>0</v>
      </c>
      <c r="AY376" s="167" t="str">
        <f>IF(AND(Consultas!M376&lt;&gt;"S", Consultas!H376="S"), "CHECAGEM REVERSA", "N/A")</f>
        <v>N/A</v>
      </c>
      <c r="AZ376" s="167" t="str">
        <f>IF(Consultas!U376="N","PRECISA CORRIGIR END DIVERGENTE","N/A")</f>
        <v>N/A</v>
      </c>
    </row>
    <row r="377" ht="12.0" customHeight="1">
      <c r="A377" s="39" t="s">
        <v>90</v>
      </c>
      <c r="B377" s="82" t="str">
        <f>Consultas!B377</f>
        <v/>
      </c>
      <c r="C377" s="82" t="str">
        <f>Consultas!D377</f>
        <v/>
      </c>
      <c r="D377" s="96" t="str">
        <f>Consultas!E377</f>
        <v/>
      </c>
      <c r="E377" s="104" t="str">
        <f>IF(Consultas!AB377&gt;0,YEAR('Parâmetros'!$B$1)-YEAR(Consultas!AB377),"NA")</f>
        <v>NA</v>
      </c>
      <c r="F377" s="82">
        <f>IF(Consultas!F377&gt;'Parâmetros'!$B$2,-8,0)</f>
        <v>0</v>
      </c>
      <c r="G377" s="82">
        <f>IF(Consultas!H377='Parâmetros'!$E$1,100,0)</f>
        <v>0</v>
      </c>
      <c r="H377" s="82">
        <f>IF(Consultas!I377='Parâmetros'!$E$1,-4,12)</f>
        <v>12</v>
      </c>
      <c r="I377" s="82">
        <f>IF(Consultas!J377='Parâmetros'!$E$1,1,-13)</f>
        <v>-13</v>
      </c>
      <c r="J377" s="82">
        <f>IF(Consultas!K377='Parâmetros'!$E$1,2,-5)</f>
        <v>-5</v>
      </c>
      <c r="K377" s="82" t="str">
        <f>IF(Consultas!L377='Parâmetros'!$D$1,"SOLIC CONTRATO DE ENTREGA","N/A")</f>
        <v>N/A</v>
      </c>
      <c r="L377" s="82">
        <f>IF(Consultas!R377='Parâmetros'!$E$1,1,-3)</f>
        <v>-3</v>
      </c>
      <c r="M377" s="82" t="b">
        <f>IF(Consultas!S377&gt;1,(IF(Consultas!S377='Parâmetros'!$E$1,-3,9)))</f>
        <v>0</v>
      </c>
      <c r="N377" s="82">
        <f>IF(Consultas!T377="S",23,0)</f>
        <v>0</v>
      </c>
      <c r="O377" s="82">
        <f>IF(Consultas!U377='Parâmetros'!$E$1,-3,3)</f>
        <v>3</v>
      </c>
      <c r="P377" s="82">
        <f>IF(Consultas!V377='Parâmetros'!$E$1,-100,2)</f>
        <v>2</v>
      </c>
      <c r="Q377" s="82">
        <f>IF(Consultas!M377='Parâmetros'!$D$1,2,-9)</f>
        <v>-9</v>
      </c>
      <c r="R377" s="82">
        <f>IF(Consultas!N377="RJ",-12,0)</f>
        <v>0</v>
      </c>
      <c r="S377" s="82">
        <f>IF(Consultas!O377="-",-3,IF(Consultas!O377=0,-6,IF(Consultas!O377=5,0,IF(Consultas!O377=10,6))))</f>
        <v>-6</v>
      </c>
      <c r="T377" s="82">
        <f>IF(Consultas!M377="S",0,(IF(Consultas!P377="S",6,0)))</f>
        <v>0</v>
      </c>
      <c r="U377" s="82">
        <f>IF(Consultas!Q377&gt;97,9,IF(Consultas!Q377&gt;75,0,-7))</f>
        <v>-7</v>
      </c>
      <c r="V377" s="82">
        <f>IF(Consultas!W377='Parâmetros'!$E$1,1,-5)</f>
        <v>-5</v>
      </c>
      <c r="W377" s="82">
        <f>IF(Consultas!X377="S",3,-3)</f>
        <v>-3</v>
      </c>
      <c r="X377" s="82">
        <f>IF(Consultas!Y377="S",0,-7)</f>
        <v>-7</v>
      </c>
      <c r="Y377" s="82">
        <f>IF(Consultas!Z377='Parâmetros'!$E$1,2,-8)</f>
        <v>-8</v>
      </c>
      <c r="Z377" s="82">
        <f>IF(Consultas!AA377='Parâmetros'!$E$1,-15,1)</f>
        <v>1</v>
      </c>
      <c r="AA377" s="147" t="s">
        <v>140</v>
      </c>
      <c r="AB377" s="82" t="str">
        <f>IF(E377="NA","NA",IF(E377&gt;'Parâmetros'!$A$9,8,IF(E377&gt;'Parâmetros'!$A$8,4,IF(E377&gt;'Parâmetros'!$A$7,0,-6))))</f>
        <v>NA</v>
      </c>
      <c r="AC377" s="82">
        <f>IF(Consultas!AC377='Parâmetros'!$E$1,0,5)</f>
        <v>5</v>
      </c>
      <c r="AD377" s="82">
        <f>IF(Consultas!AH377='Parâmetros'!$D$1,-10,5)</f>
        <v>5</v>
      </c>
      <c r="AE377" s="82">
        <f>IF(Consultas!AI377&gt;(Consultas!F377*2),-10,0)</f>
        <v>0</v>
      </c>
      <c r="AF377" s="82" t="b">
        <f>IF(Consultas!AD377&gt;1,(IF(Consultas!AI377&gt;(Consultas!AD377),-20,4)))</f>
        <v>0</v>
      </c>
      <c r="AG377" s="82">
        <f>IF(Consultas!AG377='Parâmetros'!$E$1,0,-6)</f>
        <v>-6</v>
      </c>
      <c r="AH377" s="82">
        <f>IF(Consultas!AF377='Parâmetros'!$E$1,1,-5)</f>
        <v>-5</v>
      </c>
      <c r="AI377" s="82">
        <f>IF(Consultas!AJ377&gt;700,8,IF(Consultas!AJ377&gt;500,4,IF(Consultas!AJ377&gt;200,-4,IF(Consultas!AJ377&gt;1,-15,-20))))</f>
        <v>-20</v>
      </c>
      <c r="AJ377" s="82">
        <f>IF(Consultas!AD377='Parâmetros'!$E$10,0,IF(Consultas!AD377&gt;'Parâmetros'!$A$30,12,IF(Consultas!AD377&gt;'Parâmetros'!$A$31,6,IF(Consultas!AD377&gt;'Parâmetros'!$A$32,0,IF(Consultas!AD377&gt;'Parâmetros'!$A$33,0,IF(Consultas!AD377&gt;'Parâmetros'!$A$34,-3,IF(Consultas!AD377&gt;'Parâmetros'!$A$35,-7,-1)))))))</f>
        <v>-1</v>
      </c>
      <c r="AK377" s="82">
        <f>IF(Consultas!AO377='Parâmetros'!$D$1,3,-3)</f>
        <v>-3</v>
      </c>
      <c r="AL377" s="82">
        <f>IF(Consultas!AP377='Parâmetros'!$D$1,5,-3)</f>
        <v>-3</v>
      </c>
      <c r="AM377" s="82">
        <f>IF(Consultas!AL377="N",-6,0)</f>
        <v>0</v>
      </c>
      <c r="AN377" s="82">
        <f>IF(Consultas!AM377="N",-10,0)</f>
        <v>0</v>
      </c>
      <c r="AO377" s="82">
        <f>IF(Consultas!AN377="S",4,-2)</f>
        <v>-2</v>
      </c>
      <c r="AP377" s="39"/>
      <c r="AQ377" s="165" t="str">
        <f>IF(Consultas!F377&gt;1,(SUM(F377:AO377)),"N/A")</f>
        <v>N/A</v>
      </c>
      <c r="AR377" s="78">
        <f>IF((Consultas!AD377&gt;'Parâmetros'!$A$31),"X",AJ377+Y377+V377+AC377)</f>
        <v>-9</v>
      </c>
      <c r="AS377" s="78">
        <f>IF((Consultas!AD377&gt;'Parâmetros'!$A$31),"X",(H377+I377+J377+Q377+T377+Y377+Z377+AJ377+AN377))</f>
        <v>-23</v>
      </c>
      <c r="AT377" s="78" t="str">
        <f>IF((Consultas!AD377&lt;'Parâmetros'!$A$31),"X",(AD377+AC377+AB377))</f>
        <v>X</v>
      </c>
      <c r="AU377" s="78">
        <f t="shared" si="1"/>
        <v>-23</v>
      </c>
      <c r="AV377" s="82" t="str">
        <f>IF(AQ377="N/A","N/A",IF(AQ377&gt;5,'Parâmetros'!$A$15,(IF(AU377=AR377,'Parâmetros'!$A$17,IF(AU377=AS377,'Parâmetros'!$A$16,'Parâmetros'!$A$14)))))</f>
        <v>N/A</v>
      </c>
      <c r="AW377" s="86" t="str">
        <f>IF(AQ377="N/A","N/A",IF(AV377='Parâmetros'!$A$15,'Parâmetros'!$C$15,(IF(AV377='Parâmetros'!$A$17,'Parâmetros'!$C$17,IF(AV377='Parâmetros'!$A$16,'Parâmetros'!$C$16,IF(AV377='Parâmetros'!$A$14,'Parâmetros'!$C$12))))))</f>
        <v>N/A</v>
      </c>
      <c r="AX377" s="82" t="b">
        <f>IF(Consultas!F377&gt;1,(IF(Consultas!F377&gt;5000,"SOLICITAR PED COMPRA","N/A")))</f>
        <v>0</v>
      </c>
      <c r="AY377" s="167" t="str">
        <f>IF(AND(Consultas!M377&lt;&gt;"S", Consultas!H377="S"), "CHECAGEM REVERSA", "N/A")</f>
        <v>N/A</v>
      </c>
      <c r="AZ377" s="167" t="str">
        <f>IF(Consultas!U377="N","PRECISA CORRIGIR END DIVERGENTE","N/A")</f>
        <v>N/A</v>
      </c>
    </row>
    <row r="378" ht="12.0" customHeight="1">
      <c r="A378" s="39" t="s">
        <v>90</v>
      </c>
      <c r="B378" s="82" t="str">
        <f>Consultas!B378</f>
        <v/>
      </c>
      <c r="C378" s="82" t="str">
        <f>Consultas!D378</f>
        <v/>
      </c>
      <c r="D378" s="96" t="str">
        <f>Consultas!E378</f>
        <v/>
      </c>
      <c r="E378" s="104" t="str">
        <f>IF(Consultas!AB378&gt;0,YEAR('Parâmetros'!$B$1)-YEAR(Consultas!AB378),"NA")</f>
        <v>NA</v>
      </c>
      <c r="F378" s="82">
        <f>IF(Consultas!F378&gt;'Parâmetros'!$B$2,-8,0)</f>
        <v>0</v>
      </c>
      <c r="G378" s="82">
        <f>IF(Consultas!H378='Parâmetros'!$E$1,100,0)</f>
        <v>0</v>
      </c>
      <c r="H378" s="82">
        <f>IF(Consultas!I378='Parâmetros'!$E$1,-4,12)</f>
        <v>12</v>
      </c>
      <c r="I378" s="82">
        <f>IF(Consultas!J378='Parâmetros'!$E$1,1,-13)</f>
        <v>-13</v>
      </c>
      <c r="J378" s="82">
        <f>IF(Consultas!K378='Parâmetros'!$E$1,2,-5)</f>
        <v>-5</v>
      </c>
      <c r="K378" s="82" t="str">
        <f>IF(Consultas!L378='Parâmetros'!$D$1,"SOLIC CONTRATO DE ENTREGA","N/A")</f>
        <v>N/A</v>
      </c>
      <c r="L378" s="82">
        <f>IF(Consultas!R378='Parâmetros'!$E$1,1,-3)</f>
        <v>-3</v>
      </c>
      <c r="M378" s="82" t="b">
        <f>IF(Consultas!S378&gt;1,(IF(Consultas!S378='Parâmetros'!$E$1,-3,9)))</f>
        <v>0</v>
      </c>
      <c r="N378" s="82">
        <f>IF(Consultas!T378="S",23,0)</f>
        <v>0</v>
      </c>
      <c r="O378" s="82">
        <f>IF(Consultas!U378='Parâmetros'!$E$1,-3,3)</f>
        <v>3</v>
      </c>
      <c r="P378" s="82">
        <f>IF(Consultas!V378='Parâmetros'!$E$1,-100,2)</f>
        <v>2</v>
      </c>
      <c r="Q378" s="82">
        <f>IF(Consultas!M378='Parâmetros'!$D$1,2,-9)</f>
        <v>-9</v>
      </c>
      <c r="R378" s="82">
        <f>IF(Consultas!N378="RJ",-12,0)</f>
        <v>0</v>
      </c>
      <c r="S378" s="82">
        <f>IF(Consultas!O378="-",-3,IF(Consultas!O378=0,-6,IF(Consultas!O378=5,0,IF(Consultas!O378=10,6))))</f>
        <v>-6</v>
      </c>
      <c r="T378" s="82">
        <f>IF(Consultas!M378="S",0,(IF(Consultas!P378="S",6,0)))</f>
        <v>0</v>
      </c>
      <c r="U378" s="82">
        <f>IF(Consultas!Q378&gt;97,9,IF(Consultas!Q378&gt;75,0,-7))</f>
        <v>-7</v>
      </c>
      <c r="V378" s="82">
        <f>IF(Consultas!W378='Parâmetros'!$E$1,1,-5)</f>
        <v>-5</v>
      </c>
      <c r="W378" s="82">
        <f>IF(Consultas!X378="S",3,-3)</f>
        <v>-3</v>
      </c>
      <c r="X378" s="82">
        <f>IF(Consultas!Y378="S",0,-7)</f>
        <v>-7</v>
      </c>
      <c r="Y378" s="82">
        <f>IF(Consultas!Z378='Parâmetros'!$E$1,2,-8)</f>
        <v>-8</v>
      </c>
      <c r="Z378" s="82">
        <f>IF(Consultas!AA378='Parâmetros'!$E$1,-15,1)</f>
        <v>1</v>
      </c>
      <c r="AA378" s="147" t="s">
        <v>140</v>
      </c>
      <c r="AB378" s="82" t="str">
        <f>IF(E378="NA","NA",IF(E378&gt;'Parâmetros'!$A$9,8,IF(E378&gt;'Parâmetros'!$A$8,4,IF(E378&gt;'Parâmetros'!$A$7,0,-6))))</f>
        <v>NA</v>
      </c>
      <c r="AC378" s="82">
        <f>IF(Consultas!AC378='Parâmetros'!$E$1,0,5)</f>
        <v>5</v>
      </c>
      <c r="AD378" s="82">
        <f>IF(Consultas!AH378='Parâmetros'!$D$1,-10,5)</f>
        <v>5</v>
      </c>
      <c r="AE378" s="82">
        <f>IF(Consultas!AI378&gt;(Consultas!F378*2),-10,0)</f>
        <v>0</v>
      </c>
      <c r="AF378" s="82" t="b">
        <f>IF(Consultas!AD378&gt;1,(IF(Consultas!AI378&gt;(Consultas!AD378),-20,4)))</f>
        <v>0</v>
      </c>
      <c r="AG378" s="82">
        <f>IF(Consultas!AG378='Parâmetros'!$E$1,0,-6)</f>
        <v>-6</v>
      </c>
      <c r="AH378" s="82">
        <f>IF(Consultas!AF378='Parâmetros'!$E$1,1,-5)</f>
        <v>-5</v>
      </c>
      <c r="AI378" s="82">
        <f>IF(Consultas!AJ378&gt;700,8,IF(Consultas!AJ378&gt;500,4,IF(Consultas!AJ378&gt;200,-4,IF(Consultas!AJ378&gt;1,-15,-20))))</f>
        <v>-20</v>
      </c>
      <c r="AJ378" s="82">
        <f>IF(Consultas!AD378='Parâmetros'!$E$10,0,IF(Consultas!AD378&gt;'Parâmetros'!$A$30,12,IF(Consultas!AD378&gt;'Parâmetros'!$A$31,6,IF(Consultas!AD378&gt;'Parâmetros'!$A$32,0,IF(Consultas!AD378&gt;'Parâmetros'!$A$33,0,IF(Consultas!AD378&gt;'Parâmetros'!$A$34,-3,IF(Consultas!AD378&gt;'Parâmetros'!$A$35,-7,-1)))))))</f>
        <v>-1</v>
      </c>
      <c r="AK378" s="82">
        <f>IF(Consultas!AO378='Parâmetros'!$D$1,3,-3)</f>
        <v>-3</v>
      </c>
      <c r="AL378" s="82">
        <f>IF(Consultas!AP378='Parâmetros'!$D$1,5,-3)</f>
        <v>-3</v>
      </c>
      <c r="AM378" s="82">
        <f>IF(Consultas!AL378="N",-6,0)</f>
        <v>0</v>
      </c>
      <c r="AN378" s="82">
        <f>IF(Consultas!AM378="N",-10,0)</f>
        <v>0</v>
      </c>
      <c r="AO378" s="82">
        <f>IF(Consultas!AN378="S",4,-2)</f>
        <v>-2</v>
      </c>
      <c r="AP378" s="39"/>
      <c r="AQ378" s="165" t="str">
        <f>IF(Consultas!F378&gt;1,(SUM(F378:AO378)),"N/A")</f>
        <v>N/A</v>
      </c>
      <c r="AR378" s="78">
        <f>IF((Consultas!AD378&gt;'Parâmetros'!$A$31),"X",AJ378+Y378+V378+AC378)</f>
        <v>-9</v>
      </c>
      <c r="AS378" s="78">
        <f>IF((Consultas!AD378&gt;'Parâmetros'!$A$31),"X",(H378+I378+J378+Q378+T378+Y378+Z378+AJ378+AN378))</f>
        <v>-23</v>
      </c>
      <c r="AT378" s="78" t="str">
        <f>IF((Consultas!AD378&lt;'Parâmetros'!$A$31),"X",(AD378+AC378+AB378))</f>
        <v>X</v>
      </c>
      <c r="AU378" s="78">
        <f t="shared" si="1"/>
        <v>-23</v>
      </c>
      <c r="AV378" s="82" t="str">
        <f>IF(AQ378="N/A","N/A",IF(AQ378&gt;5,'Parâmetros'!$A$15,(IF(AU378=AR378,'Parâmetros'!$A$17,IF(AU378=AS378,'Parâmetros'!$A$16,'Parâmetros'!$A$14)))))</f>
        <v>N/A</v>
      </c>
      <c r="AW378" s="86" t="str">
        <f>IF(AQ378="N/A","N/A",IF(AV378='Parâmetros'!$A$15,'Parâmetros'!$C$15,(IF(AV378='Parâmetros'!$A$17,'Parâmetros'!$C$17,IF(AV378='Parâmetros'!$A$16,'Parâmetros'!$C$16,IF(AV378='Parâmetros'!$A$14,'Parâmetros'!$C$12))))))</f>
        <v>N/A</v>
      </c>
      <c r="AX378" s="82" t="b">
        <f>IF(Consultas!F378&gt;1,(IF(Consultas!F378&gt;5000,"SOLICITAR PED COMPRA","N/A")))</f>
        <v>0</v>
      </c>
      <c r="AY378" s="167" t="str">
        <f>IF(AND(Consultas!M378&lt;&gt;"S", Consultas!H378="S"), "CHECAGEM REVERSA", "N/A")</f>
        <v>N/A</v>
      </c>
      <c r="AZ378" s="167" t="str">
        <f>IF(Consultas!U378="N","PRECISA CORRIGIR END DIVERGENTE","N/A")</f>
        <v>N/A</v>
      </c>
    </row>
    <row r="379" ht="12.0" customHeight="1">
      <c r="A379" s="39" t="s">
        <v>90</v>
      </c>
      <c r="B379" s="82" t="str">
        <f>Consultas!B379</f>
        <v/>
      </c>
      <c r="C379" s="82" t="str">
        <f>Consultas!D379</f>
        <v/>
      </c>
      <c r="D379" s="96" t="str">
        <f>Consultas!E379</f>
        <v/>
      </c>
      <c r="E379" s="104" t="str">
        <f>IF(Consultas!AB379&gt;0,YEAR('Parâmetros'!$B$1)-YEAR(Consultas!AB379),"NA")</f>
        <v>NA</v>
      </c>
      <c r="F379" s="82">
        <f>IF(Consultas!F379&gt;'Parâmetros'!$B$2,-8,0)</f>
        <v>0</v>
      </c>
      <c r="G379" s="82">
        <f>IF(Consultas!H379='Parâmetros'!$E$1,100,0)</f>
        <v>0</v>
      </c>
      <c r="H379" s="82">
        <f>IF(Consultas!I379='Parâmetros'!$E$1,-4,12)</f>
        <v>12</v>
      </c>
      <c r="I379" s="82">
        <f>IF(Consultas!J379='Parâmetros'!$E$1,1,-13)</f>
        <v>-13</v>
      </c>
      <c r="J379" s="82">
        <f>IF(Consultas!K379='Parâmetros'!$E$1,2,-5)</f>
        <v>-5</v>
      </c>
      <c r="K379" s="82" t="str">
        <f>IF(Consultas!L379='Parâmetros'!$D$1,"SOLIC CONTRATO DE ENTREGA","N/A")</f>
        <v>N/A</v>
      </c>
      <c r="L379" s="82">
        <f>IF(Consultas!R379='Parâmetros'!$E$1,1,-3)</f>
        <v>-3</v>
      </c>
      <c r="M379" s="82" t="b">
        <f>IF(Consultas!S379&gt;1,(IF(Consultas!S379='Parâmetros'!$E$1,-3,9)))</f>
        <v>0</v>
      </c>
      <c r="N379" s="82">
        <f>IF(Consultas!T379="S",23,0)</f>
        <v>0</v>
      </c>
      <c r="O379" s="82">
        <f>IF(Consultas!U379='Parâmetros'!$E$1,-3,3)</f>
        <v>3</v>
      </c>
      <c r="P379" s="82">
        <f>IF(Consultas!V379='Parâmetros'!$E$1,-100,2)</f>
        <v>2</v>
      </c>
      <c r="Q379" s="82">
        <f>IF(Consultas!M379='Parâmetros'!$D$1,2,-9)</f>
        <v>-9</v>
      </c>
      <c r="R379" s="82">
        <f>IF(Consultas!N379="RJ",-12,0)</f>
        <v>0</v>
      </c>
      <c r="S379" s="82">
        <f>IF(Consultas!O379="-",-3,IF(Consultas!O379=0,-6,IF(Consultas!O379=5,0,IF(Consultas!O379=10,6))))</f>
        <v>-6</v>
      </c>
      <c r="T379" s="82">
        <f>IF(Consultas!M379="S",0,(IF(Consultas!P379="S",6,0)))</f>
        <v>0</v>
      </c>
      <c r="U379" s="82">
        <f>IF(Consultas!Q379&gt;97,9,IF(Consultas!Q379&gt;75,0,-7))</f>
        <v>-7</v>
      </c>
      <c r="V379" s="82">
        <f>IF(Consultas!W379='Parâmetros'!$E$1,1,-5)</f>
        <v>-5</v>
      </c>
      <c r="W379" s="82">
        <f>IF(Consultas!X379="S",3,-3)</f>
        <v>-3</v>
      </c>
      <c r="X379" s="82">
        <f>IF(Consultas!Y379="S",0,-7)</f>
        <v>-7</v>
      </c>
      <c r="Y379" s="82">
        <f>IF(Consultas!Z379='Parâmetros'!$E$1,2,-8)</f>
        <v>-8</v>
      </c>
      <c r="Z379" s="82">
        <f>IF(Consultas!AA379='Parâmetros'!$E$1,-15,1)</f>
        <v>1</v>
      </c>
      <c r="AA379" s="147" t="s">
        <v>140</v>
      </c>
      <c r="AB379" s="82" t="str">
        <f>IF(E379="NA","NA",IF(E379&gt;'Parâmetros'!$A$9,8,IF(E379&gt;'Parâmetros'!$A$8,4,IF(E379&gt;'Parâmetros'!$A$7,0,-6))))</f>
        <v>NA</v>
      </c>
      <c r="AC379" s="82">
        <f>IF(Consultas!AC379='Parâmetros'!$E$1,0,5)</f>
        <v>5</v>
      </c>
      <c r="AD379" s="82">
        <f>IF(Consultas!AH379='Parâmetros'!$D$1,-10,5)</f>
        <v>5</v>
      </c>
      <c r="AE379" s="82">
        <f>IF(Consultas!AI379&gt;(Consultas!F379*2),-10,0)</f>
        <v>0</v>
      </c>
      <c r="AF379" s="82" t="b">
        <f>IF(Consultas!AD379&gt;1,(IF(Consultas!AI379&gt;(Consultas!AD379),-20,4)))</f>
        <v>0</v>
      </c>
      <c r="AG379" s="82">
        <f>IF(Consultas!AG379='Parâmetros'!$E$1,0,-6)</f>
        <v>-6</v>
      </c>
      <c r="AH379" s="82">
        <f>IF(Consultas!AF379='Parâmetros'!$E$1,1,-5)</f>
        <v>-5</v>
      </c>
      <c r="AI379" s="82">
        <f>IF(Consultas!AJ379&gt;700,8,IF(Consultas!AJ379&gt;500,4,IF(Consultas!AJ379&gt;200,-4,IF(Consultas!AJ379&gt;1,-15,-20))))</f>
        <v>-20</v>
      </c>
      <c r="AJ379" s="82">
        <f>IF(Consultas!AD379='Parâmetros'!$E$10,0,IF(Consultas!AD379&gt;'Parâmetros'!$A$30,12,IF(Consultas!AD379&gt;'Parâmetros'!$A$31,6,IF(Consultas!AD379&gt;'Parâmetros'!$A$32,0,IF(Consultas!AD379&gt;'Parâmetros'!$A$33,0,IF(Consultas!AD379&gt;'Parâmetros'!$A$34,-3,IF(Consultas!AD379&gt;'Parâmetros'!$A$35,-7,-1)))))))</f>
        <v>-1</v>
      </c>
      <c r="AK379" s="82">
        <f>IF(Consultas!AO379='Parâmetros'!$D$1,3,-3)</f>
        <v>-3</v>
      </c>
      <c r="AL379" s="82">
        <f>IF(Consultas!AP379='Parâmetros'!$D$1,5,-3)</f>
        <v>-3</v>
      </c>
      <c r="AM379" s="82">
        <f>IF(Consultas!AL379="N",-6,0)</f>
        <v>0</v>
      </c>
      <c r="AN379" s="82">
        <f>IF(Consultas!AM379="N",-10,0)</f>
        <v>0</v>
      </c>
      <c r="AO379" s="82">
        <f>IF(Consultas!AN379="S",4,-2)</f>
        <v>-2</v>
      </c>
      <c r="AP379" s="39"/>
      <c r="AQ379" s="165" t="str">
        <f>IF(Consultas!F379&gt;1,(SUM(F379:AO379)),"N/A")</f>
        <v>N/A</v>
      </c>
      <c r="AR379" s="78">
        <f>IF((Consultas!AD379&gt;'Parâmetros'!$A$31),"X",AJ379+Y379+V379+AC379)</f>
        <v>-9</v>
      </c>
      <c r="AS379" s="78">
        <f>IF((Consultas!AD379&gt;'Parâmetros'!$A$31),"X",(H379+I379+J379+Q379+T379+Y379+Z379+AJ379+AN379))</f>
        <v>-23</v>
      </c>
      <c r="AT379" s="78" t="str">
        <f>IF((Consultas!AD379&lt;'Parâmetros'!$A$31),"X",(AD379+AC379+AB379))</f>
        <v>X</v>
      </c>
      <c r="AU379" s="78">
        <f t="shared" si="1"/>
        <v>-23</v>
      </c>
      <c r="AV379" s="82" t="str">
        <f>IF(AQ379="N/A","N/A",IF(AQ379&gt;5,'Parâmetros'!$A$15,(IF(AU379=AR379,'Parâmetros'!$A$17,IF(AU379=AS379,'Parâmetros'!$A$16,'Parâmetros'!$A$14)))))</f>
        <v>N/A</v>
      </c>
      <c r="AW379" s="86" t="str">
        <f>IF(AQ379="N/A","N/A",IF(AV379='Parâmetros'!$A$15,'Parâmetros'!$C$15,(IF(AV379='Parâmetros'!$A$17,'Parâmetros'!$C$17,IF(AV379='Parâmetros'!$A$16,'Parâmetros'!$C$16,IF(AV379='Parâmetros'!$A$14,'Parâmetros'!$C$12))))))</f>
        <v>N/A</v>
      </c>
      <c r="AX379" s="82" t="b">
        <f>IF(Consultas!F379&gt;1,(IF(Consultas!F379&gt;5000,"SOLICITAR PED COMPRA","N/A")))</f>
        <v>0</v>
      </c>
      <c r="AY379" s="167" t="str">
        <f>IF(AND(Consultas!M379&lt;&gt;"S", Consultas!H379="S"), "CHECAGEM REVERSA", "N/A")</f>
        <v>N/A</v>
      </c>
      <c r="AZ379" s="167" t="str">
        <f>IF(Consultas!U379="N","PRECISA CORRIGIR END DIVERGENTE","N/A")</f>
        <v>N/A</v>
      </c>
    </row>
    <row r="380" ht="12.0" customHeight="1">
      <c r="A380" s="39" t="s">
        <v>90</v>
      </c>
      <c r="B380" s="82" t="str">
        <f>Consultas!B380</f>
        <v/>
      </c>
      <c r="C380" s="82" t="str">
        <f>Consultas!D380</f>
        <v/>
      </c>
      <c r="D380" s="96" t="str">
        <f>Consultas!E380</f>
        <v/>
      </c>
      <c r="E380" s="104" t="str">
        <f>IF(Consultas!AB380&gt;0,YEAR('Parâmetros'!$B$1)-YEAR(Consultas!AB380),"NA")</f>
        <v>NA</v>
      </c>
      <c r="F380" s="82">
        <f>IF(Consultas!F380&gt;'Parâmetros'!$B$2,-8,0)</f>
        <v>0</v>
      </c>
      <c r="G380" s="82">
        <f>IF(Consultas!H380='Parâmetros'!$E$1,100,0)</f>
        <v>0</v>
      </c>
      <c r="H380" s="82">
        <f>IF(Consultas!I380='Parâmetros'!$E$1,-4,12)</f>
        <v>12</v>
      </c>
      <c r="I380" s="82">
        <f>IF(Consultas!J380='Parâmetros'!$E$1,1,-13)</f>
        <v>-13</v>
      </c>
      <c r="J380" s="82">
        <f>IF(Consultas!K380='Parâmetros'!$E$1,2,-5)</f>
        <v>-5</v>
      </c>
      <c r="K380" s="82" t="str">
        <f>IF(Consultas!L380='Parâmetros'!$D$1,"SOLIC CONTRATO DE ENTREGA","N/A")</f>
        <v>N/A</v>
      </c>
      <c r="L380" s="82">
        <f>IF(Consultas!R380='Parâmetros'!$E$1,1,-3)</f>
        <v>-3</v>
      </c>
      <c r="M380" s="82" t="b">
        <f>IF(Consultas!S380&gt;1,(IF(Consultas!S380='Parâmetros'!$E$1,-3,9)))</f>
        <v>0</v>
      </c>
      <c r="N380" s="82">
        <f>IF(Consultas!T380="S",23,0)</f>
        <v>0</v>
      </c>
      <c r="O380" s="82">
        <f>IF(Consultas!U380='Parâmetros'!$E$1,-3,3)</f>
        <v>3</v>
      </c>
      <c r="P380" s="82">
        <f>IF(Consultas!V380='Parâmetros'!$E$1,-100,2)</f>
        <v>2</v>
      </c>
      <c r="Q380" s="82">
        <f>IF(Consultas!M380='Parâmetros'!$D$1,2,-9)</f>
        <v>-9</v>
      </c>
      <c r="R380" s="82">
        <f>IF(Consultas!N380="RJ",-12,0)</f>
        <v>0</v>
      </c>
      <c r="S380" s="82">
        <f>IF(Consultas!O380="-",-3,IF(Consultas!O380=0,-6,IF(Consultas!O380=5,0,IF(Consultas!O380=10,6))))</f>
        <v>-6</v>
      </c>
      <c r="T380" s="82">
        <f>IF(Consultas!M380="S",0,(IF(Consultas!P380="S",6,0)))</f>
        <v>0</v>
      </c>
      <c r="U380" s="82">
        <f>IF(Consultas!Q380&gt;97,9,IF(Consultas!Q380&gt;75,0,-7))</f>
        <v>-7</v>
      </c>
      <c r="V380" s="82">
        <f>IF(Consultas!W380='Parâmetros'!$E$1,1,-5)</f>
        <v>-5</v>
      </c>
      <c r="W380" s="82">
        <f>IF(Consultas!X380="S",3,-3)</f>
        <v>-3</v>
      </c>
      <c r="X380" s="82">
        <f>IF(Consultas!Y380="S",0,-7)</f>
        <v>-7</v>
      </c>
      <c r="Y380" s="82">
        <f>IF(Consultas!Z380='Parâmetros'!$E$1,2,-8)</f>
        <v>-8</v>
      </c>
      <c r="Z380" s="82">
        <f>IF(Consultas!AA380='Parâmetros'!$E$1,-15,1)</f>
        <v>1</v>
      </c>
      <c r="AA380" s="147" t="s">
        <v>140</v>
      </c>
      <c r="AB380" s="82" t="str">
        <f>IF(E380="NA","NA",IF(E380&gt;'Parâmetros'!$A$9,8,IF(E380&gt;'Parâmetros'!$A$8,4,IF(E380&gt;'Parâmetros'!$A$7,0,-6))))</f>
        <v>NA</v>
      </c>
      <c r="AC380" s="82">
        <f>IF(Consultas!AC380='Parâmetros'!$E$1,0,5)</f>
        <v>5</v>
      </c>
      <c r="AD380" s="82">
        <f>IF(Consultas!AH380='Parâmetros'!$D$1,-10,5)</f>
        <v>5</v>
      </c>
      <c r="AE380" s="82">
        <f>IF(Consultas!AI380&gt;(Consultas!F380*2),-10,0)</f>
        <v>0</v>
      </c>
      <c r="AF380" s="82" t="b">
        <f>IF(Consultas!AD380&gt;1,(IF(Consultas!AI380&gt;(Consultas!AD380),-20,4)))</f>
        <v>0</v>
      </c>
      <c r="AG380" s="82">
        <f>IF(Consultas!AG380='Parâmetros'!$E$1,0,-6)</f>
        <v>-6</v>
      </c>
      <c r="AH380" s="82">
        <f>IF(Consultas!AF380='Parâmetros'!$E$1,1,-5)</f>
        <v>-5</v>
      </c>
      <c r="AI380" s="82">
        <f>IF(Consultas!AJ380&gt;700,8,IF(Consultas!AJ380&gt;500,4,IF(Consultas!AJ380&gt;200,-4,IF(Consultas!AJ380&gt;1,-15,-20))))</f>
        <v>-20</v>
      </c>
      <c r="AJ380" s="82">
        <f>IF(Consultas!AD380='Parâmetros'!$E$10,0,IF(Consultas!AD380&gt;'Parâmetros'!$A$30,12,IF(Consultas!AD380&gt;'Parâmetros'!$A$31,6,IF(Consultas!AD380&gt;'Parâmetros'!$A$32,0,IF(Consultas!AD380&gt;'Parâmetros'!$A$33,0,IF(Consultas!AD380&gt;'Parâmetros'!$A$34,-3,IF(Consultas!AD380&gt;'Parâmetros'!$A$35,-7,-1)))))))</f>
        <v>-1</v>
      </c>
      <c r="AK380" s="82">
        <f>IF(Consultas!AO380='Parâmetros'!$D$1,3,-3)</f>
        <v>-3</v>
      </c>
      <c r="AL380" s="82">
        <f>IF(Consultas!AP380='Parâmetros'!$D$1,5,-3)</f>
        <v>-3</v>
      </c>
      <c r="AM380" s="82">
        <f>IF(Consultas!AL380="N",-6,0)</f>
        <v>0</v>
      </c>
      <c r="AN380" s="82">
        <f>IF(Consultas!AM380="N",-10,0)</f>
        <v>0</v>
      </c>
      <c r="AO380" s="82">
        <f>IF(Consultas!AN380="S",4,-2)</f>
        <v>-2</v>
      </c>
      <c r="AP380" s="39"/>
      <c r="AQ380" s="165" t="str">
        <f>IF(Consultas!F380&gt;1,(SUM(F380:AO380)),"N/A")</f>
        <v>N/A</v>
      </c>
      <c r="AR380" s="78">
        <f>IF((Consultas!AD380&gt;'Parâmetros'!$A$31),"X",AJ380+Y380+V380+AC380)</f>
        <v>-9</v>
      </c>
      <c r="AS380" s="78">
        <f>IF((Consultas!AD380&gt;'Parâmetros'!$A$31),"X",(H380+I380+J380+Q380+T380+Y380+Z380+AJ380+AN380))</f>
        <v>-23</v>
      </c>
      <c r="AT380" s="78" t="str">
        <f>IF((Consultas!AD380&lt;'Parâmetros'!$A$31),"X",(AD380+AC380+AB380))</f>
        <v>X</v>
      </c>
      <c r="AU380" s="78">
        <f t="shared" si="1"/>
        <v>-23</v>
      </c>
      <c r="AV380" s="82" t="str">
        <f>IF(AQ380="N/A","N/A",IF(AQ380&gt;5,'Parâmetros'!$A$15,(IF(AU380=AR380,'Parâmetros'!$A$17,IF(AU380=AS380,'Parâmetros'!$A$16,'Parâmetros'!$A$14)))))</f>
        <v>N/A</v>
      </c>
      <c r="AW380" s="86" t="str">
        <f>IF(AQ380="N/A","N/A",IF(AV380='Parâmetros'!$A$15,'Parâmetros'!$C$15,(IF(AV380='Parâmetros'!$A$17,'Parâmetros'!$C$17,IF(AV380='Parâmetros'!$A$16,'Parâmetros'!$C$16,IF(AV380='Parâmetros'!$A$14,'Parâmetros'!$C$12))))))</f>
        <v>N/A</v>
      </c>
      <c r="AX380" s="82" t="b">
        <f>IF(Consultas!F380&gt;1,(IF(Consultas!F380&gt;5000,"SOLICITAR PED COMPRA","N/A")))</f>
        <v>0</v>
      </c>
      <c r="AY380" s="167" t="str">
        <f>IF(AND(Consultas!M380&lt;&gt;"S", Consultas!H380="S"), "CHECAGEM REVERSA", "N/A")</f>
        <v>N/A</v>
      </c>
      <c r="AZ380" s="167" t="str">
        <f>IF(Consultas!U380="N","PRECISA CORRIGIR END DIVERGENTE","N/A")</f>
        <v>N/A</v>
      </c>
    </row>
    <row r="381" ht="12.0" customHeight="1">
      <c r="A381" s="39" t="s">
        <v>90</v>
      </c>
      <c r="B381" s="82" t="str">
        <f>Consultas!B381</f>
        <v/>
      </c>
      <c r="C381" s="82" t="str">
        <f>Consultas!D381</f>
        <v/>
      </c>
      <c r="D381" s="96" t="str">
        <f>Consultas!E381</f>
        <v/>
      </c>
      <c r="E381" s="104" t="str">
        <f>IF(Consultas!AB381&gt;0,YEAR('Parâmetros'!$B$1)-YEAR(Consultas!AB381),"NA")</f>
        <v>NA</v>
      </c>
      <c r="F381" s="82">
        <f>IF(Consultas!F381&gt;'Parâmetros'!$B$2,-8,0)</f>
        <v>0</v>
      </c>
      <c r="G381" s="82">
        <f>IF(Consultas!H381='Parâmetros'!$E$1,100,0)</f>
        <v>0</v>
      </c>
      <c r="H381" s="82">
        <f>IF(Consultas!I381='Parâmetros'!$E$1,-4,12)</f>
        <v>12</v>
      </c>
      <c r="I381" s="82">
        <f>IF(Consultas!J381='Parâmetros'!$E$1,1,-13)</f>
        <v>-13</v>
      </c>
      <c r="J381" s="82">
        <f>IF(Consultas!K381='Parâmetros'!$E$1,2,-5)</f>
        <v>-5</v>
      </c>
      <c r="K381" s="82" t="str">
        <f>IF(Consultas!L381='Parâmetros'!$D$1,"SOLIC CONTRATO DE ENTREGA","N/A")</f>
        <v>N/A</v>
      </c>
      <c r="L381" s="82">
        <f>IF(Consultas!R381='Parâmetros'!$E$1,1,-3)</f>
        <v>-3</v>
      </c>
      <c r="M381" s="82" t="b">
        <f>IF(Consultas!S381&gt;1,(IF(Consultas!S381='Parâmetros'!$E$1,-3,9)))</f>
        <v>0</v>
      </c>
      <c r="N381" s="82">
        <f>IF(Consultas!T381="S",23,0)</f>
        <v>0</v>
      </c>
      <c r="O381" s="82">
        <f>IF(Consultas!U381='Parâmetros'!$E$1,-3,3)</f>
        <v>3</v>
      </c>
      <c r="P381" s="82">
        <f>IF(Consultas!V381='Parâmetros'!$E$1,-100,2)</f>
        <v>2</v>
      </c>
      <c r="Q381" s="82">
        <f>IF(Consultas!M381='Parâmetros'!$D$1,2,-9)</f>
        <v>-9</v>
      </c>
      <c r="R381" s="82">
        <f>IF(Consultas!N381="RJ",-12,0)</f>
        <v>0</v>
      </c>
      <c r="S381" s="82">
        <f>IF(Consultas!O381="-",-3,IF(Consultas!O381=0,-6,IF(Consultas!O381=5,0,IF(Consultas!O381=10,6))))</f>
        <v>-6</v>
      </c>
      <c r="T381" s="82">
        <f>IF(Consultas!M381="S",0,(IF(Consultas!P381="S",6,0)))</f>
        <v>0</v>
      </c>
      <c r="U381" s="82">
        <f>IF(Consultas!Q381&gt;97,9,IF(Consultas!Q381&gt;75,0,-7))</f>
        <v>-7</v>
      </c>
      <c r="V381" s="82">
        <f>IF(Consultas!W381='Parâmetros'!$E$1,1,-5)</f>
        <v>-5</v>
      </c>
      <c r="W381" s="82">
        <f>IF(Consultas!X381="S",3,-3)</f>
        <v>-3</v>
      </c>
      <c r="X381" s="82">
        <f>IF(Consultas!Y381="S",0,-7)</f>
        <v>-7</v>
      </c>
      <c r="Y381" s="82">
        <f>IF(Consultas!Z381='Parâmetros'!$E$1,2,-8)</f>
        <v>-8</v>
      </c>
      <c r="Z381" s="82">
        <f>IF(Consultas!AA381='Parâmetros'!$E$1,-15,1)</f>
        <v>1</v>
      </c>
      <c r="AA381" s="147" t="s">
        <v>140</v>
      </c>
      <c r="AB381" s="82" t="str">
        <f>IF(E381="NA","NA",IF(E381&gt;'Parâmetros'!$A$9,8,IF(E381&gt;'Parâmetros'!$A$8,4,IF(E381&gt;'Parâmetros'!$A$7,0,-6))))</f>
        <v>NA</v>
      </c>
      <c r="AC381" s="82">
        <f>IF(Consultas!AC381='Parâmetros'!$E$1,0,5)</f>
        <v>5</v>
      </c>
      <c r="AD381" s="82">
        <f>IF(Consultas!AH381='Parâmetros'!$D$1,-10,5)</f>
        <v>5</v>
      </c>
      <c r="AE381" s="82">
        <f>IF(Consultas!AI381&gt;(Consultas!F381*2),-10,0)</f>
        <v>0</v>
      </c>
      <c r="AF381" s="82" t="b">
        <f>IF(Consultas!AD381&gt;1,(IF(Consultas!AI381&gt;(Consultas!AD381),-20,4)))</f>
        <v>0</v>
      </c>
      <c r="AG381" s="82">
        <f>IF(Consultas!AG381='Parâmetros'!$E$1,0,-6)</f>
        <v>-6</v>
      </c>
      <c r="AH381" s="82">
        <f>IF(Consultas!AF381='Parâmetros'!$E$1,1,-5)</f>
        <v>-5</v>
      </c>
      <c r="AI381" s="82">
        <f>IF(Consultas!AJ381&gt;700,8,IF(Consultas!AJ381&gt;500,4,IF(Consultas!AJ381&gt;200,-4,IF(Consultas!AJ381&gt;1,-15,-20))))</f>
        <v>-20</v>
      </c>
      <c r="AJ381" s="82">
        <f>IF(Consultas!AD381='Parâmetros'!$E$10,0,IF(Consultas!AD381&gt;'Parâmetros'!$A$30,12,IF(Consultas!AD381&gt;'Parâmetros'!$A$31,6,IF(Consultas!AD381&gt;'Parâmetros'!$A$32,0,IF(Consultas!AD381&gt;'Parâmetros'!$A$33,0,IF(Consultas!AD381&gt;'Parâmetros'!$A$34,-3,IF(Consultas!AD381&gt;'Parâmetros'!$A$35,-7,-1)))))))</f>
        <v>-1</v>
      </c>
      <c r="AK381" s="82">
        <f>IF(Consultas!AO381='Parâmetros'!$D$1,3,-3)</f>
        <v>-3</v>
      </c>
      <c r="AL381" s="82">
        <f>IF(Consultas!AP381='Parâmetros'!$D$1,5,-3)</f>
        <v>-3</v>
      </c>
      <c r="AM381" s="82">
        <f>IF(Consultas!AL381="N",-6,0)</f>
        <v>0</v>
      </c>
      <c r="AN381" s="82">
        <f>IF(Consultas!AM381="N",-10,0)</f>
        <v>0</v>
      </c>
      <c r="AO381" s="82">
        <f>IF(Consultas!AN381="S",4,-2)</f>
        <v>-2</v>
      </c>
      <c r="AP381" s="39"/>
      <c r="AQ381" s="165" t="str">
        <f>IF(Consultas!F381&gt;1,(SUM(F381:AO381)),"N/A")</f>
        <v>N/A</v>
      </c>
      <c r="AR381" s="78">
        <f>IF((Consultas!AD381&gt;'Parâmetros'!$A$31),"X",AJ381+Y381+V381+AC381)</f>
        <v>-9</v>
      </c>
      <c r="AS381" s="78">
        <f>IF((Consultas!AD381&gt;'Parâmetros'!$A$31),"X",(H381+I381+J381+Q381+T381+Y381+Z381+AJ381+AN381))</f>
        <v>-23</v>
      </c>
      <c r="AT381" s="78" t="str">
        <f>IF((Consultas!AD381&lt;'Parâmetros'!$A$31),"X",(AD381+AC381+AB381))</f>
        <v>X</v>
      </c>
      <c r="AU381" s="78">
        <f t="shared" si="1"/>
        <v>-23</v>
      </c>
      <c r="AV381" s="82" t="str">
        <f>IF(AQ381="N/A","N/A",IF(AQ381&gt;5,'Parâmetros'!$A$15,(IF(AU381=AR381,'Parâmetros'!$A$17,IF(AU381=AS381,'Parâmetros'!$A$16,'Parâmetros'!$A$14)))))</f>
        <v>N/A</v>
      </c>
      <c r="AW381" s="86" t="str">
        <f>IF(AQ381="N/A","N/A",IF(AV381='Parâmetros'!$A$15,'Parâmetros'!$C$15,(IF(AV381='Parâmetros'!$A$17,'Parâmetros'!$C$17,IF(AV381='Parâmetros'!$A$16,'Parâmetros'!$C$16,IF(AV381='Parâmetros'!$A$14,'Parâmetros'!$C$12))))))</f>
        <v>N/A</v>
      </c>
      <c r="AX381" s="82" t="b">
        <f>IF(Consultas!F381&gt;1,(IF(Consultas!F381&gt;5000,"SOLICITAR PED COMPRA","N/A")))</f>
        <v>0</v>
      </c>
      <c r="AY381" s="167" t="str">
        <f>IF(AND(Consultas!M381&lt;&gt;"S", Consultas!H381="S"), "CHECAGEM REVERSA", "N/A")</f>
        <v>N/A</v>
      </c>
      <c r="AZ381" s="167" t="str">
        <f>IF(Consultas!U381="N","PRECISA CORRIGIR END DIVERGENTE","N/A")</f>
        <v>N/A</v>
      </c>
    </row>
    <row r="382" ht="12.0" customHeight="1">
      <c r="A382" s="39" t="s">
        <v>90</v>
      </c>
      <c r="B382" s="82" t="str">
        <f>Consultas!B382</f>
        <v/>
      </c>
      <c r="C382" s="82" t="str">
        <f>Consultas!D382</f>
        <v/>
      </c>
      <c r="D382" s="96" t="str">
        <f>Consultas!E382</f>
        <v/>
      </c>
      <c r="E382" s="104" t="str">
        <f>IF(Consultas!AB382&gt;0,YEAR('Parâmetros'!$B$1)-YEAR(Consultas!AB382),"NA")</f>
        <v>NA</v>
      </c>
      <c r="F382" s="82">
        <f>IF(Consultas!F382&gt;'Parâmetros'!$B$2,-8,0)</f>
        <v>0</v>
      </c>
      <c r="G382" s="82">
        <f>IF(Consultas!H382='Parâmetros'!$E$1,100,0)</f>
        <v>0</v>
      </c>
      <c r="H382" s="82">
        <f>IF(Consultas!I382='Parâmetros'!$E$1,-4,12)</f>
        <v>12</v>
      </c>
      <c r="I382" s="82">
        <f>IF(Consultas!J382='Parâmetros'!$E$1,1,-13)</f>
        <v>-13</v>
      </c>
      <c r="J382" s="82">
        <f>IF(Consultas!K382='Parâmetros'!$E$1,2,-5)</f>
        <v>-5</v>
      </c>
      <c r="K382" s="82" t="str">
        <f>IF(Consultas!L382='Parâmetros'!$D$1,"SOLIC CONTRATO DE ENTREGA","N/A")</f>
        <v>N/A</v>
      </c>
      <c r="L382" s="82">
        <f>IF(Consultas!R382='Parâmetros'!$E$1,1,-3)</f>
        <v>-3</v>
      </c>
      <c r="M382" s="82" t="b">
        <f>IF(Consultas!S382&gt;1,(IF(Consultas!S382='Parâmetros'!$E$1,-3,9)))</f>
        <v>0</v>
      </c>
      <c r="N382" s="82">
        <f>IF(Consultas!T382="S",23,0)</f>
        <v>0</v>
      </c>
      <c r="O382" s="82">
        <f>IF(Consultas!U382='Parâmetros'!$E$1,-3,3)</f>
        <v>3</v>
      </c>
      <c r="P382" s="82">
        <f>IF(Consultas!V382='Parâmetros'!$E$1,-100,2)</f>
        <v>2</v>
      </c>
      <c r="Q382" s="82">
        <f>IF(Consultas!M382='Parâmetros'!$D$1,2,-9)</f>
        <v>-9</v>
      </c>
      <c r="R382" s="82">
        <f>IF(Consultas!N382="RJ",-12,0)</f>
        <v>0</v>
      </c>
      <c r="S382" s="82">
        <f>IF(Consultas!O382="-",-3,IF(Consultas!O382=0,-6,IF(Consultas!O382=5,0,IF(Consultas!O382=10,6))))</f>
        <v>-6</v>
      </c>
      <c r="T382" s="82">
        <f>IF(Consultas!M382="S",0,(IF(Consultas!P382="S",6,0)))</f>
        <v>0</v>
      </c>
      <c r="U382" s="82">
        <f>IF(Consultas!Q382&gt;97,9,IF(Consultas!Q382&gt;75,0,-7))</f>
        <v>-7</v>
      </c>
      <c r="V382" s="82">
        <f>IF(Consultas!W382='Parâmetros'!$E$1,1,-5)</f>
        <v>-5</v>
      </c>
      <c r="W382" s="82">
        <f>IF(Consultas!X382="S",3,-3)</f>
        <v>-3</v>
      </c>
      <c r="X382" s="82">
        <f>IF(Consultas!Y382="S",0,-7)</f>
        <v>-7</v>
      </c>
      <c r="Y382" s="82">
        <f>IF(Consultas!Z382='Parâmetros'!$E$1,2,-8)</f>
        <v>-8</v>
      </c>
      <c r="Z382" s="82">
        <f>IF(Consultas!AA382='Parâmetros'!$E$1,-15,1)</f>
        <v>1</v>
      </c>
      <c r="AA382" s="147" t="s">
        <v>140</v>
      </c>
      <c r="AB382" s="82" t="str">
        <f>IF(E382="NA","NA",IF(E382&gt;'Parâmetros'!$A$9,8,IF(E382&gt;'Parâmetros'!$A$8,4,IF(E382&gt;'Parâmetros'!$A$7,0,-6))))</f>
        <v>NA</v>
      </c>
      <c r="AC382" s="82">
        <f>IF(Consultas!AC382='Parâmetros'!$E$1,0,5)</f>
        <v>5</v>
      </c>
      <c r="AD382" s="82">
        <f>IF(Consultas!AH382='Parâmetros'!$D$1,-10,5)</f>
        <v>5</v>
      </c>
      <c r="AE382" s="82">
        <f>IF(Consultas!AI382&gt;(Consultas!F382*2),-10,0)</f>
        <v>0</v>
      </c>
      <c r="AF382" s="82" t="b">
        <f>IF(Consultas!AD382&gt;1,(IF(Consultas!AI382&gt;(Consultas!AD382),-20,4)))</f>
        <v>0</v>
      </c>
      <c r="AG382" s="82">
        <f>IF(Consultas!AG382='Parâmetros'!$E$1,0,-6)</f>
        <v>-6</v>
      </c>
      <c r="AH382" s="82">
        <f>IF(Consultas!AF382='Parâmetros'!$E$1,1,-5)</f>
        <v>-5</v>
      </c>
      <c r="AI382" s="82">
        <f>IF(Consultas!AJ382&gt;700,8,IF(Consultas!AJ382&gt;500,4,IF(Consultas!AJ382&gt;200,-4,IF(Consultas!AJ382&gt;1,-15,-20))))</f>
        <v>-20</v>
      </c>
      <c r="AJ382" s="82">
        <f>IF(Consultas!AD382='Parâmetros'!$E$10,0,IF(Consultas!AD382&gt;'Parâmetros'!$A$30,12,IF(Consultas!AD382&gt;'Parâmetros'!$A$31,6,IF(Consultas!AD382&gt;'Parâmetros'!$A$32,0,IF(Consultas!AD382&gt;'Parâmetros'!$A$33,0,IF(Consultas!AD382&gt;'Parâmetros'!$A$34,-3,IF(Consultas!AD382&gt;'Parâmetros'!$A$35,-7,-1)))))))</f>
        <v>-1</v>
      </c>
      <c r="AK382" s="82">
        <f>IF(Consultas!AO382='Parâmetros'!$D$1,3,-3)</f>
        <v>-3</v>
      </c>
      <c r="AL382" s="82">
        <f>IF(Consultas!AP382='Parâmetros'!$D$1,5,-3)</f>
        <v>-3</v>
      </c>
      <c r="AM382" s="82">
        <f>IF(Consultas!AL382="N",-6,0)</f>
        <v>0</v>
      </c>
      <c r="AN382" s="82">
        <f>IF(Consultas!AM382="N",-10,0)</f>
        <v>0</v>
      </c>
      <c r="AO382" s="82">
        <f>IF(Consultas!AN382="S",4,-2)</f>
        <v>-2</v>
      </c>
      <c r="AP382" s="39"/>
      <c r="AQ382" s="165" t="str">
        <f>IF(Consultas!F382&gt;1,(SUM(F382:AO382)),"N/A")</f>
        <v>N/A</v>
      </c>
      <c r="AR382" s="78">
        <f>IF((Consultas!AD382&gt;'Parâmetros'!$A$31),"X",AJ382+Y382+V382+AC382)</f>
        <v>-9</v>
      </c>
      <c r="AS382" s="78">
        <f>IF((Consultas!AD382&gt;'Parâmetros'!$A$31),"X",(H382+I382+J382+Q382+T382+Y382+Z382+AJ382+AN382))</f>
        <v>-23</v>
      </c>
      <c r="AT382" s="78" t="str">
        <f>IF((Consultas!AD382&lt;'Parâmetros'!$A$31),"X",(AD382+AC382+AB382))</f>
        <v>X</v>
      </c>
      <c r="AU382" s="78">
        <f t="shared" si="1"/>
        <v>-23</v>
      </c>
      <c r="AV382" s="82" t="str">
        <f>IF(AQ382="N/A","N/A",IF(AQ382&gt;5,'Parâmetros'!$A$15,(IF(AU382=AR382,'Parâmetros'!$A$17,IF(AU382=AS382,'Parâmetros'!$A$16,'Parâmetros'!$A$14)))))</f>
        <v>N/A</v>
      </c>
      <c r="AW382" s="86" t="str">
        <f>IF(AQ382="N/A","N/A",IF(AV382='Parâmetros'!$A$15,'Parâmetros'!$C$15,(IF(AV382='Parâmetros'!$A$17,'Parâmetros'!$C$17,IF(AV382='Parâmetros'!$A$16,'Parâmetros'!$C$16,IF(AV382='Parâmetros'!$A$14,'Parâmetros'!$C$12))))))</f>
        <v>N/A</v>
      </c>
      <c r="AX382" s="82" t="b">
        <f>IF(Consultas!F382&gt;1,(IF(Consultas!F382&gt;5000,"SOLICITAR PED COMPRA","N/A")))</f>
        <v>0</v>
      </c>
      <c r="AY382" s="167" t="str">
        <f>IF(AND(Consultas!M382&lt;&gt;"S", Consultas!H382="S"), "CHECAGEM REVERSA", "N/A")</f>
        <v>N/A</v>
      </c>
      <c r="AZ382" s="167" t="str">
        <f>IF(Consultas!U382="N","PRECISA CORRIGIR END DIVERGENTE","N/A")</f>
        <v>N/A</v>
      </c>
    </row>
    <row r="383" ht="12.0" customHeight="1">
      <c r="A383" s="39" t="s">
        <v>90</v>
      </c>
      <c r="B383" s="82" t="str">
        <f>Consultas!B383</f>
        <v/>
      </c>
      <c r="C383" s="82" t="str">
        <f>Consultas!D383</f>
        <v/>
      </c>
      <c r="D383" s="96" t="str">
        <f>Consultas!E383</f>
        <v/>
      </c>
      <c r="E383" s="104" t="str">
        <f>IF(Consultas!AB383&gt;0,YEAR('Parâmetros'!$B$1)-YEAR(Consultas!AB383),"NA")</f>
        <v>NA</v>
      </c>
      <c r="F383" s="82">
        <f>IF(Consultas!F383&gt;'Parâmetros'!$B$2,-8,0)</f>
        <v>0</v>
      </c>
      <c r="G383" s="82">
        <f>IF(Consultas!H383='Parâmetros'!$E$1,100,0)</f>
        <v>0</v>
      </c>
      <c r="H383" s="82">
        <f>IF(Consultas!I383='Parâmetros'!$E$1,-4,12)</f>
        <v>12</v>
      </c>
      <c r="I383" s="82">
        <f>IF(Consultas!J383='Parâmetros'!$E$1,1,-13)</f>
        <v>-13</v>
      </c>
      <c r="J383" s="82">
        <f>IF(Consultas!K383='Parâmetros'!$E$1,2,-5)</f>
        <v>-5</v>
      </c>
      <c r="K383" s="82" t="str">
        <f>IF(Consultas!L383='Parâmetros'!$D$1,"SOLIC CONTRATO DE ENTREGA","N/A")</f>
        <v>N/A</v>
      </c>
      <c r="L383" s="82">
        <f>IF(Consultas!R383='Parâmetros'!$E$1,1,-3)</f>
        <v>-3</v>
      </c>
      <c r="M383" s="82" t="b">
        <f>IF(Consultas!S383&gt;1,(IF(Consultas!S383='Parâmetros'!$E$1,-3,9)))</f>
        <v>0</v>
      </c>
      <c r="N383" s="82">
        <f>IF(Consultas!T383="S",23,0)</f>
        <v>0</v>
      </c>
      <c r="O383" s="82">
        <f>IF(Consultas!U383='Parâmetros'!$E$1,-3,3)</f>
        <v>3</v>
      </c>
      <c r="P383" s="82">
        <f>IF(Consultas!V383='Parâmetros'!$E$1,-100,2)</f>
        <v>2</v>
      </c>
      <c r="Q383" s="82">
        <f>IF(Consultas!M383='Parâmetros'!$D$1,2,-9)</f>
        <v>-9</v>
      </c>
      <c r="R383" s="82">
        <f>IF(Consultas!N383="RJ",-12,0)</f>
        <v>0</v>
      </c>
      <c r="S383" s="82">
        <f>IF(Consultas!O383="-",-3,IF(Consultas!O383=0,-6,IF(Consultas!O383=5,0,IF(Consultas!O383=10,6))))</f>
        <v>-6</v>
      </c>
      <c r="T383" s="82">
        <f>IF(Consultas!M383="S",0,(IF(Consultas!P383="S",6,0)))</f>
        <v>0</v>
      </c>
      <c r="U383" s="82">
        <f>IF(Consultas!Q383&gt;97,9,IF(Consultas!Q383&gt;75,0,-7))</f>
        <v>-7</v>
      </c>
      <c r="V383" s="82">
        <f>IF(Consultas!W383='Parâmetros'!$E$1,1,-5)</f>
        <v>-5</v>
      </c>
      <c r="W383" s="82">
        <f>IF(Consultas!X383="S",3,-3)</f>
        <v>-3</v>
      </c>
      <c r="X383" s="82">
        <f>IF(Consultas!Y383="S",0,-7)</f>
        <v>-7</v>
      </c>
      <c r="Y383" s="82">
        <f>IF(Consultas!Z383='Parâmetros'!$E$1,2,-8)</f>
        <v>-8</v>
      </c>
      <c r="Z383" s="82">
        <f>IF(Consultas!AA383='Parâmetros'!$E$1,-15,1)</f>
        <v>1</v>
      </c>
      <c r="AA383" s="147" t="s">
        <v>140</v>
      </c>
      <c r="AB383" s="82" t="str">
        <f>IF(E383="NA","NA",IF(E383&gt;'Parâmetros'!$A$9,8,IF(E383&gt;'Parâmetros'!$A$8,4,IF(E383&gt;'Parâmetros'!$A$7,0,-6))))</f>
        <v>NA</v>
      </c>
      <c r="AC383" s="82">
        <f>IF(Consultas!AC383='Parâmetros'!$E$1,0,5)</f>
        <v>5</v>
      </c>
      <c r="AD383" s="82">
        <f>IF(Consultas!AH383='Parâmetros'!$D$1,-10,5)</f>
        <v>5</v>
      </c>
      <c r="AE383" s="82">
        <f>IF(Consultas!AI383&gt;(Consultas!F383*2),-10,0)</f>
        <v>0</v>
      </c>
      <c r="AF383" s="82" t="b">
        <f>IF(Consultas!AD383&gt;1,(IF(Consultas!AI383&gt;(Consultas!AD383),-20,4)))</f>
        <v>0</v>
      </c>
      <c r="AG383" s="82">
        <f>IF(Consultas!AG383='Parâmetros'!$E$1,0,-6)</f>
        <v>-6</v>
      </c>
      <c r="AH383" s="82">
        <f>IF(Consultas!AF383='Parâmetros'!$E$1,1,-5)</f>
        <v>-5</v>
      </c>
      <c r="AI383" s="82">
        <f>IF(Consultas!AJ383&gt;700,8,IF(Consultas!AJ383&gt;500,4,IF(Consultas!AJ383&gt;200,-4,IF(Consultas!AJ383&gt;1,-15,-20))))</f>
        <v>-20</v>
      </c>
      <c r="AJ383" s="82">
        <f>IF(Consultas!AD383='Parâmetros'!$E$10,0,IF(Consultas!AD383&gt;'Parâmetros'!$A$30,12,IF(Consultas!AD383&gt;'Parâmetros'!$A$31,6,IF(Consultas!AD383&gt;'Parâmetros'!$A$32,0,IF(Consultas!AD383&gt;'Parâmetros'!$A$33,0,IF(Consultas!AD383&gt;'Parâmetros'!$A$34,-3,IF(Consultas!AD383&gt;'Parâmetros'!$A$35,-7,-1)))))))</f>
        <v>-1</v>
      </c>
      <c r="AK383" s="82">
        <f>IF(Consultas!AO383='Parâmetros'!$D$1,3,-3)</f>
        <v>-3</v>
      </c>
      <c r="AL383" s="82">
        <f>IF(Consultas!AP383='Parâmetros'!$D$1,5,-3)</f>
        <v>-3</v>
      </c>
      <c r="AM383" s="82">
        <f>IF(Consultas!AL383="N",-6,0)</f>
        <v>0</v>
      </c>
      <c r="AN383" s="82">
        <f>IF(Consultas!AM383="N",-10,0)</f>
        <v>0</v>
      </c>
      <c r="AO383" s="82">
        <f>IF(Consultas!AN383="S",4,-2)</f>
        <v>-2</v>
      </c>
      <c r="AP383" s="39"/>
      <c r="AQ383" s="165" t="str">
        <f>IF(Consultas!F383&gt;1,(SUM(F383:AO383)),"N/A")</f>
        <v>N/A</v>
      </c>
      <c r="AR383" s="78">
        <f>IF((Consultas!AD383&gt;'Parâmetros'!$A$31),"X",AJ383+Y383+V383+AC383)</f>
        <v>-9</v>
      </c>
      <c r="AS383" s="78">
        <f>IF((Consultas!AD383&gt;'Parâmetros'!$A$31),"X",(H383+I383+J383+Q383+T383+Y383+Z383+AJ383+AN383))</f>
        <v>-23</v>
      </c>
      <c r="AT383" s="78" t="str">
        <f>IF((Consultas!AD383&lt;'Parâmetros'!$A$31),"X",(AD383+AC383+AB383))</f>
        <v>X</v>
      </c>
      <c r="AU383" s="78">
        <f t="shared" si="1"/>
        <v>-23</v>
      </c>
      <c r="AV383" s="82" t="str">
        <f>IF(AQ383="N/A","N/A",IF(AQ383&gt;5,'Parâmetros'!$A$15,(IF(AU383=AR383,'Parâmetros'!$A$17,IF(AU383=AS383,'Parâmetros'!$A$16,'Parâmetros'!$A$14)))))</f>
        <v>N/A</v>
      </c>
      <c r="AW383" s="86" t="str">
        <f>IF(AQ383="N/A","N/A",IF(AV383='Parâmetros'!$A$15,'Parâmetros'!$C$15,(IF(AV383='Parâmetros'!$A$17,'Parâmetros'!$C$17,IF(AV383='Parâmetros'!$A$16,'Parâmetros'!$C$16,IF(AV383='Parâmetros'!$A$14,'Parâmetros'!$C$12))))))</f>
        <v>N/A</v>
      </c>
      <c r="AX383" s="82" t="b">
        <f>IF(Consultas!F383&gt;1,(IF(Consultas!F383&gt;5000,"SOLICITAR PED COMPRA","N/A")))</f>
        <v>0</v>
      </c>
      <c r="AY383" s="167" t="str">
        <f>IF(AND(Consultas!M383&lt;&gt;"S", Consultas!H383="S"), "CHECAGEM REVERSA", "N/A")</f>
        <v>N/A</v>
      </c>
      <c r="AZ383" s="167" t="str">
        <f>IF(Consultas!U383="N","PRECISA CORRIGIR END DIVERGENTE","N/A")</f>
        <v>N/A</v>
      </c>
    </row>
    <row r="384" ht="12.0" customHeight="1">
      <c r="A384" s="39" t="s">
        <v>90</v>
      </c>
      <c r="B384" s="82" t="str">
        <f>Consultas!B384</f>
        <v/>
      </c>
      <c r="C384" s="82" t="str">
        <f>Consultas!D384</f>
        <v/>
      </c>
      <c r="D384" s="96" t="str">
        <f>Consultas!E384</f>
        <v/>
      </c>
      <c r="E384" s="104" t="str">
        <f>IF(Consultas!AB384&gt;0,YEAR('Parâmetros'!$B$1)-YEAR(Consultas!AB384),"NA")</f>
        <v>NA</v>
      </c>
      <c r="F384" s="82">
        <f>IF(Consultas!F384&gt;'Parâmetros'!$B$2,-8,0)</f>
        <v>0</v>
      </c>
      <c r="G384" s="82">
        <f>IF(Consultas!H384='Parâmetros'!$E$1,100,0)</f>
        <v>0</v>
      </c>
      <c r="H384" s="82">
        <f>IF(Consultas!I384='Parâmetros'!$E$1,-4,12)</f>
        <v>12</v>
      </c>
      <c r="I384" s="82">
        <f>IF(Consultas!J384='Parâmetros'!$E$1,1,-13)</f>
        <v>-13</v>
      </c>
      <c r="J384" s="82">
        <f>IF(Consultas!K384='Parâmetros'!$E$1,2,-5)</f>
        <v>-5</v>
      </c>
      <c r="K384" s="82" t="str">
        <f>IF(Consultas!L384='Parâmetros'!$D$1,"SOLIC CONTRATO DE ENTREGA","N/A")</f>
        <v>N/A</v>
      </c>
      <c r="L384" s="82">
        <f>IF(Consultas!R384='Parâmetros'!$E$1,1,-3)</f>
        <v>-3</v>
      </c>
      <c r="M384" s="82" t="b">
        <f>IF(Consultas!S384&gt;1,(IF(Consultas!S384='Parâmetros'!$E$1,-3,9)))</f>
        <v>0</v>
      </c>
      <c r="N384" s="82">
        <f>IF(Consultas!T384="S",23,0)</f>
        <v>0</v>
      </c>
      <c r="O384" s="82">
        <f>IF(Consultas!U384='Parâmetros'!$E$1,-3,3)</f>
        <v>3</v>
      </c>
      <c r="P384" s="82">
        <f>IF(Consultas!V384='Parâmetros'!$E$1,-100,2)</f>
        <v>2</v>
      </c>
      <c r="Q384" s="82">
        <f>IF(Consultas!M384='Parâmetros'!$D$1,2,-9)</f>
        <v>-9</v>
      </c>
      <c r="R384" s="82">
        <f>IF(Consultas!N384="RJ",-12,0)</f>
        <v>0</v>
      </c>
      <c r="S384" s="82">
        <f>IF(Consultas!O384="-",-3,IF(Consultas!O384=0,-6,IF(Consultas!O384=5,0,IF(Consultas!O384=10,6))))</f>
        <v>-6</v>
      </c>
      <c r="T384" s="82">
        <f>IF(Consultas!M384="S",0,(IF(Consultas!P384="S",6,0)))</f>
        <v>0</v>
      </c>
      <c r="U384" s="82">
        <f>IF(Consultas!Q384&gt;97,9,IF(Consultas!Q384&gt;75,0,-7))</f>
        <v>-7</v>
      </c>
      <c r="V384" s="82">
        <f>IF(Consultas!W384='Parâmetros'!$E$1,1,-5)</f>
        <v>-5</v>
      </c>
      <c r="W384" s="82">
        <f>IF(Consultas!X384="S",3,-3)</f>
        <v>-3</v>
      </c>
      <c r="X384" s="82">
        <f>IF(Consultas!Y384="S",0,-7)</f>
        <v>-7</v>
      </c>
      <c r="Y384" s="82">
        <f>IF(Consultas!Z384='Parâmetros'!$E$1,2,-8)</f>
        <v>-8</v>
      </c>
      <c r="Z384" s="82">
        <f>IF(Consultas!AA384='Parâmetros'!$E$1,-15,1)</f>
        <v>1</v>
      </c>
      <c r="AA384" s="147" t="s">
        <v>140</v>
      </c>
      <c r="AB384" s="82" t="str">
        <f>IF(E384="NA","NA",IF(E384&gt;'Parâmetros'!$A$9,8,IF(E384&gt;'Parâmetros'!$A$8,4,IF(E384&gt;'Parâmetros'!$A$7,0,-6))))</f>
        <v>NA</v>
      </c>
      <c r="AC384" s="82">
        <f>IF(Consultas!AC384='Parâmetros'!$E$1,0,5)</f>
        <v>5</v>
      </c>
      <c r="AD384" s="82">
        <f>IF(Consultas!AH384='Parâmetros'!$D$1,-10,5)</f>
        <v>5</v>
      </c>
      <c r="AE384" s="82">
        <f>IF(Consultas!AI384&gt;(Consultas!F384*2),-10,0)</f>
        <v>0</v>
      </c>
      <c r="AF384" s="82" t="b">
        <f>IF(Consultas!AD384&gt;1,(IF(Consultas!AI384&gt;(Consultas!AD384),-20,4)))</f>
        <v>0</v>
      </c>
      <c r="AG384" s="82">
        <f>IF(Consultas!AG384='Parâmetros'!$E$1,0,-6)</f>
        <v>-6</v>
      </c>
      <c r="AH384" s="82">
        <f>IF(Consultas!AF384='Parâmetros'!$E$1,1,-5)</f>
        <v>-5</v>
      </c>
      <c r="AI384" s="82">
        <f>IF(Consultas!AJ384&gt;700,8,IF(Consultas!AJ384&gt;500,4,IF(Consultas!AJ384&gt;200,-4,IF(Consultas!AJ384&gt;1,-15,-20))))</f>
        <v>-20</v>
      </c>
      <c r="AJ384" s="82">
        <f>IF(Consultas!AD384='Parâmetros'!$E$10,0,IF(Consultas!AD384&gt;'Parâmetros'!$A$30,12,IF(Consultas!AD384&gt;'Parâmetros'!$A$31,6,IF(Consultas!AD384&gt;'Parâmetros'!$A$32,0,IF(Consultas!AD384&gt;'Parâmetros'!$A$33,0,IF(Consultas!AD384&gt;'Parâmetros'!$A$34,-3,IF(Consultas!AD384&gt;'Parâmetros'!$A$35,-7,-1)))))))</f>
        <v>-1</v>
      </c>
      <c r="AK384" s="82">
        <f>IF(Consultas!AO384='Parâmetros'!$D$1,3,-3)</f>
        <v>-3</v>
      </c>
      <c r="AL384" s="82">
        <f>IF(Consultas!AP384='Parâmetros'!$D$1,5,-3)</f>
        <v>-3</v>
      </c>
      <c r="AM384" s="82">
        <f>IF(Consultas!AL384="N",-6,0)</f>
        <v>0</v>
      </c>
      <c r="AN384" s="82">
        <f>IF(Consultas!AM384="N",-10,0)</f>
        <v>0</v>
      </c>
      <c r="AO384" s="82">
        <f>IF(Consultas!AN384="S",4,-2)</f>
        <v>-2</v>
      </c>
      <c r="AP384" s="39"/>
      <c r="AQ384" s="165" t="str">
        <f>IF(Consultas!F384&gt;1,(SUM(F384:AO384)),"N/A")</f>
        <v>N/A</v>
      </c>
      <c r="AR384" s="78">
        <f>IF((Consultas!AD384&gt;'Parâmetros'!$A$31),"X",AJ384+Y384+V384+AC384)</f>
        <v>-9</v>
      </c>
      <c r="AS384" s="78">
        <f>IF((Consultas!AD384&gt;'Parâmetros'!$A$31),"X",(H384+I384+J384+Q384+T384+Y384+Z384+AJ384+AN384))</f>
        <v>-23</v>
      </c>
      <c r="AT384" s="78" t="str">
        <f>IF((Consultas!AD384&lt;'Parâmetros'!$A$31),"X",(AD384+AC384+AB384))</f>
        <v>X</v>
      </c>
      <c r="AU384" s="78">
        <f t="shared" si="1"/>
        <v>-23</v>
      </c>
      <c r="AV384" s="82" t="str">
        <f>IF(AQ384="N/A","N/A",IF(AQ384&gt;5,'Parâmetros'!$A$15,(IF(AU384=AR384,'Parâmetros'!$A$17,IF(AU384=AS384,'Parâmetros'!$A$16,'Parâmetros'!$A$14)))))</f>
        <v>N/A</v>
      </c>
      <c r="AW384" s="86" t="str">
        <f>IF(AQ384="N/A","N/A",IF(AV384='Parâmetros'!$A$15,'Parâmetros'!$C$15,(IF(AV384='Parâmetros'!$A$17,'Parâmetros'!$C$17,IF(AV384='Parâmetros'!$A$16,'Parâmetros'!$C$16,IF(AV384='Parâmetros'!$A$14,'Parâmetros'!$C$12))))))</f>
        <v>N/A</v>
      </c>
      <c r="AX384" s="82" t="b">
        <f>IF(Consultas!F384&gt;1,(IF(Consultas!F384&gt;5000,"SOLICITAR PED COMPRA","N/A")))</f>
        <v>0</v>
      </c>
      <c r="AY384" s="167" t="str">
        <f>IF(AND(Consultas!M384&lt;&gt;"S", Consultas!H384="S"), "CHECAGEM REVERSA", "N/A")</f>
        <v>N/A</v>
      </c>
      <c r="AZ384" s="167" t="str">
        <f>IF(Consultas!U384="N","PRECISA CORRIGIR END DIVERGENTE","N/A")</f>
        <v>N/A</v>
      </c>
    </row>
    <row r="385" ht="12.0" customHeight="1">
      <c r="A385" s="39" t="s">
        <v>90</v>
      </c>
      <c r="B385" s="82" t="str">
        <f>Consultas!B385</f>
        <v/>
      </c>
      <c r="C385" s="82" t="str">
        <f>Consultas!D385</f>
        <v/>
      </c>
      <c r="D385" s="96" t="str">
        <f>Consultas!E385</f>
        <v/>
      </c>
      <c r="E385" s="104" t="str">
        <f>IF(Consultas!AB385&gt;0,YEAR('Parâmetros'!$B$1)-YEAR(Consultas!AB385),"NA")</f>
        <v>NA</v>
      </c>
      <c r="F385" s="82">
        <f>IF(Consultas!F385&gt;'Parâmetros'!$B$2,-8,0)</f>
        <v>0</v>
      </c>
      <c r="G385" s="82">
        <f>IF(Consultas!H385='Parâmetros'!$E$1,100,0)</f>
        <v>0</v>
      </c>
      <c r="H385" s="82">
        <f>IF(Consultas!I385='Parâmetros'!$E$1,-4,12)</f>
        <v>12</v>
      </c>
      <c r="I385" s="82">
        <f>IF(Consultas!J385='Parâmetros'!$E$1,1,-13)</f>
        <v>-13</v>
      </c>
      <c r="J385" s="82">
        <f>IF(Consultas!K385='Parâmetros'!$E$1,2,-5)</f>
        <v>-5</v>
      </c>
      <c r="K385" s="82" t="str">
        <f>IF(Consultas!L385='Parâmetros'!$D$1,"SOLIC CONTRATO DE ENTREGA","N/A")</f>
        <v>N/A</v>
      </c>
      <c r="L385" s="82">
        <f>IF(Consultas!R385='Parâmetros'!$E$1,1,-3)</f>
        <v>-3</v>
      </c>
      <c r="M385" s="82" t="b">
        <f>IF(Consultas!S385&gt;1,(IF(Consultas!S385='Parâmetros'!$E$1,-3,9)))</f>
        <v>0</v>
      </c>
      <c r="N385" s="82">
        <f>IF(Consultas!T385="S",23,0)</f>
        <v>0</v>
      </c>
      <c r="O385" s="82">
        <f>IF(Consultas!U385='Parâmetros'!$E$1,-3,3)</f>
        <v>3</v>
      </c>
      <c r="P385" s="82">
        <f>IF(Consultas!V385='Parâmetros'!$E$1,-100,2)</f>
        <v>2</v>
      </c>
      <c r="Q385" s="82">
        <f>IF(Consultas!M385='Parâmetros'!$D$1,2,-9)</f>
        <v>-9</v>
      </c>
      <c r="R385" s="82">
        <f>IF(Consultas!N385="RJ",-12,0)</f>
        <v>0</v>
      </c>
      <c r="S385" s="82">
        <f>IF(Consultas!O385="-",-3,IF(Consultas!O385=0,-6,IF(Consultas!O385=5,0,IF(Consultas!O385=10,6))))</f>
        <v>-6</v>
      </c>
      <c r="T385" s="82">
        <f>IF(Consultas!M385="S",0,(IF(Consultas!P385="S",6,0)))</f>
        <v>0</v>
      </c>
      <c r="U385" s="82">
        <f>IF(Consultas!Q385&gt;97,9,IF(Consultas!Q385&gt;75,0,-7))</f>
        <v>-7</v>
      </c>
      <c r="V385" s="82">
        <f>IF(Consultas!W385='Parâmetros'!$E$1,1,-5)</f>
        <v>-5</v>
      </c>
      <c r="W385" s="82">
        <f>IF(Consultas!X385="S",3,-3)</f>
        <v>-3</v>
      </c>
      <c r="X385" s="82">
        <f>IF(Consultas!Y385="S",0,-7)</f>
        <v>-7</v>
      </c>
      <c r="Y385" s="82">
        <f>IF(Consultas!Z385='Parâmetros'!$E$1,2,-8)</f>
        <v>-8</v>
      </c>
      <c r="Z385" s="82">
        <f>IF(Consultas!AA385='Parâmetros'!$E$1,-15,1)</f>
        <v>1</v>
      </c>
      <c r="AA385" s="147" t="s">
        <v>140</v>
      </c>
      <c r="AB385" s="82" t="str">
        <f>IF(E385="NA","NA",IF(E385&gt;'Parâmetros'!$A$9,8,IF(E385&gt;'Parâmetros'!$A$8,4,IF(E385&gt;'Parâmetros'!$A$7,0,-6))))</f>
        <v>NA</v>
      </c>
      <c r="AC385" s="82">
        <f>IF(Consultas!AC385='Parâmetros'!$E$1,0,5)</f>
        <v>5</v>
      </c>
      <c r="AD385" s="82">
        <f>IF(Consultas!AH385='Parâmetros'!$D$1,-10,5)</f>
        <v>5</v>
      </c>
      <c r="AE385" s="82">
        <f>IF(Consultas!AI385&gt;(Consultas!F385*2),-10,0)</f>
        <v>0</v>
      </c>
      <c r="AF385" s="82" t="b">
        <f>IF(Consultas!AD385&gt;1,(IF(Consultas!AI385&gt;(Consultas!AD385),-20,4)))</f>
        <v>0</v>
      </c>
      <c r="AG385" s="82">
        <f>IF(Consultas!AG385='Parâmetros'!$E$1,0,-6)</f>
        <v>-6</v>
      </c>
      <c r="AH385" s="82">
        <f>IF(Consultas!AF385='Parâmetros'!$E$1,1,-5)</f>
        <v>-5</v>
      </c>
      <c r="AI385" s="82">
        <f>IF(Consultas!AJ385&gt;700,8,IF(Consultas!AJ385&gt;500,4,IF(Consultas!AJ385&gt;200,-4,IF(Consultas!AJ385&gt;1,-15,-20))))</f>
        <v>-20</v>
      </c>
      <c r="AJ385" s="82">
        <f>IF(Consultas!AD385='Parâmetros'!$E$10,0,IF(Consultas!AD385&gt;'Parâmetros'!$A$30,12,IF(Consultas!AD385&gt;'Parâmetros'!$A$31,6,IF(Consultas!AD385&gt;'Parâmetros'!$A$32,0,IF(Consultas!AD385&gt;'Parâmetros'!$A$33,0,IF(Consultas!AD385&gt;'Parâmetros'!$A$34,-3,IF(Consultas!AD385&gt;'Parâmetros'!$A$35,-7,-1)))))))</f>
        <v>-1</v>
      </c>
      <c r="AK385" s="82">
        <f>IF(Consultas!AO385='Parâmetros'!$D$1,3,-3)</f>
        <v>-3</v>
      </c>
      <c r="AL385" s="82">
        <f>IF(Consultas!AP385='Parâmetros'!$D$1,5,-3)</f>
        <v>-3</v>
      </c>
      <c r="AM385" s="82">
        <f>IF(Consultas!AL385="N",-6,0)</f>
        <v>0</v>
      </c>
      <c r="AN385" s="82">
        <f>IF(Consultas!AM385="N",-10,0)</f>
        <v>0</v>
      </c>
      <c r="AO385" s="82">
        <f>IF(Consultas!AN385="S",4,-2)</f>
        <v>-2</v>
      </c>
      <c r="AP385" s="39"/>
      <c r="AQ385" s="165" t="str">
        <f>IF(Consultas!F385&gt;1,(SUM(F385:AO385)),"N/A")</f>
        <v>N/A</v>
      </c>
      <c r="AR385" s="78">
        <f>IF((Consultas!AD385&gt;'Parâmetros'!$A$31),"X",AJ385+Y385+V385+AC385)</f>
        <v>-9</v>
      </c>
      <c r="AS385" s="78">
        <f>IF((Consultas!AD385&gt;'Parâmetros'!$A$31),"X",(H385+I385+J385+Q385+T385+Y385+Z385+AJ385+AN385))</f>
        <v>-23</v>
      </c>
      <c r="AT385" s="78" t="str">
        <f>IF((Consultas!AD385&lt;'Parâmetros'!$A$31),"X",(AD385+AC385+AB385))</f>
        <v>X</v>
      </c>
      <c r="AU385" s="78">
        <f t="shared" si="1"/>
        <v>-23</v>
      </c>
      <c r="AV385" s="82" t="str">
        <f>IF(AQ385="N/A","N/A",IF(AQ385&gt;5,'Parâmetros'!$A$15,(IF(AU385=AR385,'Parâmetros'!$A$17,IF(AU385=AS385,'Parâmetros'!$A$16,'Parâmetros'!$A$14)))))</f>
        <v>N/A</v>
      </c>
      <c r="AW385" s="86" t="str">
        <f>IF(AQ385="N/A","N/A",IF(AV385='Parâmetros'!$A$15,'Parâmetros'!$C$15,(IF(AV385='Parâmetros'!$A$17,'Parâmetros'!$C$17,IF(AV385='Parâmetros'!$A$16,'Parâmetros'!$C$16,IF(AV385='Parâmetros'!$A$14,'Parâmetros'!$C$12))))))</f>
        <v>N/A</v>
      </c>
      <c r="AX385" s="82" t="b">
        <f>IF(Consultas!F385&gt;1,(IF(Consultas!F385&gt;5000,"SOLICITAR PED COMPRA","N/A")))</f>
        <v>0</v>
      </c>
      <c r="AY385" s="167" t="str">
        <f>IF(AND(Consultas!M385&lt;&gt;"S", Consultas!H385="S"), "CHECAGEM REVERSA", "N/A")</f>
        <v>N/A</v>
      </c>
      <c r="AZ385" s="167" t="str">
        <f>IF(Consultas!U385="N","PRECISA CORRIGIR END DIVERGENTE","N/A")</f>
        <v>N/A</v>
      </c>
    </row>
    <row r="386" ht="12.0" customHeight="1">
      <c r="A386" s="39" t="s">
        <v>90</v>
      </c>
      <c r="B386" s="82" t="str">
        <f>Consultas!B386</f>
        <v/>
      </c>
      <c r="C386" s="82" t="str">
        <f>Consultas!D386</f>
        <v/>
      </c>
      <c r="D386" s="96" t="str">
        <f>Consultas!E386</f>
        <v/>
      </c>
      <c r="E386" s="104" t="str">
        <f>IF(Consultas!AB386&gt;0,YEAR('Parâmetros'!$B$1)-YEAR(Consultas!AB386),"NA")</f>
        <v>NA</v>
      </c>
      <c r="F386" s="82">
        <f>IF(Consultas!F386&gt;'Parâmetros'!$B$2,-8,0)</f>
        <v>0</v>
      </c>
      <c r="G386" s="82">
        <f>IF(Consultas!H386='Parâmetros'!$E$1,100,0)</f>
        <v>0</v>
      </c>
      <c r="H386" s="82">
        <f>IF(Consultas!I386='Parâmetros'!$E$1,-4,12)</f>
        <v>12</v>
      </c>
      <c r="I386" s="82">
        <f>IF(Consultas!J386='Parâmetros'!$E$1,1,-13)</f>
        <v>-13</v>
      </c>
      <c r="J386" s="82">
        <f>IF(Consultas!K386='Parâmetros'!$E$1,2,-5)</f>
        <v>-5</v>
      </c>
      <c r="K386" s="82" t="str">
        <f>IF(Consultas!L386='Parâmetros'!$D$1,"SOLIC CONTRATO DE ENTREGA","N/A")</f>
        <v>N/A</v>
      </c>
      <c r="L386" s="82">
        <f>IF(Consultas!R386='Parâmetros'!$E$1,1,-3)</f>
        <v>-3</v>
      </c>
      <c r="M386" s="82" t="b">
        <f>IF(Consultas!S386&gt;1,(IF(Consultas!S386='Parâmetros'!$E$1,-3,9)))</f>
        <v>0</v>
      </c>
      <c r="N386" s="82">
        <f>IF(Consultas!T386="S",23,0)</f>
        <v>0</v>
      </c>
      <c r="O386" s="82">
        <f>IF(Consultas!U386='Parâmetros'!$E$1,-3,3)</f>
        <v>3</v>
      </c>
      <c r="P386" s="82">
        <f>IF(Consultas!V386='Parâmetros'!$E$1,-100,2)</f>
        <v>2</v>
      </c>
      <c r="Q386" s="82">
        <f>IF(Consultas!M386='Parâmetros'!$D$1,2,-9)</f>
        <v>-9</v>
      </c>
      <c r="R386" s="82">
        <f>IF(Consultas!N386="RJ",-12,0)</f>
        <v>0</v>
      </c>
      <c r="S386" s="82">
        <f>IF(Consultas!O386="-",-3,IF(Consultas!O386=0,-6,IF(Consultas!O386=5,0,IF(Consultas!O386=10,6))))</f>
        <v>-6</v>
      </c>
      <c r="T386" s="82">
        <f>IF(Consultas!M386="S",0,(IF(Consultas!P386="S",6,0)))</f>
        <v>0</v>
      </c>
      <c r="U386" s="82">
        <f>IF(Consultas!Q386&gt;97,9,IF(Consultas!Q386&gt;75,0,-7))</f>
        <v>-7</v>
      </c>
      <c r="V386" s="82">
        <f>IF(Consultas!W386='Parâmetros'!$E$1,1,-5)</f>
        <v>-5</v>
      </c>
      <c r="W386" s="82">
        <f>IF(Consultas!X386="S",3,-3)</f>
        <v>-3</v>
      </c>
      <c r="X386" s="82">
        <f>IF(Consultas!Y386="S",0,-7)</f>
        <v>-7</v>
      </c>
      <c r="Y386" s="82">
        <f>IF(Consultas!Z386='Parâmetros'!$E$1,2,-8)</f>
        <v>-8</v>
      </c>
      <c r="Z386" s="82">
        <f>IF(Consultas!AA386='Parâmetros'!$E$1,-15,1)</f>
        <v>1</v>
      </c>
      <c r="AA386" s="147" t="s">
        <v>140</v>
      </c>
      <c r="AB386" s="82" t="str">
        <f>IF(E386="NA","NA",IF(E386&gt;'Parâmetros'!$A$9,8,IF(E386&gt;'Parâmetros'!$A$8,4,IF(E386&gt;'Parâmetros'!$A$7,0,-6))))</f>
        <v>NA</v>
      </c>
      <c r="AC386" s="82">
        <f>IF(Consultas!AC386='Parâmetros'!$E$1,0,5)</f>
        <v>5</v>
      </c>
      <c r="AD386" s="82">
        <f>IF(Consultas!AH386='Parâmetros'!$D$1,-10,5)</f>
        <v>5</v>
      </c>
      <c r="AE386" s="82">
        <f>IF(Consultas!AI386&gt;(Consultas!F386*2),-10,0)</f>
        <v>0</v>
      </c>
      <c r="AF386" s="82" t="b">
        <f>IF(Consultas!AD386&gt;1,(IF(Consultas!AI386&gt;(Consultas!AD386),-20,4)))</f>
        <v>0</v>
      </c>
      <c r="AG386" s="82">
        <f>IF(Consultas!AG386='Parâmetros'!$E$1,0,-6)</f>
        <v>-6</v>
      </c>
      <c r="AH386" s="82">
        <f>IF(Consultas!AF386='Parâmetros'!$E$1,1,-5)</f>
        <v>-5</v>
      </c>
      <c r="AI386" s="82">
        <f>IF(Consultas!AJ386&gt;700,8,IF(Consultas!AJ386&gt;500,4,IF(Consultas!AJ386&gt;200,-4,IF(Consultas!AJ386&gt;1,-15,-20))))</f>
        <v>-20</v>
      </c>
      <c r="AJ386" s="82">
        <f>IF(Consultas!AD386='Parâmetros'!$E$10,0,IF(Consultas!AD386&gt;'Parâmetros'!$A$30,12,IF(Consultas!AD386&gt;'Parâmetros'!$A$31,6,IF(Consultas!AD386&gt;'Parâmetros'!$A$32,0,IF(Consultas!AD386&gt;'Parâmetros'!$A$33,0,IF(Consultas!AD386&gt;'Parâmetros'!$A$34,-3,IF(Consultas!AD386&gt;'Parâmetros'!$A$35,-7,-1)))))))</f>
        <v>-1</v>
      </c>
      <c r="AK386" s="82">
        <f>IF(Consultas!AO386='Parâmetros'!$D$1,3,-3)</f>
        <v>-3</v>
      </c>
      <c r="AL386" s="82">
        <f>IF(Consultas!AP386='Parâmetros'!$D$1,5,-3)</f>
        <v>-3</v>
      </c>
      <c r="AM386" s="82">
        <f>IF(Consultas!AL386="N",-6,0)</f>
        <v>0</v>
      </c>
      <c r="AN386" s="82">
        <f>IF(Consultas!AM386="N",-10,0)</f>
        <v>0</v>
      </c>
      <c r="AO386" s="82">
        <f>IF(Consultas!AN386="S",4,-2)</f>
        <v>-2</v>
      </c>
      <c r="AP386" s="39"/>
      <c r="AQ386" s="165" t="str">
        <f>IF(Consultas!F386&gt;1,(SUM(F386:AO386)),"N/A")</f>
        <v>N/A</v>
      </c>
      <c r="AR386" s="78">
        <f>IF((Consultas!AD386&gt;'Parâmetros'!$A$31),"X",AJ386+Y386+V386+AC386)</f>
        <v>-9</v>
      </c>
      <c r="AS386" s="78">
        <f>IF((Consultas!AD386&gt;'Parâmetros'!$A$31),"X",(H386+I386+J386+Q386+T386+Y386+Z386+AJ386+AN386))</f>
        <v>-23</v>
      </c>
      <c r="AT386" s="78" t="str">
        <f>IF((Consultas!AD386&lt;'Parâmetros'!$A$31),"X",(AD386+AC386+AB386))</f>
        <v>X</v>
      </c>
      <c r="AU386" s="78">
        <f t="shared" si="1"/>
        <v>-23</v>
      </c>
      <c r="AV386" s="82" t="str">
        <f>IF(AQ386="N/A","N/A",IF(AQ386&gt;5,'Parâmetros'!$A$15,(IF(AU386=AR386,'Parâmetros'!$A$17,IF(AU386=AS386,'Parâmetros'!$A$16,'Parâmetros'!$A$14)))))</f>
        <v>N/A</v>
      </c>
      <c r="AW386" s="86" t="str">
        <f>IF(AQ386="N/A","N/A",IF(AV386='Parâmetros'!$A$15,'Parâmetros'!$C$15,(IF(AV386='Parâmetros'!$A$17,'Parâmetros'!$C$17,IF(AV386='Parâmetros'!$A$16,'Parâmetros'!$C$16,IF(AV386='Parâmetros'!$A$14,'Parâmetros'!$C$12))))))</f>
        <v>N/A</v>
      </c>
      <c r="AX386" s="82" t="b">
        <f>IF(Consultas!F386&gt;1,(IF(Consultas!F386&gt;5000,"SOLICITAR PED COMPRA","N/A")))</f>
        <v>0</v>
      </c>
      <c r="AY386" s="167" t="str">
        <f>IF(AND(Consultas!M386&lt;&gt;"S", Consultas!H386="S"), "CHECAGEM REVERSA", "N/A")</f>
        <v>N/A</v>
      </c>
      <c r="AZ386" s="167" t="str">
        <f>IF(Consultas!U386="N","PRECISA CORRIGIR END DIVERGENTE","N/A")</f>
        <v>N/A</v>
      </c>
    </row>
    <row r="387" ht="12.0" customHeight="1">
      <c r="A387" s="39" t="s">
        <v>90</v>
      </c>
      <c r="B387" s="82" t="str">
        <f>Consultas!B387</f>
        <v/>
      </c>
      <c r="C387" s="82" t="str">
        <f>Consultas!D387</f>
        <v/>
      </c>
      <c r="D387" s="96" t="str">
        <f>Consultas!E387</f>
        <v/>
      </c>
      <c r="E387" s="104" t="str">
        <f>IF(Consultas!AB387&gt;0,YEAR('Parâmetros'!$B$1)-YEAR(Consultas!AB387),"NA")</f>
        <v>NA</v>
      </c>
      <c r="F387" s="82">
        <f>IF(Consultas!F387&gt;'Parâmetros'!$B$2,-8,0)</f>
        <v>0</v>
      </c>
      <c r="G387" s="82">
        <f>IF(Consultas!H387='Parâmetros'!$E$1,100,0)</f>
        <v>0</v>
      </c>
      <c r="H387" s="82">
        <f>IF(Consultas!I387='Parâmetros'!$E$1,-4,12)</f>
        <v>12</v>
      </c>
      <c r="I387" s="82">
        <f>IF(Consultas!J387='Parâmetros'!$E$1,1,-13)</f>
        <v>-13</v>
      </c>
      <c r="J387" s="82">
        <f>IF(Consultas!K387='Parâmetros'!$E$1,2,-5)</f>
        <v>-5</v>
      </c>
      <c r="K387" s="82" t="str">
        <f>IF(Consultas!L387='Parâmetros'!$D$1,"SOLIC CONTRATO DE ENTREGA","N/A")</f>
        <v>N/A</v>
      </c>
      <c r="L387" s="82">
        <f>IF(Consultas!R387='Parâmetros'!$E$1,1,-3)</f>
        <v>-3</v>
      </c>
      <c r="M387" s="82" t="b">
        <f>IF(Consultas!S387&gt;1,(IF(Consultas!S387='Parâmetros'!$E$1,-3,9)))</f>
        <v>0</v>
      </c>
      <c r="N387" s="82">
        <f>IF(Consultas!T387="S",23,0)</f>
        <v>0</v>
      </c>
      <c r="O387" s="82">
        <f>IF(Consultas!U387='Parâmetros'!$E$1,-3,3)</f>
        <v>3</v>
      </c>
      <c r="P387" s="82">
        <f>IF(Consultas!V387='Parâmetros'!$E$1,-100,2)</f>
        <v>2</v>
      </c>
      <c r="Q387" s="82">
        <f>IF(Consultas!M387='Parâmetros'!$D$1,2,-9)</f>
        <v>-9</v>
      </c>
      <c r="R387" s="82">
        <f>IF(Consultas!N387="RJ",-12,0)</f>
        <v>0</v>
      </c>
      <c r="S387" s="82">
        <f>IF(Consultas!O387="-",-3,IF(Consultas!O387=0,-6,IF(Consultas!O387=5,0,IF(Consultas!O387=10,6))))</f>
        <v>-6</v>
      </c>
      <c r="T387" s="82">
        <f>IF(Consultas!M387="S",0,(IF(Consultas!P387="S",6,0)))</f>
        <v>0</v>
      </c>
      <c r="U387" s="82">
        <f>IF(Consultas!Q387&gt;97,9,IF(Consultas!Q387&gt;75,0,-7))</f>
        <v>-7</v>
      </c>
      <c r="V387" s="82">
        <f>IF(Consultas!W387='Parâmetros'!$E$1,1,-5)</f>
        <v>-5</v>
      </c>
      <c r="W387" s="82">
        <f>IF(Consultas!X387="S",3,-3)</f>
        <v>-3</v>
      </c>
      <c r="X387" s="82">
        <f>IF(Consultas!Y387="S",0,-7)</f>
        <v>-7</v>
      </c>
      <c r="Y387" s="82">
        <f>IF(Consultas!Z387='Parâmetros'!$E$1,2,-8)</f>
        <v>-8</v>
      </c>
      <c r="Z387" s="82">
        <f>IF(Consultas!AA387='Parâmetros'!$E$1,-15,1)</f>
        <v>1</v>
      </c>
      <c r="AA387" s="147" t="s">
        <v>140</v>
      </c>
      <c r="AB387" s="82" t="str">
        <f>IF(E387="NA","NA",IF(E387&gt;'Parâmetros'!$A$9,8,IF(E387&gt;'Parâmetros'!$A$8,4,IF(E387&gt;'Parâmetros'!$A$7,0,-6))))</f>
        <v>NA</v>
      </c>
      <c r="AC387" s="82">
        <f>IF(Consultas!AC387='Parâmetros'!$E$1,0,5)</f>
        <v>5</v>
      </c>
      <c r="AD387" s="82">
        <f>IF(Consultas!AH387='Parâmetros'!$D$1,-10,5)</f>
        <v>5</v>
      </c>
      <c r="AE387" s="82">
        <f>IF(Consultas!AI387&gt;(Consultas!F387*2),-10,0)</f>
        <v>0</v>
      </c>
      <c r="AF387" s="82" t="b">
        <f>IF(Consultas!AD387&gt;1,(IF(Consultas!AI387&gt;(Consultas!AD387),-20,4)))</f>
        <v>0</v>
      </c>
      <c r="AG387" s="82">
        <f>IF(Consultas!AG387='Parâmetros'!$E$1,0,-6)</f>
        <v>-6</v>
      </c>
      <c r="AH387" s="82">
        <f>IF(Consultas!AF387='Parâmetros'!$E$1,1,-5)</f>
        <v>-5</v>
      </c>
      <c r="AI387" s="82">
        <f>IF(Consultas!AJ387&gt;700,8,IF(Consultas!AJ387&gt;500,4,IF(Consultas!AJ387&gt;200,-4,IF(Consultas!AJ387&gt;1,-15,-20))))</f>
        <v>-20</v>
      </c>
      <c r="AJ387" s="82">
        <f>IF(Consultas!AD387='Parâmetros'!$E$10,0,IF(Consultas!AD387&gt;'Parâmetros'!$A$30,12,IF(Consultas!AD387&gt;'Parâmetros'!$A$31,6,IF(Consultas!AD387&gt;'Parâmetros'!$A$32,0,IF(Consultas!AD387&gt;'Parâmetros'!$A$33,0,IF(Consultas!AD387&gt;'Parâmetros'!$A$34,-3,IF(Consultas!AD387&gt;'Parâmetros'!$A$35,-7,-1)))))))</f>
        <v>-1</v>
      </c>
      <c r="AK387" s="82">
        <f>IF(Consultas!AO387='Parâmetros'!$D$1,3,-3)</f>
        <v>-3</v>
      </c>
      <c r="AL387" s="82">
        <f>IF(Consultas!AP387='Parâmetros'!$D$1,5,-3)</f>
        <v>-3</v>
      </c>
      <c r="AM387" s="82">
        <f>IF(Consultas!AL387="N",-6,0)</f>
        <v>0</v>
      </c>
      <c r="AN387" s="82">
        <f>IF(Consultas!AM387="N",-10,0)</f>
        <v>0</v>
      </c>
      <c r="AO387" s="82">
        <f>IF(Consultas!AN387="S",4,-2)</f>
        <v>-2</v>
      </c>
      <c r="AP387" s="39"/>
      <c r="AQ387" s="165" t="str">
        <f>IF(Consultas!F387&gt;1,(SUM(F387:AO387)),"N/A")</f>
        <v>N/A</v>
      </c>
      <c r="AR387" s="78">
        <f>IF((Consultas!AD387&gt;'Parâmetros'!$A$31),"X",AJ387+Y387+V387+AC387)</f>
        <v>-9</v>
      </c>
      <c r="AS387" s="78">
        <f>IF((Consultas!AD387&gt;'Parâmetros'!$A$31),"X",(H387+I387+J387+Q387+T387+Y387+Z387+AJ387+AN387))</f>
        <v>-23</v>
      </c>
      <c r="AT387" s="78" t="str">
        <f>IF((Consultas!AD387&lt;'Parâmetros'!$A$31),"X",(AD387+AC387+AB387))</f>
        <v>X</v>
      </c>
      <c r="AU387" s="78">
        <f t="shared" si="1"/>
        <v>-23</v>
      </c>
      <c r="AV387" s="82" t="str">
        <f>IF(AQ387="N/A","N/A",IF(AQ387&gt;5,'Parâmetros'!$A$15,(IF(AU387=AR387,'Parâmetros'!$A$17,IF(AU387=AS387,'Parâmetros'!$A$16,'Parâmetros'!$A$14)))))</f>
        <v>N/A</v>
      </c>
      <c r="AW387" s="86" t="str">
        <f>IF(AQ387="N/A","N/A",IF(AV387='Parâmetros'!$A$15,'Parâmetros'!$C$15,(IF(AV387='Parâmetros'!$A$17,'Parâmetros'!$C$17,IF(AV387='Parâmetros'!$A$16,'Parâmetros'!$C$16,IF(AV387='Parâmetros'!$A$14,'Parâmetros'!$C$12))))))</f>
        <v>N/A</v>
      </c>
      <c r="AX387" s="82" t="b">
        <f>IF(Consultas!F387&gt;1,(IF(Consultas!F387&gt;5000,"SOLICITAR PED COMPRA","N/A")))</f>
        <v>0</v>
      </c>
      <c r="AY387" s="167" t="str">
        <f>IF(AND(Consultas!M387&lt;&gt;"S", Consultas!H387="S"), "CHECAGEM REVERSA", "N/A")</f>
        <v>N/A</v>
      </c>
      <c r="AZ387" s="167" t="str">
        <f>IF(Consultas!U387="N","PRECISA CORRIGIR END DIVERGENTE","N/A")</f>
        <v>N/A</v>
      </c>
    </row>
    <row r="388" ht="12.0" customHeight="1">
      <c r="A388" s="39" t="s">
        <v>90</v>
      </c>
      <c r="B388" s="82" t="str">
        <f>Consultas!B388</f>
        <v/>
      </c>
      <c r="C388" s="82" t="str">
        <f>Consultas!D388</f>
        <v/>
      </c>
      <c r="D388" s="96" t="str">
        <f>Consultas!E388</f>
        <v/>
      </c>
      <c r="E388" s="104" t="str">
        <f>IF(Consultas!AB388&gt;0,YEAR('Parâmetros'!$B$1)-YEAR(Consultas!AB388),"NA")</f>
        <v>NA</v>
      </c>
      <c r="F388" s="82">
        <f>IF(Consultas!F388&gt;'Parâmetros'!$B$2,-8,0)</f>
        <v>0</v>
      </c>
      <c r="G388" s="82">
        <f>IF(Consultas!H388='Parâmetros'!$E$1,100,0)</f>
        <v>0</v>
      </c>
      <c r="H388" s="82">
        <f>IF(Consultas!I388='Parâmetros'!$E$1,-4,12)</f>
        <v>12</v>
      </c>
      <c r="I388" s="82">
        <f>IF(Consultas!J388='Parâmetros'!$E$1,1,-13)</f>
        <v>-13</v>
      </c>
      <c r="J388" s="82">
        <f>IF(Consultas!K388='Parâmetros'!$E$1,2,-5)</f>
        <v>-5</v>
      </c>
      <c r="K388" s="82" t="str">
        <f>IF(Consultas!L388='Parâmetros'!$D$1,"SOLIC CONTRATO DE ENTREGA","N/A")</f>
        <v>N/A</v>
      </c>
      <c r="L388" s="82">
        <f>IF(Consultas!R388='Parâmetros'!$E$1,1,-3)</f>
        <v>-3</v>
      </c>
      <c r="M388" s="82" t="b">
        <f>IF(Consultas!S388&gt;1,(IF(Consultas!S388='Parâmetros'!$E$1,-3,9)))</f>
        <v>0</v>
      </c>
      <c r="N388" s="82">
        <f>IF(Consultas!T388="S",23,0)</f>
        <v>0</v>
      </c>
      <c r="O388" s="82">
        <f>IF(Consultas!U388='Parâmetros'!$E$1,-3,3)</f>
        <v>3</v>
      </c>
      <c r="P388" s="82">
        <f>IF(Consultas!V388='Parâmetros'!$E$1,-100,2)</f>
        <v>2</v>
      </c>
      <c r="Q388" s="82">
        <f>IF(Consultas!M388='Parâmetros'!$D$1,2,-9)</f>
        <v>-9</v>
      </c>
      <c r="R388" s="82">
        <f>IF(Consultas!N388="RJ",-12,0)</f>
        <v>0</v>
      </c>
      <c r="S388" s="82">
        <f>IF(Consultas!O388="-",-3,IF(Consultas!O388=0,-6,IF(Consultas!O388=5,0,IF(Consultas!O388=10,6))))</f>
        <v>-6</v>
      </c>
      <c r="T388" s="82">
        <f>IF(Consultas!M388="S",0,(IF(Consultas!P388="S",6,0)))</f>
        <v>0</v>
      </c>
      <c r="U388" s="82">
        <f>IF(Consultas!Q388&gt;97,9,IF(Consultas!Q388&gt;75,0,-7))</f>
        <v>-7</v>
      </c>
      <c r="V388" s="82">
        <f>IF(Consultas!W388='Parâmetros'!$E$1,1,-5)</f>
        <v>-5</v>
      </c>
      <c r="W388" s="82">
        <f>IF(Consultas!X388="S",3,-3)</f>
        <v>-3</v>
      </c>
      <c r="X388" s="82">
        <f>IF(Consultas!Y388="S",0,-7)</f>
        <v>-7</v>
      </c>
      <c r="Y388" s="82">
        <f>IF(Consultas!Z388='Parâmetros'!$E$1,2,-8)</f>
        <v>-8</v>
      </c>
      <c r="Z388" s="82">
        <f>IF(Consultas!AA388='Parâmetros'!$E$1,-15,1)</f>
        <v>1</v>
      </c>
      <c r="AA388" s="147" t="s">
        <v>140</v>
      </c>
      <c r="AB388" s="82" t="str">
        <f>IF(E388="NA","NA",IF(E388&gt;'Parâmetros'!$A$9,8,IF(E388&gt;'Parâmetros'!$A$8,4,IF(E388&gt;'Parâmetros'!$A$7,0,-6))))</f>
        <v>NA</v>
      </c>
      <c r="AC388" s="82">
        <f>IF(Consultas!AC388='Parâmetros'!$E$1,0,5)</f>
        <v>5</v>
      </c>
      <c r="AD388" s="82">
        <f>IF(Consultas!AH388='Parâmetros'!$D$1,-10,5)</f>
        <v>5</v>
      </c>
      <c r="AE388" s="82">
        <f>IF(Consultas!AI388&gt;(Consultas!F388*2),-10,0)</f>
        <v>0</v>
      </c>
      <c r="AF388" s="82" t="b">
        <f>IF(Consultas!AD388&gt;1,(IF(Consultas!AI388&gt;(Consultas!AD388),-20,4)))</f>
        <v>0</v>
      </c>
      <c r="AG388" s="82">
        <f>IF(Consultas!AG388='Parâmetros'!$E$1,0,-6)</f>
        <v>-6</v>
      </c>
      <c r="AH388" s="82">
        <f>IF(Consultas!AF388='Parâmetros'!$E$1,1,-5)</f>
        <v>-5</v>
      </c>
      <c r="AI388" s="82">
        <f>IF(Consultas!AJ388&gt;700,8,IF(Consultas!AJ388&gt;500,4,IF(Consultas!AJ388&gt;200,-4,IF(Consultas!AJ388&gt;1,-15,-20))))</f>
        <v>-20</v>
      </c>
      <c r="AJ388" s="82">
        <f>IF(Consultas!AD388='Parâmetros'!$E$10,0,IF(Consultas!AD388&gt;'Parâmetros'!$A$30,12,IF(Consultas!AD388&gt;'Parâmetros'!$A$31,6,IF(Consultas!AD388&gt;'Parâmetros'!$A$32,0,IF(Consultas!AD388&gt;'Parâmetros'!$A$33,0,IF(Consultas!AD388&gt;'Parâmetros'!$A$34,-3,IF(Consultas!AD388&gt;'Parâmetros'!$A$35,-7,-1)))))))</f>
        <v>-1</v>
      </c>
      <c r="AK388" s="82">
        <f>IF(Consultas!AO388='Parâmetros'!$D$1,3,-3)</f>
        <v>-3</v>
      </c>
      <c r="AL388" s="82">
        <f>IF(Consultas!AP388='Parâmetros'!$D$1,5,-3)</f>
        <v>-3</v>
      </c>
      <c r="AM388" s="82">
        <f>IF(Consultas!AL388="N",-6,0)</f>
        <v>0</v>
      </c>
      <c r="AN388" s="82">
        <f>IF(Consultas!AM388="N",-10,0)</f>
        <v>0</v>
      </c>
      <c r="AO388" s="82">
        <f>IF(Consultas!AN388="S",4,-2)</f>
        <v>-2</v>
      </c>
      <c r="AP388" s="39"/>
      <c r="AQ388" s="165" t="str">
        <f>IF(Consultas!F388&gt;1,(SUM(F388:AO388)),"N/A")</f>
        <v>N/A</v>
      </c>
      <c r="AR388" s="78">
        <f>IF((Consultas!AD388&gt;'Parâmetros'!$A$31),"X",AJ388+Y388+V388+AC388)</f>
        <v>-9</v>
      </c>
      <c r="AS388" s="78">
        <f>IF((Consultas!AD388&gt;'Parâmetros'!$A$31),"X",(H388+I388+J388+Q388+T388+Y388+Z388+AJ388+AN388))</f>
        <v>-23</v>
      </c>
      <c r="AT388" s="78" t="str">
        <f>IF((Consultas!AD388&lt;'Parâmetros'!$A$31),"X",(AD388+AC388+AB388))</f>
        <v>X</v>
      </c>
      <c r="AU388" s="78">
        <f t="shared" si="1"/>
        <v>-23</v>
      </c>
      <c r="AV388" s="82" t="str">
        <f>IF(AQ388="N/A","N/A",IF(AQ388&gt;5,'Parâmetros'!$A$15,(IF(AU388=AR388,'Parâmetros'!$A$17,IF(AU388=AS388,'Parâmetros'!$A$16,'Parâmetros'!$A$14)))))</f>
        <v>N/A</v>
      </c>
      <c r="AW388" s="86" t="str">
        <f>IF(AQ388="N/A","N/A",IF(AV388='Parâmetros'!$A$15,'Parâmetros'!$C$15,(IF(AV388='Parâmetros'!$A$17,'Parâmetros'!$C$17,IF(AV388='Parâmetros'!$A$16,'Parâmetros'!$C$16,IF(AV388='Parâmetros'!$A$14,'Parâmetros'!$C$12))))))</f>
        <v>N/A</v>
      </c>
      <c r="AX388" s="82" t="b">
        <f>IF(Consultas!F388&gt;1,(IF(Consultas!F388&gt;5000,"SOLICITAR PED COMPRA","N/A")))</f>
        <v>0</v>
      </c>
      <c r="AY388" s="167" t="str">
        <f>IF(AND(Consultas!M388&lt;&gt;"S", Consultas!H388="S"), "CHECAGEM REVERSA", "N/A")</f>
        <v>N/A</v>
      </c>
      <c r="AZ388" s="167" t="str">
        <f>IF(Consultas!U388="N","PRECISA CORRIGIR END DIVERGENTE","N/A")</f>
        <v>N/A</v>
      </c>
    </row>
    <row r="389" ht="12.0" customHeight="1">
      <c r="A389" s="39" t="s">
        <v>90</v>
      </c>
      <c r="B389" s="82" t="str">
        <f>Consultas!B389</f>
        <v/>
      </c>
      <c r="C389" s="82" t="str">
        <f>Consultas!D389</f>
        <v/>
      </c>
      <c r="D389" s="96" t="str">
        <f>Consultas!E389</f>
        <v/>
      </c>
      <c r="E389" s="104" t="str">
        <f>IF(Consultas!AB389&gt;0,YEAR('Parâmetros'!$B$1)-YEAR(Consultas!AB389),"NA")</f>
        <v>NA</v>
      </c>
      <c r="F389" s="82">
        <f>IF(Consultas!F389&gt;'Parâmetros'!$B$2,-8,0)</f>
        <v>0</v>
      </c>
      <c r="G389" s="82">
        <f>IF(Consultas!H389='Parâmetros'!$E$1,100,0)</f>
        <v>0</v>
      </c>
      <c r="H389" s="82">
        <f>IF(Consultas!I389='Parâmetros'!$E$1,-4,12)</f>
        <v>12</v>
      </c>
      <c r="I389" s="82">
        <f>IF(Consultas!J389='Parâmetros'!$E$1,1,-13)</f>
        <v>-13</v>
      </c>
      <c r="J389" s="82">
        <f>IF(Consultas!K389='Parâmetros'!$E$1,2,-5)</f>
        <v>-5</v>
      </c>
      <c r="K389" s="82" t="str">
        <f>IF(Consultas!L389='Parâmetros'!$D$1,"SOLIC CONTRATO DE ENTREGA","N/A")</f>
        <v>N/A</v>
      </c>
      <c r="L389" s="82">
        <f>IF(Consultas!R389='Parâmetros'!$E$1,1,-3)</f>
        <v>-3</v>
      </c>
      <c r="M389" s="82" t="b">
        <f>IF(Consultas!S389&gt;1,(IF(Consultas!S389='Parâmetros'!$E$1,-3,9)))</f>
        <v>0</v>
      </c>
      <c r="N389" s="82">
        <f>IF(Consultas!T389="S",23,0)</f>
        <v>0</v>
      </c>
      <c r="O389" s="82">
        <f>IF(Consultas!U389='Parâmetros'!$E$1,-3,3)</f>
        <v>3</v>
      </c>
      <c r="P389" s="82">
        <f>IF(Consultas!V389='Parâmetros'!$E$1,-100,2)</f>
        <v>2</v>
      </c>
      <c r="Q389" s="82">
        <f>IF(Consultas!M389='Parâmetros'!$D$1,2,-9)</f>
        <v>-9</v>
      </c>
      <c r="R389" s="82">
        <f>IF(Consultas!N389="RJ",-12,0)</f>
        <v>0</v>
      </c>
      <c r="S389" s="82">
        <f>IF(Consultas!O389="-",-3,IF(Consultas!O389=0,-6,IF(Consultas!O389=5,0,IF(Consultas!O389=10,6))))</f>
        <v>-6</v>
      </c>
      <c r="T389" s="82">
        <f>IF(Consultas!M389="S",0,(IF(Consultas!P389="S",6,0)))</f>
        <v>0</v>
      </c>
      <c r="U389" s="82">
        <f>IF(Consultas!Q389&gt;97,9,IF(Consultas!Q389&gt;75,0,-7))</f>
        <v>-7</v>
      </c>
      <c r="V389" s="82">
        <f>IF(Consultas!W389='Parâmetros'!$E$1,1,-5)</f>
        <v>-5</v>
      </c>
      <c r="W389" s="82">
        <f>IF(Consultas!X389="S",3,-3)</f>
        <v>-3</v>
      </c>
      <c r="X389" s="82">
        <f>IF(Consultas!Y389="S",0,-7)</f>
        <v>-7</v>
      </c>
      <c r="Y389" s="82">
        <f>IF(Consultas!Z389='Parâmetros'!$E$1,2,-8)</f>
        <v>-8</v>
      </c>
      <c r="Z389" s="82">
        <f>IF(Consultas!AA389='Parâmetros'!$E$1,-15,1)</f>
        <v>1</v>
      </c>
      <c r="AA389" s="147" t="s">
        <v>140</v>
      </c>
      <c r="AB389" s="82" t="str">
        <f>IF(E389="NA","NA",IF(E389&gt;'Parâmetros'!$A$9,8,IF(E389&gt;'Parâmetros'!$A$8,4,IF(E389&gt;'Parâmetros'!$A$7,0,-6))))</f>
        <v>NA</v>
      </c>
      <c r="AC389" s="82">
        <f>IF(Consultas!AC389='Parâmetros'!$E$1,0,5)</f>
        <v>5</v>
      </c>
      <c r="AD389" s="82">
        <f>IF(Consultas!AH389='Parâmetros'!$D$1,-10,5)</f>
        <v>5</v>
      </c>
      <c r="AE389" s="82">
        <f>IF(Consultas!AI389&gt;(Consultas!F389*2),-10,0)</f>
        <v>0</v>
      </c>
      <c r="AF389" s="82" t="b">
        <f>IF(Consultas!AD389&gt;1,(IF(Consultas!AI389&gt;(Consultas!AD389),-20,4)))</f>
        <v>0</v>
      </c>
      <c r="AG389" s="82">
        <f>IF(Consultas!AG389='Parâmetros'!$E$1,0,-6)</f>
        <v>-6</v>
      </c>
      <c r="AH389" s="82">
        <f>IF(Consultas!AF389='Parâmetros'!$E$1,1,-5)</f>
        <v>-5</v>
      </c>
      <c r="AI389" s="82">
        <f>IF(Consultas!AJ389&gt;700,8,IF(Consultas!AJ389&gt;500,4,IF(Consultas!AJ389&gt;200,-4,IF(Consultas!AJ389&gt;1,-15,-20))))</f>
        <v>-20</v>
      </c>
      <c r="AJ389" s="82">
        <f>IF(Consultas!AD389='Parâmetros'!$E$10,0,IF(Consultas!AD389&gt;'Parâmetros'!$A$30,12,IF(Consultas!AD389&gt;'Parâmetros'!$A$31,6,IF(Consultas!AD389&gt;'Parâmetros'!$A$32,0,IF(Consultas!AD389&gt;'Parâmetros'!$A$33,0,IF(Consultas!AD389&gt;'Parâmetros'!$A$34,-3,IF(Consultas!AD389&gt;'Parâmetros'!$A$35,-7,-1)))))))</f>
        <v>-1</v>
      </c>
      <c r="AK389" s="82">
        <f>IF(Consultas!AO389='Parâmetros'!$D$1,3,-3)</f>
        <v>-3</v>
      </c>
      <c r="AL389" s="82">
        <f>IF(Consultas!AP389='Parâmetros'!$D$1,5,-3)</f>
        <v>-3</v>
      </c>
      <c r="AM389" s="82">
        <f>IF(Consultas!AL389="N",-6,0)</f>
        <v>0</v>
      </c>
      <c r="AN389" s="82">
        <f>IF(Consultas!AM389="N",-10,0)</f>
        <v>0</v>
      </c>
      <c r="AO389" s="82">
        <f>IF(Consultas!AN389="S",4,-2)</f>
        <v>-2</v>
      </c>
      <c r="AP389" s="39"/>
      <c r="AQ389" s="165" t="str">
        <f>IF(Consultas!F389&gt;1,(SUM(F389:AO389)),"N/A")</f>
        <v>N/A</v>
      </c>
      <c r="AR389" s="78">
        <f>IF((Consultas!AD389&gt;'Parâmetros'!$A$31),"X",AJ389+Y389+V389+AC389)</f>
        <v>-9</v>
      </c>
      <c r="AS389" s="78">
        <f>IF((Consultas!AD389&gt;'Parâmetros'!$A$31),"X",(H389+I389+J389+Q389+T389+Y389+Z389+AJ389+AN389))</f>
        <v>-23</v>
      </c>
      <c r="AT389" s="78" t="str">
        <f>IF((Consultas!AD389&lt;'Parâmetros'!$A$31),"X",(AD389+AC389+AB389))</f>
        <v>X</v>
      </c>
      <c r="AU389" s="78">
        <f t="shared" si="1"/>
        <v>-23</v>
      </c>
      <c r="AV389" s="82" t="str">
        <f>IF(AQ389="N/A","N/A",IF(AQ389&gt;5,'Parâmetros'!$A$15,(IF(AU389=AR389,'Parâmetros'!$A$17,IF(AU389=AS389,'Parâmetros'!$A$16,'Parâmetros'!$A$14)))))</f>
        <v>N/A</v>
      </c>
      <c r="AW389" s="86" t="str">
        <f>IF(AQ389="N/A","N/A",IF(AV389='Parâmetros'!$A$15,'Parâmetros'!$C$15,(IF(AV389='Parâmetros'!$A$17,'Parâmetros'!$C$17,IF(AV389='Parâmetros'!$A$16,'Parâmetros'!$C$16,IF(AV389='Parâmetros'!$A$14,'Parâmetros'!$C$12))))))</f>
        <v>N/A</v>
      </c>
      <c r="AX389" s="82" t="b">
        <f>IF(Consultas!F389&gt;1,(IF(Consultas!F389&gt;5000,"SOLICITAR PED COMPRA","N/A")))</f>
        <v>0</v>
      </c>
      <c r="AY389" s="167" t="str">
        <f>IF(AND(Consultas!M389&lt;&gt;"S", Consultas!H389="S"), "CHECAGEM REVERSA", "N/A")</f>
        <v>N/A</v>
      </c>
      <c r="AZ389" s="167" t="str">
        <f>IF(Consultas!U389="N","PRECISA CORRIGIR END DIVERGENTE","N/A")</f>
        <v>N/A</v>
      </c>
    </row>
    <row r="390" ht="12.0" customHeight="1">
      <c r="A390" s="39" t="s">
        <v>90</v>
      </c>
      <c r="B390" s="82" t="str">
        <f>Consultas!B390</f>
        <v/>
      </c>
      <c r="C390" s="82" t="str">
        <f>Consultas!D390</f>
        <v/>
      </c>
      <c r="D390" s="96" t="str">
        <f>Consultas!E390</f>
        <v/>
      </c>
      <c r="E390" s="104" t="str">
        <f>IF(Consultas!AB390&gt;0,YEAR('Parâmetros'!$B$1)-YEAR(Consultas!AB390),"NA")</f>
        <v>NA</v>
      </c>
      <c r="F390" s="82">
        <f>IF(Consultas!F390&gt;'Parâmetros'!$B$2,-8,0)</f>
        <v>0</v>
      </c>
      <c r="G390" s="82">
        <f>IF(Consultas!H390='Parâmetros'!$E$1,100,0)</f>
        <v>0</v>
      </c>
      <c r="H390" s="82">
        <f>IF(Consultas!I390='Parâmetros'!$E$1,-4,12)</f>
        <v>12</v>
      </c>
      <c r="I390" s="82">
        <f>IF(Consultas!J390='Parâmetros'!$E$1,1,-13)</f>
        <v>-13</v>
      </c>
      <c r="J390" s="82">
        <f>IF(Consultas!K390='Parâmetros'!$E$1,2,-5)</f>
        <v>-5</v>
      </c>
      <c r="K390" s="82" t="str">
        <f>IF(Consultas!L390='Parâmetros'!$D$1,"SOLIC CONTRATO DE ENTREGA","N/A")</f>
        <v>N/A</v>
      </c>
      <c r="L390" s="82">
        <f>IF(Consultas!R390='Parâmetros'!$E$1,1,-3)</f>
        <v>-3</v>
      </c>
      <c r="M390" s="82" t="b">
        <f>IF(Consultas!S390&gt;1,(IF(Consultas!S390='Parâmetros'!$E$1,-3,9)))</f>
        <v>0</v>
      </c>
      <c r="N390" s="82">
        <f>IF(Consultas!T390="S",23,0)</f>
        <v>0</v>
      </c>
      <c r="O390" s="82">
        <f>IF(Consultas!U390='Parâmetros'!$E$1,-3,3)</f>
        <v>3</v>
      </c>
      <c r="P390" s="82">
        <f>IF(Consultas!V390='Parâmetros'!$E$1,-100,2)</f>
        <v>2</v>
      </c>
      <c r="Q390" s="82">
        <f>IF(Consultas!M390='Parâmetros'!$D$1,2,-9)</f>
        <v>-9</v>
      </c>
      <c r="R390" s="82">
        <f>IF(Consultas!N390="RJ",-12,0)</f>
        <v>0</v>
      </c>
      <c r="S390" s="82">
        <f>IF(Consultas!O390="-",-3,IF(Consultas!O390=0,-6,IF(Consultas!O390=5,0,IF(Consultas!O390=10,6))))</f>
        <v>-6</v>
      </c>
      <c r="T390" s="82">
        <f>IF(Consultas!M390="S",0,(IF(Consultas!P390="S",6,0)))</f>
        <v>0</v>
      </c>
      <c r="U390" s="82">
        <f>IF(Consultas!Q390&gt;97,9,IF(Consultas!Q390&gt;75,0,-7))</f>
        <v>-7</v>
      </c>
      <c r="V390" s="82">
        <f>IF(Consultas!W390='Parâmetros'!$E$1,1,-5)</f>
        <v>-5</v>
      </c>
      <c r="W390" s="82">
        <f>IF(Consultas!X390="S",3,-3)</f>
        <v>-3</v>
      </c>
      <c r="X390" s="82">
        <f>IF(Consultas!Y390="S",0,-7)</f>
        <v>-7</v>
      </c>
      <c r="Y390" s="82">
        <f>IF(Consultas!Z390='Parâmetros'!$E$1,2,-8)</f>
        <v>-8</v>
      </c>
      <c r="Z390" s="82">
        <f>IF(Consultas!AA390='Parâmetros'!$E$1,-15,1)</f>
        <v>1</v>
      </c>
      <c r="AA390" s="147" t="s">
        <v>140</v>
      </c>
      <c r="AB390" s="82" t="str">
        <f>IF(E390="NA","NA",IF(E390&gt;'Parâmetros'!$A$9,8,IF(E390&gt;'Parâmetros'!$A$8,4,IF(E390&gt;'Parâmetros'!$A$7,0,-6))))</f>
        <v>NA</v>
      </c>
      <c r="AC390" s="82">
        <f>IF(Consultas!AC390='Parâmetros'!$E$1,0,5)</f>
        <v>5</v>
      </c>
      <c r="AD390" s="82">
        <f>IF(Consultas!AH390='Parâmetros'!$D$1,-10,5)</f>
        <v>5</v>
      </c>
      <c r="AE390" s="82">
        <f>IF(Consultas!AI390&gt;(Consultas!F390*2),-10,0)</f>
        <v>0</v>
      </c>
      <c r="AF390" s="82" t="b">
        <f>IF(Consultas!AD390&gt;1,(IF(Consultas!AI390&gt;(Consultas!AD390),-20,4)))</f>
        <v>0</v>
      </c>
      <c r="AG390" s="82">
        <f>IF(Consultas!AG390='Parâmetros'!$E$1,0,-6)</f>
        <v>-6</v>
      </c>
      <c r="AH390" s="82">
        <f>IF(Consultas!AF390='Parâmetros'!$E$1,1,-5)</f>
        <v>-5</v>
      </c>
      <c r="AI390" s="82">
        <f>IF(Consultas!AJ390&gt;700,8,IF(Consultas!AJ390&gt;500,4,IF(Consultas!AJ390&gt;200,-4,IF(Consultas!AJ390&gt;1,-15,-20))))</f>
        <v>-20</v>
      </c>
      <c r="AJ390" s="82">
        <f>IF(Consultas!AD390='Parâmetros'!$E$10,0,IF(Consultas!AD390&gt;'Parâmetros'!$A$30,12,IF(Consultas!AD390&gt;'Parâmetros'!$A$31,6,IF(Consultas!AD390&gt;'Parâmetros'!$A$32,0,IF(Consultas!AD390&gt;'Parâmetros'!$A$33,0,IF(Consultas!AD390&gt;'Parâmetros'!$A$34,-3,IF(Consultas!AD390&gt;'Parâmetros'!$A$35,-7,-1)))))))</f>
        <v>-1</v>
      </c>
      <c r="AK390" s="82">
        <f>IF(Consultas!AO390='Parâmetros'!$D$1,3,-3)</f>
        <v>-3</v>
      </c>
      <c r="AL390" s="82">
        <f>IF(Consultas!AP390='Parâmetros'!$D$1,5,-3)</f>
        <v>-3</v>
      </c>
      <c r="AM390" s="82">
        <f>IF(Consultas!AL390="N",-6,0)</f>
        <v>0</v>
      </c>
      <c r="AN390" s="82">
        <f>IF(Consultas!AM390="N",-10,0)</f>
        <v>0</v>
      </c>
      <c r="AO390" s="82">
        <f>IF(Consultas!AN390="S",4,-2)</f>
        <v>-2</v>
      </c>
      <c r="AP390" s="39"/>
      <c r="AQ390" s="165" t="str">
        <f>IF(Consultas!F390&gt;1,(SUM(F390:AO390)),"N/A")</f>
        <v>N/A</v>
      </c>
      <c r="AR390" s="78">
        <f>IF((Consultas!AD390&gt;'Parâmetros'!$A$31),"X",AJ390+Y390+V390+AC390)</f>
        <v>-9</v>
      </c>
      <c r="AS390" s="78">
        <f>IF((Consultas!AD390&gt;'Parâmetros'!$A$31),"X",(H390+I390+J390+Q390+T390+Y390+Z390+AJ390+AN390))</f>
        <v>-23</v>
      </c>
      <c r="AT390" s="78" t="str">
        <f>IF((Consultas!AD390&lt;'Parâmetros'!$A$31),"X",(AD390+AC390+AB390))</f>
        <v>X</v>
      </c>
      <c r="AU390" s="78">
        <f t="shared" si="1"/>
        <v>-23</v>
      </c>
      <c r="AV390" s="82" t="str">
        <f>IF(AQ390="N/A","N/A",IF(AQ390&gt;5,'Parâmetros'!$A$15,(IF(AU390=AR390,'Parâmetros'!$A$17,IF(AU390=AS390,'Parâmetros'!$A$16,'Parâmetros'!$A$14)))))</f>
        <v>N/A</v>
      </c>
      <c r="AW390" s="86" t="str">
        <f>IF(AQ390="N/A","N/A",IF(AV390='Parâmetros'!$A$15,'Parâmetros'!$C$15,(IF(AV390='Parâmetros'!$A$17,'Parâmetros'!$C$17,IF(AV390='Parâmetros'!$A$16,'Parâmetros'!$C$16,IF(AV390='Parâmetros'!$A$14,'Parâmetros'!$C$12))))))</f>
        <v>N/A</v>
      </c>
      <c r="AX390" s="82" t="b">
        <f>IF(Consultas!F390&gt;1,(IF(Consultas!F390&gt;5000,"SOLICITAR PED COMPRA","N/A")))</f>
        <v>0</v>
      </c>
      <c r="AY390" s="167" t="str">
        <f>IF(AND(Consultas!M390&lt;&gt;"S", Consultas!H390="S"), "CHECAGEM REVERSA", "N/A")</f>
        <v>N/A</v>
      </c>
      <c r="AZ390" s="167" t="str">
        <f>IF(Consultas!U390="N","PRECISA CORRIGIR END DIVERGENTE","N/A")</f>
        <v>N/A</v>
      </c>
    </row>
    <row r="391" ht="12.0" customHeight="1">
      <c r="A391" s="39" t="s">
        <v>90</v>
      </c>
      <c r="B391" s="82" t="str">
        <f>Consultas!B391</f>
        <v/>
      </c>
      <c r="C391" s="82" t="str">
        <f>Consultas!D391</f>
        <v/>
      </c>
      <c r="D391" s="96" t="str">
        <f>Consultas!E391</f>
        <v/>
      </c>
      <c r="E391" s="104" t="str">
        <f>IF(Consultas!AB391&gt;0,YEAR('Parâmetros'!$B$1)-YEAR(Consultas!AB391),"NA")</f>
        <v>NA</v>
      </c>
      <c r="F391" s="82">
        <f>IF(Consultas!F391&gt;'Parâmetros'!$B$2,-8,0)</f>
        <v>0</v>
      </c>
      <c r="G391" s="82">
        <f>IF(Consultas!H391='Parâmetros'!$E$1,100,0)</f>
        <v>0</v>
      </c>
      <c r="H391" s="82">
        <f>IF(Consultas!I391='Parâmetros'!$E$1,-4,12)</f>
        <v>12</v>
      </c>
      <c r="I391" s="82">
        <f>IF(Consultas!J391='Parâmetros'!$E$1,1,-13)</f>
        <v>-13</v>
      </c>
      <c r="J391" s="82">
        <f>IF(Consultas!K391='Parâmetros'!$E$1,2,-5)</f>
        <v>-5</v>
      </c>
      <c r="K391" s="82" t="str">
        <f>IF(Consultas!L391='Parâmetros'!$D$1,"SOLIC CONTRATO DE ENTREGA","N/A")</f>
        <v>N/A</v>
      </c>
      <c r="L391" s="82">
        <f>IF(Consultas!R391='Parâmetros'!$E$1,1,-3)</f>
        <v>-3</v>
      </c>
      <c r="M391" s="82" t="b">
        <f>IF(Consultas!S391&gt;1,(IF(Consultas!S391='Parâmetros'!$E$1,-3,9)))</f>
        <v>0</v>
      </c>
      <c r="N391" s="82">
        <f>IF(Consultas!T391="S",23,0)</f>
        <v>0</v>
      </c>
      <c r="O391" s="82">
        <f>IF(Consultas!U391='Parâmetros'!$E$1,-3,3)</f>
        <v>3</v>
      </c>
      <c r="P391" s="82">
        <f>IF(Consultas!V391='Parâmetros'!$E$1,-100,2)</f>
        <v>2</v>
      </c>
      <c r="Q391" s="82">
        <f>IF(Consultas!M391='Parâmetros'!$D$1,2,-9)</f>
        <v>-9</v>
      </c>
      <c r="R391" s="82">
        <f>IF(Consultas!N391="RJ",-12,0)</f>
        <v>0</v>
      </c>
      <c r="S391" s="82">
        <f>IF(Consultas!O391="-",-3,IF(Consultas!O391=0,-6,IF(Consultas!O391=5,0,IF(Consultas!O391=10,6))))</f>
        <v>-6</v>
      </c>
      <c r="T391" s="82">
        <f>IF(Consultas!M391="S",0,(IF(Consultas!P391="S",6,0)))</f>
        <v>0</v>
      </c>
      <c r="U391" s="82">
        <f>IF(Consultas!Q391&gt;97,9,IF(Consultas!Q391&gt;75,0,-7))</f>
        <v>-7</v>
      </c>
      <c r="V391" s="82">
        <f>IF(Consultas!W391='Parâmetros'!$E$1,1,-5)</f>
        <v>-5</v>
      </c>
      <c r="W391" s="82">
        <f>IF(Consultas!X391="S",3,-3)</f>
        <v>-3</v>
      </c>
      <c r="X391" s="82">
        <f>IF(Consultas!Y391="S",0,-7)</f>
        <v>-7</v>
      </c>
      <c r="Y391" s="82">
        <f>IF(Consultas!Z391='Parâmetros'!$E$1,2,-8)</f>
        <v>-8</v>
      </c>
      <c r="Z391" s="82">
        <f>IF(Consultas!AA391='Parâmetros'!$E$1,-15,1)</f>
        <v>1</v>
      </c>
      <c r="AA391" s="147" t="s">
        <v>140</v>
      </c>
      <c r="AB391" s="82" t="str">
        <f>IF(E391="NA","NA",IF(E391&gt;'Parâmetros'!$A$9,8,IF(E391&gt;'Parâmetros'!$A$8,4,IF(E391&gt;'Parâmetros'!$A$7,0,-6))))</f>
        <v>NA</v>
      </c>
      <c r="AC391" s="82">
        <f>IF(Consultas!AC391='Parâmetros'!$E$1,0,5)</f>
        <v>5</v>
      </c>
      <c r="AD391" s="82">
        <f>IF(Consultas!AH391='Parâmetros'!$D$1,-10,5)</f>
        <v>5</v>
      </c>
      <c r="AE391" s="82">
        <f>IF(Consultas!AI391&gt;(Consultas!F391*2),-10,0)</f>
        <v>0</v>
      </c>
      <c r="AF391" s="82" t="b">
        <f>IF(Consultas!AD391&gt;1,(IF(Consultas!AI391&gt;(Consultas!AD391),-20,4)))</f>
        <v>0</v>
      </c>
      <c r="AG391" s="82">
        <f>IF(Consultas!AG391='Parâmetros'!$E$1,0,-6)</f>
        <v>-6</v>
      </c>
      <c r="AH391" s="82">
        <f>IF(Consultas!AF391='Parâmetros'!$E$1,1,-5)</f>
        <v>-5</v>
      </c>
      <c r="AI391" s="82">
        <f>IF(Consultas!AJ391&gt;700,8,IF(Consultas!AJ391&gt;500,4,IF(Consultas!AJ391&gt;200,-4,IF(Consultas!AJ391&gt;1,-15,-20))))</f>
        <v>-20</v>
      </c>
      <c r="AJ391" s="82">
        <f>IF(Consultas!AD391='Parâmetros'!$E$10,0,IF(Consultas!AD391&gt;'Parâmetros'!$A$30,12,IF(Consultas!AD391&gt;'Parâmetros'!$A$31,6,IF(Consultas!AD391&gt;'Parâmetros'!$A$32,0,IF(Consultas!AD391&gt;'Parâmetros'!$A$33,0,IF(Consultas!AD391&gt;'Parâmetros'!$A$34,-3,IF(Consultas!AD391&gt;'Parâmetros'!$A$35,-7,-1)))))))</f>
        <v>-1</v>
      </c>
      <c r="AK391" s="82">
        <f>IF(Consultas!AO391='Parâmetros'!$D$1,3,-3)</f>
        <v>-3</v>
      </c>
      <c r="AL391" s="82">
        <f>IF(Consultas!AP391='Parâmetros'!$D$1,5,-3)</f>
        <v>-3</v>
      </c>
      <c r="AM391" s="82">
        <f>IF(Consultas!AL391="N",-6,0)</f>
        <v>0</v>
      </c>
      <c r="AN391" s="82">
        <f>IF(Consultas!AM391="N",-10,0)</f>
        <v>0</v>
      </c>
      <c r="AO391" s="82">
        <f>IF(Consultas!AN391="S",4,-2)</f>
        <v>-2</v>
      </c>
      <c r="AP391" s="39"/>
      <c r="AQ391" s="165" t="str">
        <f>IF(Consultas!F391&gt;1,(SUM(F391:AO391)),"N/A")</f>
        <v>N/A</v>
      </c>
      <c r="AR391" s="78">
        <f>IF((Consultas!AD391&gt;'Parâmetros'!$A$31),"X",AJ391+Y391+V391+AC391)</f>
        <v>-9</v>
      </c>
      <c r="AS391" s="78">
        <f>IF((Consultas!AD391&gt;'Parâmetros'!$A$31),"X",(H391+I391+J391+Q391+T391+Y391+Z391+AJ391+AN391))</f>
        <v>-23</v>
      </c>
      <c r="AT391" s="78" t="str">
        <f>IF((Consultas!AD391&lt;'Parâmetros'!$A$31),"X",(AD391+AC391+AB391))</f>
        <v>X</v>
      </c>
      <c r="AU391" s="78">
        <f t="shared" si="1"/>
        <v>-23</v>
      </c>
      <c r="AV391" s="82" t="str">
        <f>IF(AQ391="N/A","N/A",IF(AQ391&gt;5,'Parâmetros'!$A$15,(IF(AU391=AR391,'Parâmetros'!$A$17,IF(AU391=AS391,'Parâmetros'!$A$16,'Parâmetros'!$A$14)))))</f>
        <v>N/A</v>
      </c>
      <c r="AW391" s="86" t="str">
        <f>IF(AQ391="N/A","N/A",IF(AV391='Parâmetros'!$A$15,'Parâmetros'!$C$15,(IF(AV391='Parâmetros'!$A$17,'Parâmetros'!$C$17,IF(AV391='Parâmetros'!$A$16,'Parâmetros'!$C$16,IF(AV391='Parâmetros'!$A$14,'Parâmetros'!$C$12))))))</f>
        <v>N/A</v>
      </c>
      <c r="AX391" s="82" t="b">
        <f>IF(Consultas!F391&gt;1,(IF(Consultas!F391&gt;5000,"SOLICITAR PED COMPRA","N/A")))</f>
        <v>0</v>
      </c>
      <c r="AY391" s="167" t="str">
        <f>IF(AND(Consultas!M391&lt;&gt;"S", Consultas!H391="S"), "CHECAGEM REVERSA", "N/A")</f>
        <v>N/A</v>
      </c>
      <c r="AZ391" s="167" t="str">
        <f>IF(Consultas!U391="N","PRECISA CORRIGIR END DIVERGENTE","N/A")</f>
        <v>N/A</v>
      </c>
    </row>
    <row r="392" ht="12.0" customHeight="1">
      <c r="A392" s="39" t="s">
        <v>90</v>
      </c>
      <c r="B392" s="82" t="str">
        <f>Consultas!B392</f>
        <v/>
      </c>
      <c r="C392" s="82" t="str">
        <f>Consultas!D392</f>
        <v/>
      </c>
      <c r="D392" s="96" t="str">
        <f>Consultas!E392</f>
        <v/>
      </c>
      <c r="E392" s="104" t="str">
        <f>IF(Consultas!AB392&gt;0,YEAR('Parâmetros'!$B$1)-YEAR(Consultas!AB392),"NA")</f>
        <v>NA</v>
      </c>
      <c r="F392" s="82">
        <f>IF(Consultas!F392&gt;'Parâmetros'!$B$2,-8,0)</f>
        <v>0</v>
      </c>
      <c r="G392" s="82">
        <f>IF(Consultas!H392='Parâmetros'!$E$1,100,0)</f>
        <v>0</v>
      </c>
      <c r="H392" s="82">
        <f>IF(Consultas!I392='Parâmetros'!$E$1,-4,12)</f>
        <v>12</v>
      </c>
      <c r="I392" s="82">
        <f>IF(Consultas!J392='Parâmetros'!$E$1,1,-13)</f>
        <v>-13</v>
      </c>
      <c r="J392" s="82">
        <f>IF(Consultas!K392='Parâmetros'!$E$1,2,-5)</f>
        <v>-5</v>
      </c>
      <c r="K392" s="82" t="str">
        <f>IF(Consultas!L392='Parâmetros'!$D$1,"SOLIC CONTRATO DE ENTREGA","N/A")</f>
        <v>N/A</v>
      </c>
      <c r="L392" s="82">
        <f>IF(Consultas!R392='Parâmetros'!$E$1,1,-3)</f>
        <v>-3</v>
      </c>
      <c r="M392" s="82" t="b">
        <f>IF(Consultas!S392&gt;1,(IF(Consultas!S392='Parâmetros'!$E$1,-3,9)))</f>
        <v>0</v>
      </c>
      <c r="N392" s="82">
        <f>IF(Consultas!T392="S",23,0)</f>
        <v>0</v>
      </c>
      <c r="O392" s="82">
        <f>IF(Consultas!U392='Parâmetros'!$E$1,-3,3)</f>
        <v>3</v>
      </c>
      <c r="P392" s="82">
        <f>IF(Consultas!V392='Parâmetros'!$E$1,-100,2)</f>
        <v>2</v>
      </c>
      <c r="Q392" s="82">
        <f>IF(Consultas!M392='Parâmetros'!$D$1,2,-9)</f>
        <v>-9</v>
      </c>
      <c r="R392" s="82">
        <f>IF(Consultas!N392="RJ",-12,0)</f>
        <v>0</v>
      </c>
      <c r="S392" s="82">
        <f>IF(Consultas!O392="-",-3,IF(Consultas!O392=0,-6,IF(Consultas!O392=5,0,IF(Consultas!O392=10,6))))</f>
        <v>-6</v>
      </c>
      <c r="T392" s="82">
        <f>IF(Consultas!M392="S",0,(IF(Consultas!P392="S",6,0)))</f>
        <v>0</v>
      </c>
      <c r="U392" s="82">
        <f>IF(Consultas!Q392&gt;97,9,IF(Consultas!Q392&gt;75,0,-7))</f>
        <v>-7</v>
      </c>
      <c r="V392" s="82">
        <f>IF(Consultas!W392='Parâmetros'!$E$1,1,-5)</f>
        <v>-5</v>
      </c>
      <c r="W392" s="82">
        <f>IF(Consultas!X392="S",3,-3)</f>
        <v>-3</v>
      </c>
      <c r="X392" s="82">
        <f>IF(Consultas!Y392="S",0,-7)</f>
        <v>-7</v>
      </c>
      <c r="Y392" s="82">
        <f>IF(Consultas!Z392='Parâmetros'!$E$1,2,-8)</f>
        <v>-8</v>
      </c>
      <c r="Z392" s="82">
        <f>IF(Consultas!AA392='Parâmetros'!$E$1,-15,1)</f>
        <v>1</v>
      </c>
      <c r="AA392" s="147" t="s">
        <v>140</v>
      </c>
      <c r="AB392" s="82" t="str">
        <f>IF(E392="NA","NA",IF(E392&gt;'Parâmetros'!$A$9,8,IF(E392&gt;'Parâmetros'!$A$8,4,IF(E392&gt;'Parâmetros'!$A$7,0,-6))))</f>
        <v>NA</v>
      </c>
      <c r="AC392" s="82">
        <f>IF(Consultas!AC392='Parâmetros'!$E$1,0,5)</f>
        <v>5</v>
      </c>
      <c r="AD392" s="82">
        <f>IF(Consultas!AH392='Parâmetros'!$D$1,-10,5)</f>
        <v>5</v>
      </c>
      <c r="AE392" s="82">
        <f>IF(Consultas!AI392&gt;(Consultas!F392*2),-10,0)</f>
        <v>0</v>
      </c>
      <c r="AF392" s="82" t="b">
        <f>IF(Consultas!AD392&gt;1,(IF(Consultas!AI392&gt;(Consultas!AD392),-20,4)))</f>
        <v>0</v>
      </c>
      <c r="AG392" s="82">
        <f>IF(Consultas!AG392='Parâmetros'!$E$1,0,-6)</f>
        <v>-6</v>
      </c>
      <c r="AH392" s="82">
        <f>IF(Consultas!AF392='Parâmetros'!$E$1,1,-5)</f>
        <v>-5</v>
      </c>
      <c r="AI392" s="82">
        <f>IF(Consultas!AJ392&gt;700,8,IF(Consultas!AJ392&gt;500,4,IF(Consultas!AJ392&gt;200,-4,IF(Consultas!AJ392&gt;1,-15,-20))))</f>
        <v>-20</v>
      </c>
      <c r="AJ392" s="82">
        <f>IF(Consultas!AD392='Parâmetros'!$E$10,0,IF(Consultas!AD392&gt;'Parâmetros'!$A$30,12,IF(Consultas!AD392&gt;'Parâmetros'!$A$31,6,IF(Consultas!AD392&gt;'Parâmetros'!$A$32,0,IF(Consultas!AD392&gt;'Parâmetros'!$A$33,0,IF(Consultas!AD392&gt;'Parâmetros'!$A$34,-3,IF(Consultas!AD392&gt;'Parâmetros'!$A$35,-7,-1)))))))</f>
        <v>-1</v>
      </c>
      <c r="AK392" s="82">
        <f>IF(Consultas!AO392='Parâmetros'!$D$1,3,-3)</f>
        <v>-3</v>
      </c>
      <c r="AL392" s="82">
        <f>IF(Consultas!AP392='Parâmetros'!$D$1,5,-3)</f>
        <v>-3</v>
      </c>
      <c r="AM392" s="82">
        <f>IF(Consultas!AL392="N",-6,0)</f>
        <v>0</v>
      </c>
      <c r="AN392" s="82">
        <f>IF(Consultas!AM392="N",-10,0)</f>
        <v>0</v>
      </c>
      <c r="AO392" s="82">
        <f>IF(Consultas!AN392="S",4,-2)</f>
        <v>-2</v>
      </c>
      <c r="AP392" s="39"/>
      <c r="AQ392" s="165" t="str">
        <f>IF(Consultas!F392&gt;1,(SUM(F392:AO392)),"N/A")</f>
        <v>N/A</v>
      </c>
      <c r="AR392" s="78">
        <f>IF((Consultas!AD392&gt;'Parâmetros'!$A$31),"X",AJ392+Y392+V392+AC392)</f>
        <v>-9</v>
      </c>
      <c r="AS392" s="78">
        <f>IF((Consultas!AD392&gt;'Parâmetros'!$A$31),"X",(H392+I392+J392+Q392+T392+Y392+Z392+AJ392+AN392))</f>
        <v>-23</v>
      </c>
      <c r="AT392" s="78" t="str">
        <f>IF((Consultas!AD392&lt;'Parâmetros'!$A$31),"X",(AD392+AC392+AB392))</f>
        <v>X</v>
      </c>
      <c r="AU392" s="78">
        <f t="shared" si="1"/>
        <v>-23</v>
      </c>
      <c r="AV392" s="82" t="str">
        <f>IF(AQ392="N/A","N/A",IF(AQ392&gt;5,'Parâmetros'!$A$15,(IF(AU392=AR392,'Parâmetros'!$A$17,IF(AU392=AS392,'Parâmetros'!$A$16,'Parâmetros'!$A$14)))))</f>
        <v>N/A</v>
      </c>
      <c r="AW392" s="86" t="str">
        <f>IF(AQ392="N/A","N/A",IF(AV392='Parâmetros'!$A$15,'Parâmetros'!$C$15,(IF(AV392='Parâmetros'!$A$17,'Parâmetros'!$C$17,IF(AV392='Parâmetros'!$A$16,'Parâmetros'!$C$16,IF(AV392='Parâmetros'!$A$14,'Parâmetros'!$C$12))))))</f>
        <v>N/A</v>
      </c>
      <c r="AX392" s="82" t="b">
        <f>IF(Consultas!F392&gt;1,(IF(Consultas!F392&gt;5000,"SOLICITAR PED COMPRA","N/A")))</f>
        <v>0</v>
      </c>
      <c r="AY392" s="167" t="str">
        <f>IF(AND(Consultas!M392&lt;&gt;"S", Consultas!H392="S"), "CHECAGEM REVERSA", "N/A")</f>
        <v>N/A</v>
      </c>
      <c r="AZ392" s="167" t="str">
        <f>IF(Consultas!U392="N","PRECISA CORRIGIR END DIVERGENTE","N/A")</f>
        <v>N/A</v>
      </c>
    </row>
    <row r="393" ht="12.0" customHeight="1">
      <c r="A393" s="39" t="s">
        <v>90</v>
      </c>
      <c r="B393" s="82" t="str">
        <f>Consultas!B393</f>
        <v/>
      </c>
      <c r="C393" s="82" t="str">
        <f>Consultas!D393</f>
        <v/>
      </c>
      <c r="D393" s="96" t="str">
        <f>Consultas!E393</f>
        <v/>
      </c>
      <c r="E393" s="104" t="str">
        <f>IF(Consultas!AB393&gt;0,YEAR('Parâmetros'!$B$1)-YEAR(Consultas!AB393),"NA")</f>
        <v>NA</v>
      </c>
      <c r="F393" s="82">
        <f>IF(Consultas!F393&gt;'Parâmetros'!$B$2,-8,0)</f>
        <v>0</v>
      </c>
      <c r="G393" s="82">
        <f>IF(Consultas!H393='Parâmetros'!$E$1,100,0)</f>
        <v>0</v>
      </c>
      <c r="H393" s="82">
        <f>IF(Consultas!I393='Parâmetros'!$E$1,-4,12)</f>
        <v>12</v>
      </c>
      <c r="I393" s="82">
        <f>IF(Consultas!J393='Parâmetros'!$E$1,1,-13)</f>
        <v>-13</v>
      </c>
      <c r="J393" s="82">
        <f>IF(Consultas!K393='Parâmetros'!$E$1,2,-5)</f>
        <v>-5</v>
      </c>
      <c r="K393" s="82" t="str">
        <f>IF(Consultas!L393='Parâmetros'!$D$1,"SOLIC CONTRATO DE ENTREGA","N/A")</f>
        <v>N/A</v>
      </c>
      <c r="L393" s="82">
        <f>IF(Consultas!R393='Parâmetros'!$E$1,1,-3)</f>
        <v>-3</v>
      </c>
      <c r="M393" s="82" t="b">
        <f>IF(Consultas!S393&gt;1,(IF(Consultas!S393='Parâmetros'!$E$1,-3,9)))</f>
        <v>0</v>
      </c>
      <c r="N393" s="82">
        <f>IF(Consultas!T393="S",23,0)</f>
        <v>0</v>
      </c>
      <c r="O393" s="82">
        <f>IF(Consultas!U393='Parâmetros'!$E$1,-3,3)</f>
        <v>3</v>
      </c>
      <c r="P393" s="82">
        <f>IF(Consultas!V393='Parâmetros'!$E$1,-100,2)</f>
        <v>2</v>
      </c>
      <c r="Q393" s="82">
        <f>IF(Consultas!M393='Parâmetros'!$D$1,2,-9)</f>
        <v>-9</v>
      </c>
      <c r="R393" s="82">
        <f>IF(Consultas!N393="RJ",-12,0)</f>
        <v>0</v>
      </c>
      <c r="S393" s="82">
        <f>IF(Consultas!O393="-",-3,IF(Consultas!O393=0,-6,IF(Consultas!O393=5,0,IF(Consultas!O393=10,6))))</f>
        <v>-6</v>
      </c>
      <c r="T393" s="82">
        <f>IF(Consultas!M393="S",0,(IF(Consultas!P393="S",6,0)))</f>
        <v>0</v>
      </c>
      <c r="U393" s="82">
        <f>IF(Consultas!Q393&gt;97,9,IF(Consultas!Q393&gt;75,0,-7))</f>
        <v>-7</v>
      </c>
      <c r="V393" s="82">
        <f>IF(Consultas!W393='Parâmetros'!$E$1,1,-5)</f>
        <v>-5</v>
      </c>
      <c r="W393" s="82">
        <f>IF(Consultas!X393="S",3,-3)</f>
        <v>-3</v>
      </c>
      <c r="X393" s="82">
        <f>IF(Consultas!Y393="S",0,-7)</f>
        <v>-7</v>
      </c>
      <c r="Y393" s="82">
        <f>IF(Consultas!Z393='Parâmetros'!$E$1,2,-8)</f>
        <v>-8</v>
      </c>
      <c r="Z393" s="82">
        <f>IF(Consultas!AA393='Parâmetros'!$E$1,-15,1)</f>
        <v>1</v>
      </c>
      <c r="AA393" s="147" t="s">
        <v>140</v>
      </c>
      <c r="AB393" s="82" t="str">
        <f>IF(E393="NA","NA",IF(E393&gt;'Parâmetros'!$A$9,8,IF(E393&gt;'Parâmetros'!$A$8,4,IF(E393&gt;'Parâmetros'!$A$7,0,-6))))</f>
        <v>NA</v>
      </c>
      <c r="AC393" s="82">
        <f>IF(Consultas!AC393='Parâmetros'!$E$1,0,5)</f>
        <v>5</v>
      </c>
      <c r="AD393" s="82">
        <f>IF(Consultas!AH393='Parâmetros'!$D$1,-10,5)</f>
        <v>5</v>
      </c>
      <c r="AE393" s="82">
        <f>IF(Consultas!AI393&gt;(Consultas!F393*2),-10,0)</f>
        <v>0</v>
      </c>
      <c r="AF393" s="82" t="b">
        <f>IF(Consultas!AD393&gt;1,(IF(Consultas!AI393&gt;(Consultas!AD393),-20,4)))</f>
        <v>0</v>
      </c>
      <c r="AG393" s="82">
        <f>IF(Consultas!AG393='Parâmetros'!$E$1,0,-6)</f>
        <v>-6</v>
      </c>
      <c r="AH393" s="82">
        <f>IF(Consultas!AF393='Parâmetros'!$E$1,1,-5)</f>
        <v>-5</v>
      </c>
      <c r="AI393" s="82">
        <f>IF(Consultas!AJ393&gt;700,8,IF(Consultas!AJ393&gt;500,4,IF(Consultas!AJ393&gt;200,-4,IF(Consultas!AJ393&gt;1,-15,-20))))</f>
        <v>-20</v>
      </c>
      <c r="AJ393" s="82">
        <f>IF(Consultas!AD393='Parâmetros'!$E$10,0,IF(Consultas!AD393&gt;'Parâmetros'!$A$30,12,IF(Consultas!AD393&gt;'Parâmetros'!$A$31,6,IF(Consultas!AD393&gt;'Parâmetros'!$A$32,0,IF(Consultas!AD393&gt;'Parâmetros'!$A$33,0,IF(Consultas!AD393&gt;'Parâmetros'!$A$34,-3,IF(Consultas!AD393&gt;'Parâmetros'!$A$35,-7,-1)))))))</f>
        <v>-1</v>
      </c>
      <c r="AK393" s="82">
        <f>IF(Consultas!AO393='Parâmetros'!$D$1,3,-3)</f>
        <v>-3</v>
      </c>
      <c r="AL393" s="82">
        <f>IF(Consultas!AP393='Parâmetros'!$D$1,5,-3)</f>
        <v>-3</v>
      </c>
      <c r="AM393" s="82">
        <f>IF(Consultas!AL393="N",-6,0)</f>
        <v>0</v>
      </c>
      <c r="AN393" s="82">
        <f>IF(Consultas!AM393="N",-10,0)</f>
        <v>0</v>
      </c>
      <c r="AO393" s="82">
        <f>IF(Consultas!AN393="S",4,-2)</f>
        <v>-2</v>
      </c>
      <c r="AP393" s="39"/>
      <c r="AQ393" s="165" t="str">
        <f>IF(Consultas!F393&gt;1,(SUM(F393:AO393)),"N/A")</f>
        <v>N/A</v>
      </c>
      <c r="AR393" s="78">
        <f>IF((Consultas!AD393&gt;'Parâmetros'!$A$31),"X",AJ393+Y393+V393+AC393)</f>
        <v>-9</v>
      </c>
      <c r="AS393" s="78">
        <f>IF((Consultas!AD393&gt;'Parâmetros'!$A$31),"X",(H393+I393+J393+Q393+T393+Y393+Z393+AJ393+AN393))</f>
        <v>-23</v>
      </c>
      <c r="AT393" s="78" t="str">
        <f>IF((Consultas!AD393&lt;'Parâmetros'!$A$31),"X",(AD393+AC393+AB393))</f>
        <v>X</v>
      </c>
      <c r="AU393" s="78">
        <f t="shared" si="1"/>
        <v>-23</v>
      </c>
      <c r="AV393" s="82" t="str">
        <f>IF(AQ393="N/A","N/A",IF(AQ393&gt;5,'Parâmetros'!$A$15,(IF(AU393=AR393,'Parâmetros'!$A$17,IF(AU393=AS393,'Parâmetros'!$A$16,'Parâmetros'!$A$14)))))</f>
        <v>N/A</v>
      </c>
      <c r="AW393" s="86" t="str">
        <f>IF(AQ393="N/A","N/A",IF(AV393='Parâmetros'!$A$15,'Parâmetros'!$C$15,(IF(AV393='Parâmetros'!$A$17,'Parâmetros'!$C$17,IF(AV393='Parâmetros'!$A$16,'Parâmetros'!$C$16,IF(AV393='Parâmetros'!$A$14,'Parâmetros'!$C$12))))))</f>
        <v>N/A</v>
      </c>
      <c r="AX393" s="82" t="b">
        <f>IF(Consultas!F393&gt;1,(IF(Consultas!F393&gt;5000,"SOLICITAR PED COMPRA","N/A")))</f>
        <v>0</v>
      </c>
      <c r="AY393" s="167" t="str">
        <f>IF(AND(Consultas!M393&lt;&gt;"S", Consultas!H393="S"), "CHECAGEM REVERSA", "N/A")</f>
        <v>N/A</v>
      </c>
      <c r="AZ393" s="167" t="str">
        <f>IF(Consultas!U393="N","PRECISA CORRIGIR END DIVERGENTE","N/A")</f>
        <v>N/A</v>
      </c>
    </row>
    <row r="394" ht="12.0" customHeight="1">
      <c r="A394" s="39" t="s">
        <v>90</v>
      </c>
      <c r="B394" s="82" t="str">
        <f>Consultas!B394</f>
        <v/>
      </c>
      <c r="C394" s="82" t="str">
        <f>Consultas!D394</f>
        <v/>
      </c>
      <c r="D394" s="96" t="str">
        <f>Consultas!E394</f>
        <v/>
      </c>
      <c r="E394" s="104" t="str">
        <f>IF(Consultas!AB394&gt;0,YEAR('Parâmetros'!$B$1)-YEAR(Consultas!AB394),"NA")</f>
        <v>NA</v>
      </c>
      <c r="F394" s="82">
        <f>IF(Consultas!F394&gt;'Parâmetros'!$B$2,-8,0)</f>
        <v>0</v>
      </c>
      <c r="G394" s="82">
        <f>IF(Consultas!H394='Parâmetros'!$E$1,100,0)</f>
        <v>0</v>
      </c>
      <c r="H394" s="82">
        <f>IF(Consultas!I394='Parâmetros'!$E$1,-4,12)</f>
        <v>12</v>
      </c>
      <c r="I394" s="82">
        <f>IF(Consultas!J394='Parâmetros'!$E$1,1,-13)</f>
        <v>-13</v>
      </c>
      <c r="J394" s="82">
        <f>IF(Consultas!K394='Parâmetros'!$E$1,2,-5)</f>
        <v>-5</v>
      </c>
      <c r="K394" s="82" t="str">
        <f>IF(Consultas!L394='Parâmetros'!$D$1,"SOLIC CONTRATO DE ENTREGA","N/A")</f>
        <v>N/A</v>
      </c>
      <c r="L394" s="82">
        <f>IF(Consultas!R394='Parâmetros'!$E$1,1,-3)</f>
        <v>-3</v>
      </c>
      <c r="M394" s="82" t="b">
        <f>IF(Consultas!S394&gt;1,(IF(Consultas!S394='Parâmetros'!$E$1,-3,9)))</f>
        <v>0</v>
      </c>
      <c r="N394" s="82">
        <f>IF(Consultas!T394="S",23,0)</f>
        <v>0</v>
      </c>
      <c r="O394" s="82">
        <f>IF(Consultas!U394='Parâmetros'!$E$1,-3,3)</f>
        <v>3</v>
      </c>
      <c r="P394" s="82">
        <f>IF(Consultas!V394='Parâmetros'!$E$1,-100,2)</f>
        <v>2</v>
      </c>
      <c r="Q394" s="82">
        <f>IF(Consultas!M394='Parâmetros'!$D$1,2,-9)</f>
        <v>-9</v>
      </c>
      <c r="R394" s="82">
        <f>IF(Consultas!N394="RJ",-12,0)</f>
        <v>0</v>
      </c>
      <c r="S394" s="82">
        <f>IF(Consultas!O394="-",-3,IF(Consultas!O394=0,-6,IF(Consultas!O394=5,0,IF(Consultas!O394=10,6))))</f>
        <v>-6</v>
      </c>
      <c r="T394" s="82">
        <f>IF(Consultas!M394="S",0,(IF(Consultas!P394="S",6,0)))</f>
        <v>0</v>
      </c>
      <c r="U394" s="82">
        <f>IF(Consultas!Q394&gt;97,9,IF(Consultas!Q394&gt;75,0,-7))</f>
        <v>-7</v>
      </c>
      <c r="V394" s="82">
        <f>IF(Consultas!W394='Parâmetros'!$E$1,1,-5)</f>
        <v>-5</v>
      </c>
      <c r="W394" s="82">
        <f>IF(Consultas!X394="S",3,-3)</f>
        <v>-3</v>
      </c>
      <c r="X394" s="82">
        <f>IF(Consultas!Y394="S",0,-7)</f>
        <v>-7</v>
      </c>
      <c r="Y394" s="82">
        <f>IF(Consultas!Z394='Parâmetros'!$E$1,2,-8)</f>
        <v>-8</v>
      </c>
      <c r="Z394" s="82">
        <f>IF(Consultas!AA394='Parâmetros'!$E$1,-15,1)</f>
        <v>1</v>
      </c>
      <c r="AA394" s="147" t="s">
        <v>140</v>
      </c>
      <c r="AB394" s="82" t="str">
        <f>IF(E394="NA","NA",IF(E394&gt;'Parâmetros'!$A$9,8,IF(E394&gt;'Parâmetros'!$A$8,4,IF(E394&gt;'Parâmetros'!$A$7,0,-6))))</f>
        <v>NA</v>
      </c>
      <c r="AC394" s="82">
        <f>IF(Consultas!AC394='Parâmetros'!$E$1,0,5)</f>
        <v>5</v>
      </c>
      <c r="AD394" s="82">
        <f>IF(Consultas!AH394='Parâmetros'!$D$1,-10,5)</f>
        <v>5</v>
      </c>
      <c r="AE394" s="82">
        <f>IF(Consultas!AI394&gt;(Consultas!F394*2),-10,0)</f>
        <v>0</v>
      </c>
      <c r="AF394" s="82" t="b">
        <f>IF(Consultas!AD394&gt;1,(IF(Consultas!AI394&gt;(Consultas!AD394),-20,4)))</f>
        <v>0</v>
      </c>
      <c r="AG394" s="82">
        <f>IF(Consultas!AG394='Parâmetros'!$E$1,0,-6)</f>
        <v>-6</v>
      </c>
      <c r="AH394" s="82">
        <f>IF(Consultas!AF394='Parâmetros'!$E$1,1,-5)</f>
        <v>-5</v>
      </c>
      <c r="AI394" s="82">
        <f>IF(Consultas!AJ394&gt;700,8,IF(Consultas!AJ394&gt;500,4,IF(Consultas!AJ394&gt;200,-4,IF(Consultas!AJ394&gt;1,-15,-20))))</f>
        <v>-20</v>
      </c>
      <c r="AJ394" s="82">
        <f>IF(Consultas!AD394='Parâmetros'!$E$10,0,IF(Consultas!AD394&gt;'Parâmetros'!$A$30,12,IF(Consultas!AD394&gt;'Parâmetros'!$A$31,6,IF(Consultas!AD394&gt;'Parâmetros'!$A$32,0,IF(Consultas!AD394&gt;'Parâmetros'!$A$33,0,IF(Consultas!AD394&gt;'Parâmetros'!$A$34,-3,IF(Consultas!AD394&gt;'Parâmetros'!$A$35,-7,-1)))))))</f>
        <v>-1</v>
      </c>
      <c r="AK394" s="82">
        <f>IF(Consultas!AO394='Parâmetros'!$D$1,3,-3)</f>
        <v>-3</v>
      </c>
      <c r="AL394" s="82">
        <f>IF(Consultas!AP394='Parâmetros'!$D$1,5,-3)</f>
        <v>-3</v>
      </c>
      <c r="AM394" s="82">
        <f>IF(Consultas!AL394="N",-6,0)</f>
        <v>0</v>
      </c>
      <c r="AN394" s="82">
        <f>IF(Consultas!AM394="N",-10,0)</f>
        <v>0</v>
      </c>
      <c r="AO394" s="82">
        <f>IF(Consultas!AN394="S",4,-2)</f>
        <v>-2</v>
      </c>
      <c r="AP394" s="39"/>
      <c r="AQ394" s="165" t="str">
        <f>IF(Consultas!F394&gt;1,(SUM(F394:AO394)),"N/A")</f>
        <v>N/A</v>
      </c>
      <c r="AR394" s="78">
        <f>IF((Consultas!AD394&gt;'Parâmetros'!$A$31),"X",AJ394+Y394+V394+AC394)</f>
        <v>-9</v>
      </c>
      <c r="AS394" s="78">
        <f>IF((Consultas!AD394&gt;'Parâmetros'!$A$31),"X",(H394+I394+J394+Q394+T394+Y394+Z394+AJ394+AN394))</f>
        <v>-23</v>
      </c>
      <c r="AT394" s="78" t="str">
        <f>IF((Consultas!AD394&lt;'Parâmetros'!$A$31),"X",(AD394+AC394+AB394))</f>
        <v>X</v>
      </c>
      <c r="AU394" s="78">
        <f t="shared" si="1"/>
        <v>-23</v>
      </c>
      <c r="AV394" s="82" t="str">
        <f>IF(AQ394="N/A","N/A",IF(AQ394&gt;5,'Parâmetros'!$A$15,(IF(AU394=AR394,'Parâmetros'!$A$17,IF(AU394=AS394,'Parâmetros'!$A$16,'Parâmetros'!$A$14)))))</f>
        <v>N/A</v>
      </c>
      <c r="AW394" s="86" t="str">
        <f>IF(AQ394="N/A","N/A",IF(AV394='Parâmetros'!$A$15,'Parâmetros'!$C$15,(IF(AV394='Parâmetros'!$A$17,'Parâmetros'!$C$17,IF(AV394='Parâmetros'!$A$16,'Parâmetros'!$C$16,IF(AV394='Parâmetros'!$A$14,'Parâmetros'!$C$12))))))</f>
        <v>N/A</v>
      </c>
      <c r="AX394" s="82" t="b">
        <f>IF(Consultas!F394&gt;1,(IF(Consultas!F394&gt;5000,"SOLICITAR PED COMPRA","N/A")))</f>
        <v>0</v>
      </c>
      <c r="AY394" s="167" t="str">
        <f>IF(AND(Consultas!M394&lt;&gt;"S", Consultas!H394="S"), "CHECAGEM REVERSA", "N/A")</f>
        <v>N/A</v>
      </c>
      <c r="AZ394" s="167" t="str">
        <f>IF(Consultas!U394="N","PRECISA CORRIGIR END DIVERGENTE","N/A")</f>
        <v>N/A</v>
      </c>
    </row>
    <row r="395" ht="12.0" customHeight="1">
      <c r="A395" s="39" t="s">
        <v>90</v>
      </c>
      <c r="B395" s="82" t="str">
        <f>Consultas!B395</f>
        <v/>
      </c>
      <c r="C395" s="82" t="str">
        <f>Consultas!D395</f>
        <v/>
      </c>
      <c r="D395" s="96" t="str">
        <f>Consultas!E395</f>
        <v/>
      </c>
      <c r="E395" s="104" t="str">
        <f>IF(Consultas!AB395&gt;0,YEAR('Parâmetros'!$B$1)-YEAR(Consultas!AB395),"NA")</f>
        <v>NA</v>
      </c>
      <c r="F395" s="82">
        <f>IF(Consultas!F395&gt;'Parâmetros'!$B$2,-8,0)</f>
        <v>0</v>
      </c>
      <c r="G395" s="82">
        <f>IF(Consultas!H395='Parâmetros'!$E$1,100,0)</f>
        <v>0</v>
      </c>
      <c r="H395" s="82">
        <f>IF(Consultas!I395='Parâmetros'!$E$1,-4,12)</f>
        <v>12</v>
      </c>
      <c r="I395" s="82">
        <f>IF(Consultas!J395='Parâmetros'!$E$1,1,-13)</f>
        <v>-13</v>
      </c>
      <c r="J395" s="82">
        <f>IF(Consultas!K395='Parâmetros'!$E$1,2,-5)</f>
        <v>-5</v>
      </c>
      <c r="K395" s="82" t="str">
        <f>IF(Consultas!L395='Parâmetros'!$D$1,"SOLIC CONTRATO DE ENTREGA","N/A")</f>
        <v>N/A</v>
      </c>
      <c r="L395" s="82">
        <f>IF(Consultas!R395='Parâmetros'!$E$1,1,-3)</f>
        <v>-3</v>
      </c>
      <c r="M395" s="82" t="b">
        <f>IF(Consultas!S395&gt;1,(IF(Consultas!S395='Parâmetros'!$E$1,-3,9)))</f>
        <v>0</v>
      </c>
      <c r="N395" s="82">
        <f>IF(Consultas!T395="S",23,0)</f>
        <v>0</v>
      </c>
      <c r="O395" s="82">
        <f>IF(Consultas!U395='Parâmetros'!$E$1,-3,3)</f>
        <v>3</v>
      </c>
      <c r="P395" s="82">
        <f>IF(Consultas!V395='Parâmetros'!$E$1,-100,2)</f>
        <v>2</v>
      </c>
      <c r="Q395" s="82">
        <f>IF(Consultas!M395='Parâmetros'!$D$1,2,-9)</f>
        <v>-9</v>
      </c>
      <c r="R395" s="82">
        <f>IF(Consultas!N395="RJ",-12,0)</f>
        <v>0</v>
      </c>
      <c r="S395" s="82">
        <f>IF(Consultas!O395="-",-3,IF(Consultas!O395=0,-6,IF(Consultas!O395=5,0,IF(Consultas!O395=10,6))))</f>
        <v>-6</v>
      </c>
      <c r="T395" s="82">
        <f>IF(Consultas!M395="S",0,(IF(Consultas!P395="S",6,0)))</f>
        <v>0</v>
      </c>
      <c r="U395" s="82">
        <f>IF(Consultas!Q395&gt;97,9,IF(Consultas!Q395&gt;75,0,-7))</f>
        <v>-7</v>
      </c>
      <c r="V395" s="82">
        <f>IF(Consultas!W395='Parâmetros'!$E$1,1,-5)</f>
        <v>-5</v>
      </c>
      <c r="W395" s="82">
        <f>IF(Consultas!X395="S",3,-3)</f>
        <v>-3</v>
      </c>
      <c r="X395" s="82">
        <f>IF(Consultas!Y395="S",0,-7)</f>
        <v>-7</v>
      </c>
      <c r="Y395" s="82">
        <f>IF(Consultas!Z395='Parâmetros'!$E$1,2,-8)</f>
        <v>-8</v>
      </c>
      <c r="Z395" s="82">
        <f>IF(Consultas!AA395='Parâmetros'!$E$1,-15,1)</f>
        <v>1</v>
      </c>
      <c r="AA395" s="147" t="s">
        <v>140</v>
      </c>
      <c r="AB395" s="82" t="str">
        <f>IF(E395="NA","NA",IF(E395&gt;'Parâmetros'!$A$9,8,IF(E395&gt;'Parâmetros'!$A$8,4,IF(E395&gt;'Parâmetros'!$A$7,0,-6))))</f>
        <v>NA</v>
      </c>
      <c r="AC395" s="82">
        <f>IF(Consultas!AC395='Parâmetros'!$E$1,0,5)</f>
        <v>5</v>
      </c>
      <c r="AD395" s="82">
        <f>IF(Consultas!AH395='Parâmetros'!$D$1,-10,5)</f>
        <v>5</v>
      </c>
      <c r="AE395" s="82">
        <f>IF(Consultas!AI395&gt;(Consultas!F395*2),-10,0)</f>
        <v>0</v>
      </c>
      <c r="AF395" s="82" t="b">
        <f>IF(Consultas!AD395&gt;1,(IF(Consultas!AI395&gt;(Consultas!AD395),-20,4)))</f>
        <v>0</v>
      </c>
      <c r="AG395" s="82">
        <f>IF(Consultas!AG395='Parâmetros'!$E$1,0,-6)</f>
        <v>-6</v>
      </c>
      <c r="AH395" s="82">
        <f>IF(Consultas!AF395='Parâmetros'!$E$1,1,-5)</f>
        <v>-5</v>
      </c>
      <c r="AI395" s="82">
        <f>IF(Consultas!AJ395&gt;700,8,IF(Consultas!AJ395&gt;500,4,IF(Consultas!AJ395&gt;200,-4,IF(Consultas!AJ395&gt;1,-15,-20))))</f>
        <v>-20</v>
      </c>
      <c r="AJ395" s="82">
        <f>IF(Consultas!AD395='Parâmetros'!$E$10,0,IF(Consultas!AD395&gt;'Parâmetros'!$A$30,12,IF(Consultas!AD395&gt;'Parâmetros'!$A$31,6,IF(Consultas!AD395&gt;'Parâmetros'!$A$32,0,IF(Consultas!AD395&gt;'Parâmetros'!$A$33,0,IF(Consultas!AD395&gt;'Parâmetros'!$A$34,-3,IF(Consultas!AD395&gt;'Parâmetros'!$A$35,-7,-1)))))))</f>
        <v>-1</v>
      </c>
      <c r="AK395" s="82">
        <f>IF(Consultas!AO395='Parâmetros'!$D$1,3,-3)</f>
        <v>-3</v>
      </c>
      <c r="AL395" s="82">
        <f>IF(Consultas!AP395='Parâmetros'!$D$1,5,-3)</f>
        <v>-3</v>
      </c>
      <c r="AM395" s="82">
        <f>IF(Consultas!AL395="N",-6,0)</f>
        <v>0</v>
      </c>
      <c r="AN395" s="82">
        <f>IF(Consultas!AM395="N",-10,0)</f>
        <v>0</v>
      </c>
      <c r="AO395" s="82">
        <f>IF(Consultas!AN395="S",4,-2)</f>
        <v>-2</v>
      </c>
      <c r="AP395" s="39"/>
      <c r="AQ395" s="165" t="str">
        <f>IF(Consultas!F395&gt;1,(SUM(F395:AO395)),"N/A")</f>
        <v>N/A</v>
      </c>
      <c r="AR395" s="78">
        <f>IF((Consultas!AD395&gt;'Parâmetros'!$A$31),"X",AJ395+Y395+V395+AC395)</f>
        <v>-9</v>
      </c>
      <c r="AS395" s="78">
        <f>IF((Consultas!AD395&gt;'Parâmetros'!$A$31),"X",(H395+I395+J395+Q395+T395+Y395+Z395+AJ395+AN395))</f>
        <v>-23</v>
      </c>
      <c r="AT395" s="78" t="str">
        <f>IF((Consultas!AD395&lt;'Parâmetros'!$A$31),"X",(AD395+AC395+AB395))</f>
        <v>X</v>
      </c>
      <c r="AU395" s="78">
        <f t="shared" si="1"/>
        <v>-23</v>
      </c>
      <c r="AV395" s="82" t="str">
        <f>IF(AQ395="N/A","N/A",IF(AQ395&gt;5,'Parâmetros'!$A$15,(IF(AU395=AR395,'Parâmetros'!$A$17,IF(AU395=AS395,'Parâmetros'!$A$16,'Parâmetros'!$A$14)))))</f>
        <v>N/A</v>
      </c>
      <c r="AW395" s="86" t="str">
        <f>IF(AQ395="N/A","N/A",IF(AV395='Parâmetros'!$A$15,'Parâmetros'!$C$15,(IF(AV395='Parâmetros'!$A$17,'Parâmetros'!$C$17,IF(AV395='Parâmetros'!$A$16,'Parâmetros'!$C$16,IF(AV395='Parâmetros'!$A$14,'Parâmetros'!$C$12))))))</f>
        <v>N/A</v>
      </c>
      <c r="AX395" s="82" t="b">
        <f>IF(Consultas!F395&gt;1,(IF(Consultas!F395&gt;5000,"SOLICITAR PED COMPRA","N/A")))</f>
        <v>0</v>
      </c>
      <c r="AY395" s="167" t="str">
        <f>IF(AND(Consultas!M395&lt;&gt;"S", Consultas!H395="S"), "CHECAGEM REVERSA", "N/A")</f>
        <v>N/A</v>
      </c>
      <c r="AZ395" s="167" t="str">
        <f>IF(Consultas!U395="N","PRECISA CORRIGIR END DIVERGENTE","N/A")</f>
        <v>N/A</v>
      </c>
    </row>
    <row r="396" ht="12.0" customHeight="1">
      <c r="A396" s="39" t="s">
        <v>90</v>
      </c>
      <c r="B396" s="82" t="str">
        <f>Consultas!B396</f>
        <v/>
      </c>
      <c r="C396" s="82" t="str">
        <f>Consultas!D396</f>
        <v/>
      </c>
      <c r="D396" s="96" t="str">
        <f>Consultas!E396</f>
        <v/>
      </c>
      <c r="E396" s="104" t="str">
        <f>IF(Consultas!AB396&gt;0,YEAR('Parâmetros'!$B$1)-YEAR(Consultas!AB396),"NA")</f>
        <v>NA</v>
      </c>
      <c r="F396" s="82">
        <f>IF(Consultas!F396&gt;'Parâmetros'!$B$2,-8,0)</f>
        <v>0</v>
      </c>
      <c r="G396" s="82">
        <f>IF(Consultas!H396='Parâmetros'!$E$1,100,0)</f>
        <v>0</v>
      </c>
      <c r="H396" s="82">
        <f>IF(Consultas!I396='Parâmetros'!$E$1,-4,12)</f>
        <v>12</v>
      </c>
      <c r="I396" s="82">
        <f>IF(Consultas!J396='Parâmetros'!$E$1,1,-13)</f>
        <v>-13</v>
      </c>
      <c r="J396" s="82">
        <f>IF(Consultas!K396='Parâmetros'!$E$1,2,-5)</f>
        <v>-5</v>
      </c>
      <c r="K396" s="82" t="str">
        <f>IF(Consultas!L396='Parâmetros'!$D$1,"SOLIC CONTRATO DE ENTREGA","N/A")</f>
        <v>N/A</v>
      </c>
      <c r="L396" s="82">
        <f>IF(Consultas!R396='Parâmetros'!$E$1,1,-3)</f>
        <v>-3</v>
      </c>
      <c r="M396" s="82" t="b">
        <f>IF(Consultas!S396&gt;1,(IF(Consultas!S396='Parâmetros'!$E$1,-3,9)))</f>
        <v>0</v>
      </c>
      <c r="N396" s="82">
        <f>IF(Consultas!T396="S",23,0)</f>
        <v>0</v>
      </c>
      <c r="O396" s="82">
        <f>IF(Consultas!U396='Parâmetros'!$E$1,-3,3)</f>
        <v>3</v>
      </c>
      <c r="P396" s="82">
        <f>IF(Consultas!V396='Parâmetros'!$E$1,-100,2)</f>
        <v>2</v>
      </c>
      <c r="Q396" s="82">
        <f>IF(Consultas!M396='Parâmetros'!$D$1,2,-9)</f>
        <v>-9</v>
      </c>
      <c r="R396" s="82">
        <f>IF(Consultas!N396="RJ",-12,0)</f>
        <v>0</v>
      </c>
      <c r="S396" s="82">
        <f>IF(Consultas!O396="-",-3,IF(Consultas!O396=0,-6,IF(Consultas!O396=5,0,IF(Consultas!O396=10,6))))</f>
        <v>-6</v>
      </c>
      <c r="T396" s="82">
        <f>IF(Consultas!M396="S",0,(IF(Consultas!P396="S",6,0)))</f>
        <v>0</v>
      </c>
      <c r="U396" s="82">
        <f>IF(Consultas!Q396&gt;97,9,IF(Consultas!Q396&gt;75,0,-7))</f>
        <v>-7</v>
      </c>
      <c r="V396" s="82">
        <f>IF(Consultas!W396='Parâmetros'!$E$1,1,-5)</f>
        <v>-5</v>
      </c>
      <c r="W396" s="82">
        <f>IF(Consultas!X396="S",3,-3)</f>
        <v>-3</v>
      </c>
      <c r="X396" s="82">
        <f>IF(Consultas!Y396="S",0,-7)</f>
        <v>-7</v>
      </c>
      <c r="Y396" s="82">
        <f>IF(Consultas!Z396='Parâmetros'!$E$1,2,-8)</f>
        <v>-8</v>
      </c>
      <c r="Z396" s="82">
        <f>IF(Consultas!AA396='Parâmetros'!$E$1,-15,1)</f>
        <v>1</v>
      </c>
      <c r="AA396" s="147" t="s">
        <v>140</v>
      </c>
      <c r="AB396" s="82" t="str">
        <f>IF(E396="NA","NA",IF(E396&gt;'Parâmetros'!$A$9,8,IF(E396&gt;'Parâmetros'!$A$8,4,IF(E396&gt;'Parâmetros'!$A$7,0,-6))))</f>
        <v>NA</v>
      </c>
      <c r="AC396" s="82">
        <f>IF(Consultas!AC396='Parâmetros'!$E$1,0,5)</f>
        <v>5</v>
      </c>
      <c r="AD396" s="82">
        <f>IF(Consultas!AH396='Parâmetros'!$D$1,-10,5)</f>
        <v>5</v>
      </c>
      <c r="AE396" s="82">
        <f>IF(Consultas!AI396&gt;(Consultas!F396*2),-10,0)</f>
        <v>0</v>
      </c>
      <c r="AF396" s="82" t="b">
        <f>IF(Consultas!AD396&gt;1,(IF(Consultas!AI396&gt;(Consultas!AD396),-20,4)))</f>
        <v>0</v>
      </c>
      <c r="AG396" s="82">
        <f>IF(Consultas!AG396='Parâmetros'!$E$1,0,-6)</f>
        <v>-6</v>
      </c>
      <c r="AH396" s="82">
        <f>IF(Consultas!AF396='Parâmetros'!$E$1,1,-5)</f>
        <v>-5</v>
      </c>
      <c r="AI396" s="82">
        <f>IF(Consultas!AJ396&gt;700,8,IF(Consultas!AJ396&gt;500,4,IF(Consultas!AJ396&gt;200,-4,IF(Consultas!AJ396&gt;1,-15,-20))))</f>
        <v>-20</v>
      </c>
      <c r="AJ396" s="82">
        <f>IF(Consultas!AD396='Parâmetros'!$E$10,0,IF(Consultas!AD396&gt;'Parâmetros'!$A$30,12,IF(Consultas!AD396&gt;'Parâmetros'!$A$31,6,IF(Consultas!AD396&gt;'Parâmetros'!$A$32,0,IF(Consultas!AD396&gt;'Parâmetros'!$A$33,0,IF(Consultas!AD396&gt;'Parâmetros'!$A$34,-3,IF(Consultas!AD396&gt;'Parâmetros'!$A$35,-7,-1)))))))</f>
        <v>-1</v>
      </c>
      <c r="AK396" s="82">
        <f>IF(Consultas!AO396='Parâmetros'!$D$1,3,-3)</f>
        <v>-3</v>
      </c>
      <c r="AL396" s="82">
        <f>IF(Consultas!AP396='Parâmetros'!$D$1,5,-3)</f>
        <v>-3</v>
      </c>
      <c r="AM396" s="82">
        <f>IF(Consultas!AL396="N",-6,0)</f>
        <v>0</v>
      </c>
      <c r="AN396" s="82">
        <f>IF(Consultas!AM396="N",-10,0)</f>
        <v>0</v>
      </c>
      <c r="AO396" s="82">
        <f>IF(Consultas!AN396="S",4,-2)</f>
        <v>-2</v>
      </c>
      <c r="AP396" s="39"/>
      <c r="AQ396" s="165" t="str">
        <f>IF(Consultas!F396&gt;1,(SUM(F396:AO396)),"N/A")</f>
        <v>N/A</v>
      </c>
      <c r="AR396" s="78">
        <f>IF((Consultas!AD396&gt;'Parâmetros'!$A$31),"X",AJ396+Y396+V396+AC396)</f>
        <v>-9</v>
      </c>
      <c r="AS396" s="78">
        <f>IF((Consultas!AD396&gt;'Parâmetros'!$A$31),"X",(H396+I396+J396+Q396+T396+Y396+Z396+AJ396+AN396))</f>
        <v>-23</v>
      </c>
      <c r="AT396" s="78" t="str">
        <f>IF((Consultas!AD396&lt;'Parâmetros'!$A$31),"X",(AD396+AC396+AB396))</f>
        <v>X</v>
      </c>
      <c r="AU396" s="78">
        <f t="shared" si="1"/>
        <v>-23</v>
      </c>
      <c r="AV396" s="82" t="str">
        <f>IF(AQ396="N/A","N/A",IF(AQ396&gt;5,'Parâmetros'!$A$15,(IF(AU396=AR396,'Parâmetros'!$A$17,IF(AU396=AS396,'Parâmetros'!$A$16,'Parâmetros'!$A$14)))))</f>
        <v>N/A</v>
      </c>
      <c r="AW396" s="86" t="str">
        <f>IF(AQ396="N/A","N/A",IF(AV396='Parâmetros'!$A$15,'Parâmetros'!$C$15,(IF(AV396='Parâmetros'!$A$17,'Parâmetros'!$C$17,IF(AV396='Parâmetros'!$A$16,'Parâmetros'!$C$16,IF(AV396='Parâmetros'!$A$14,'Parâmetros'!$C$12))))))</f>
        <v>N/A</v>
      </c>
      <c r="AX396" s="82" t="b">
        <f>IF(Consultas!F396&gt;1,(IF(Consultas!F396&gt;5000,"SOLICITAR PED COMPRA","N/A")))</f>
        <v>0</v>
      </c>
      <c r="AY396" s="167" t="str">
        <f>IF(AND(Consultas!M396&lt;&gt;"S", Consultas!H396="S"), "CHECAGEM REVERSA", "N/A")</f>
        <v>N/A</v>
      </c>
      <c r="AZ396" s="167" t="str">
        <f>IF(Consultas!U396="N","PRECISA CORRIGIR END DIVERGENTE","N/A")</f>
        <v>N/A</v>
      </c>
    </row>
    <row r="397" ht="12.0" customHeight="1">
      <c r="A397" s="39" t="s">
        <v>90</v>
      </c>
      <c r="B397" s="82" t="str">
        <f>Consultas!B397</f>
        <v/>
      </c>
      <c r="C397" s="82" t="str">
        <f>Consultas!D397</f>
        <v/>
      </c>
      <c r="D397" s="96" t="str">
        <f>Consultas!E397</f>
        <v/>
      </c>
      <c r="E397" s="104" t="str">
        <f>IF(Consultas!AB397&gt;0,YEAR('Parâmetros'!$B$1)-YEAR(Consultas!AB397),"NA")</f>
        <v>NA</v>
      </c>
      <c r="F397" s="82">
        <f>IF(Consultas!F397&gt;'Parâmetros'!$B$2,-8,0)</f>
        <v>0</v>
      </c>
      <c r="G397" s="82">
        <f>IF(Consultas!H397='Parâmetros'!$E$1,100,0)</f>
        <v>0</v>
      </c>
      <c r="H397" s="82">
        <f>IF(Consultas!I397='Parâmetros'!$E$1,-4,12)</f>
        <v>12</v>
      </c>
      <c r="I397" s="82">
        <f>IF(Consultas!J397='Parâmetros'!$E$1,1,-13)</f>
        <v>-13</v>
      </c>
      <c r="J397" s="82">
        <f>IF(Consultas!K397='Parâmetros'!$E$1,2,-5)</f>
        <v>-5</v>
      </c>
      <c r="K397" s="82" t="str">
        <f>IF(Consultas!L397='Parâmetros'!$D$1,"SOLIC CONTRATO DE ENTREGA","N/A")</f>
        <v>N/A</v>
      </c>
      <c r="L397" s="82">
        <f>IF(Consultas!R397='Parâmetros'!$E$1,1,-3)</f>
        <v>-3</v>
      </c>
      <c r="M397" s="82" t="b">
        <f>IF(Consultas!S397&gt;1,(IF(Consultas!S397='Parâmetros'!$E$1,-3,9)))</f>
        <v>0</v>
      </c>
      <c r="N397" s="82">
        <f>IF(Consultas!T397="S",23,0)</f>
        <v>0</v>
      </c>
      <c r="O397" s="82">
        <f>IF(Consultas!U397='Parâmetros'!$E$1,-3,3)</f>
        <v>3</v>
      </c>
      <c r="P397" s="82">
        <f>IF(Consultas!V397='Parâmetros'!$E$1,-100,2)</f>
        <v>2</v>
      </c>
      <c r="Q397" s="82">
        <f>IF(Consultas!M397='Parâmetros'!$D$1,2,-9)</f>
        <v>-9</v>
      </c>
      <c r="R397" s="82">
        <f>IF(Consultas!N397="RJ",-12,0)</f>
        <v>0</v>
      </c>
      <c r="S397" s="82">
        <f>IF(Consultas!O397="-",-3,IF(Consultas!O397=0,-6,IF(Consultas!O397=5,0,IF(Consultas!O397=10,6))))</f>
        <v>-6</v>
      </c>
      <c r="T397" s="82">
        <f>IF(Consultas!M397="S",0,(IF(Consultas!P397="S",6,0)))</f>
        <v>0</v>
      </c>
      <c r="U397" s="82">
        <f>IF(Consultas!Q397&gt;97,9,IF(Consultas!Q397&gt;75,0,-7))</f>
        <v>-7</v>
      </c>
      <c r="V397" s="82">
        <f>IF(Consultas!W397='Parâmetros'!$E$1,1,-5)</f>
        <v>-5</v>
      </c>
      <c r="W397" s="82">
        <f>IF(Consultas!X397="S",3,-3)</f>
        <v>-3</v>
      </c>
      <c r="X397" s="82">
        <f>IF(Consultas!Y397="S",0,-7)</f>
        <v>-7</v>
      </c>
      <c r="Y397" s="82">
        <f>IF(Consultas!Z397='Parâmetros'!$E$1,2,-8)</f>
        <v>-8</v>
      </c>
      <c r="Z397" s="82">
        <f>IF(Consultas!AA397='Parâmetros'!$E$1,-15,1)</f>
        <v>1</v>
      </c>
      <c r="AA397" s="147" t="s">
        <v>140</v>
      </c>
      <c r="AB397" s="82" t="str">
        <f>IF(E397="NA","NA",IF(E397&gt;'Parâmetros'!$A$9,8,IF(E397&gt;'Parâmetros'!$A$8,4,IF(E397&gt;'Parâmetros'!$A$7,0,-6))))</f>
        <v>NA</v>
      </c>
      <c r="AC397" s="82">
        <f>IF(Consultas!AC397='Parâmetros'!$E$1,0,5)</f>
        <v>5</v>
      </c>
      <c r="AD397" s="82">
        <f>IF(Consultas!AH397='Parâmetros'!$D$1,-10,5)</f>
        <v>5</v>
      </c>
      <c r="AE397" s="82">
        <f>IF(Consultas!AI397&gt;(Consultas!F397*2),-10,0)</f>
        <v>0</v>
      </c>
      <c r="AF397" s="82" t="b">
        <f>IF(Consultas!AD397&gt;1,(IF(Consultas!AI397&gt;(Consultas!AD397),-20,4)))</f>
        <v>0</v>
      </c>
      <c r="AG397" s="82">
        <f>IF(Consultas!AG397='Parâmetros'!$E$1,0,-6)</f>
        <v>-6</v>
      </c>
      <c r="AH397" s="82">
        <f>IF(Consultas!AF397='Parâmetros'!$E$1,1,-5)</f>
        <v>-5</v>
      </c>
      <c r="AI397" s="82">
        <f>IF(Consultas!AJ397&gt;700,8,IF(Consultas!AJ397&gt;500,4,IF(Consultas!AJ397&gt;200,-4,IF(Consultas!AJ397&gt;1,-15,-20))))</f>
        <v>-20</v>
      </c>
      <c r="AJ397" s="82">
        <f>IF(Consultas!AD397='Parâmetros'!$E$10,0,IF(Consultas!AD397&gt;'Parâmetros'!$A$30,12,IF(Consultas!AD397&gt;'Parâmetros'!$A$31,6,IF(Consultas!AD397&gt;'Parâmetros'!$A$32,0,IF(Consultas!AD397&gt;'Parâmetros'!$A$33,0,IF(Consultas!AD397&gt;'Parâmetros'!$A$34,-3,IF(Consultas!AD397&gt;'Parâmetros'!$A$35,-7,-1)))))))</f>
        <v>-1</v>
      </c>
      <c r="AK397" s="82">
        <f>IF(Consultas!AO397='Parâmetros'!$D$1,3,-3)</f>
        <v>-3</v>
      </c>
      <c r="AL397" s="82">
        <f>IF(Consultas!AP397='Parâmetros'!$D$1,5,-3)</f>
        <v>-3</v>
      </c>
      <c r="AM397" s="82">
        <f>IF(Consultas!AL397="N",-6,0)</f>
        <v>0</v>
      </c>
      <c r="AN397" s="82">
        <f>IF(Consultas!AM397="N",-10,0)</f>
        <v>0</v>
      </c>
      <c r="AO397" s="82">
        <f>IF(Consultas!AN397="S",4,-2)</f>
        <v>-2</v>
      </c>
      <c r="AP397" s="39"/>
      <c r="AQ397" s="165" t="str">
        <f>IF(Consultas!F397&gt;1,(SUM(F397:AO397)),"N/A")</f>
        <v>N/A</v>
      </c>
      <c r="AR397" s="78">
        <f>IF((Consultas!AD397&gt;'Parâmetros'!$A$31),"X",AJ397+Y397+V397+AC397)</f>
        <v>-9</v>
      </c>
      <c r="AS397" s="78">
        <f>IF((Consultas!AD397&gt;'Parâmetros'!$A$31),"X",(H397+I397+J397+Q397+T397+Y397+Z397+AJ397+AN397))</f>
        <v>-23</v>
      </c>
      <c r="AT397" s="78" t="str">
        <f>IF((Consultas!AD397&lt;'Parâmetros'!$A$31),"X",(AD397+AC397+AB397))</f>
        <v>X</v>
      </c>
      <c r="AU397" s="78">
        <f t="shared" si="1"/>
        <v>-23</v>
      </c>
      <c r="AV397" s="82" t="str">
        <f>IF(AQ397="N/A","N/A",IF(AQ397&gt;5,'Parâmetros'!$A$15,(IF(AU397=AR397,'Parâmetros'!$A$17,IF(AU397=AS397,'Parâmetros'!$A$16,'Parâmetros'!$A$14)))))</f>
        <v>N/A</v>
      </c>
      <c r="AW397" s="86" t="str">
        <f>IF(AQ397="N/A","N/A",IF(AV397='Parâmetros'!$A$15,'Parâmetros'!$C$15,(IF(AV397='Parâmetros'!$A$17,'Parâmetros'!$C$17,IF(AV397='Parâmetros'!$A$16,'Parâmetros'!$C$16,IF(AV397='Parâmetros'!$A$14,'Parâmetros'!$C$12))))))</f>
        <v>N/A</v>
      </c>
      <c r="AX397" s="82" t="b">
        <f>IF(Consultas!F397&gt;1,(IF(Consultas!F397&gt;5000,"SOLICITAR PED COMPRA","N/A")))</f>
        <v>0</v>
      </c>
      <c r="AY397" s="167" t="str">
        <f>IF(AND(Consultas!M397&lt;&gt;"S", Consultas!H397="S"), "CHECAGEM REVERSA", "N/A")</f>
        <v>N/A</v>
      </c>
      <c r="AZ397" s="167" t="str">
        <f>IF(Consultas!U397="N","PRECISA CORRIGIR END DIVERGENTE","N/A")</f>
        <v>N/A</v>
      </c>
    </row>
    <row r="398" ht="12.0" customHeight="1">
      <c r="A398" s="39" t="s">
        <v>90</v>
      </c>
      <c r="B398" s="82" t="str">
        <f>Consultas!B398</f>
        <v/>
      </c>
      <c r="C398" s="82" t="str">
        <f>Consultas!D398</f>
        <v/>
      </c>
      <c r="D398" s="96" t="str">
        <f>Consultas!E398</f>
        <v/>
      </c>
      <c r="E398" s="104" t="str">
        <f>IF(Consultas!AB398&gt;0,YEAR('Parâmetros'!$B$1)-YEAR(Consultas!AB398),"NA")</f>
        <v>NA</v>
      </c>
      <c r="F398" s="82">
        <f>IF(Consultas!F398&gt;'Parâmetros'!$B$2,-8,0)</f>
        <v>0</v>
      </c>
      <c r="G398" s="82">
        <f>IF(Consultas!H398='Parâmetros'!$E$1,100,0)</f>
        <v>0</v>
      </c>
      <c r="H398" s="82">
        <f>IF(Consultas!I398='Parâmetros'!$E$1,-4,12)</f>
        <v>12</v>
      </c>
      <c r="I398" s="82">
        <f>IF(Consultas!J398='Parâmetros'!$E$1,1,-13)</f>
        <v>-13</v>
      </c>
      <c r="J398" s="82">
        <f>IF(Consultas!K398='Parâmetros'!$E$1,2,-5)</f>
        <v>-5</v>
      </c>
      <c r="K398" s="82" t="str">
        <f>IF(Consultas!L398='Parâmetros'!$D$1,"SOLIC CONTRATO DE ENTREGA","N/A")</f>
        <v>N/A</v>
      </c>
      <c r="L398" s="82">
        <f>IF(Consultas!R398='Parâmetros'!$E$1,1,-3)</f>
        <v>-3</v>
      </c>
      <c r="M398" s="82" t="b">
        <f>IF(Consultas!S398&gt;1,(IF(Consultas!S398='Parâmetros'!$E$1,-3,9)))</f>
        <v>0</v>
      </c>
      <c r="N398" s="82">
        <f>IF(Consultas!T398="S",23,0)</f>
        <v>0</v>
      </c>
      <c r="O398" s="82">
        <f>IF(Consultas!U398='Parâmetros'!$E$1,-3,3)</f>
        <v>3</v>
      </c>
      <c r="P398" s="82">
        <f>IF(Consultas!V398='Parâmetros'!$E$1,-100,2)</f>
        <v>2</v>
      </c>
      <c r="Q398" s="82">
        <f>IF(Consultas!M398='Parâmetros'!$D$1,2,-9)</f>
        <v>-9</v>
      </c>
      <c r="R398" s="82">
        <f>IF(Consultas!N398="RJ",-12,0)</f>
        <v>0</v>
      </c>
      <c r="S398" s="82">
        <f>IF(Consultas!O398="-",-3,IF(Consultas!O398=0,-6,IF(Consultas!O398=5,0,IF(Consultas!O398=10,6))))</f>
        <v>-6</v>
      </c>
      <c r="T398" s="82">
        <f>IF(Consultas!M398="S",0,(IF(Consultas!P398="S",6,0)))</f>
        <v>0</v>
      </c>
      <c r="U398" s="82">
        <f>IF(Consultas!Q398&gt;97,9,IF(Consultas!Q398&gt;75,0,-7))</f>
        <v>-7</v>
      </c>
      <c r="V398" s="82">
        <f>IF(Consultas!W398='Parâmetros'!$E$1,1,-5)</f>
        <v>-5</v>
      </c>
      <c r="W398" s="82">
        <f>IF(Consultas!X398="S",3,-3)</f>
        <v>-3</v>
      </c>
      <c r="X398" s="82">
        <f>IF(Consultas!Y398="S",0,-7)</f>
        <v>-7</v>
      </c>
      <c r="Y398" s="82">
        <f>IF(Consultas!Z398='Parâmetros'!$E$1,2,-8)</f>
        <v>-8</v>
      </c>
      <c r="Z398" s="82">
        <f>IF(Consultas!AA398='Parâmetros'!$E$1,-15,1)</f>
        <v>1</v>
      </c>
      <c r="AA398" s="147" t="s">
        <v>140</v>
      </c>
      <c r="AB398" s="82" t="str">
        <f>IF(E398="NA","NA",IF(E398&gt;'Parâmetros'!$A$9,8,IF(E398&gt;'Parâmetros'!$A$8,4,IF(E398&gt;'Parâmetros'!$A$7,0,-6))))</f>
        <v>NA</v>
      </c>
      <c r="AC398" s="82">
        <f>IF(Consultas!AC398='Parâmetros'!$E$1,0,5)</f>
        <v>5</v>
      </c>
      <c r="AD398" s="82">
        <f>IF(Consultas!AH398='Parâmetros'!$D$1,-10,5)</f>
        <v>5</v>
      </c>
      <c r="AE398" s="82">
        <f>IF(Consultas!AI398&gt;(Consultas!F398*2),-10,0)</f>
        <v>0</v>
      </c>
      <c r="AF398" s="82" t="b">
        <f>IF(Consultas!AD398&gt;1,(IF(Consultas!AI398&gt;(Consultas!AD398),-20,4)))</f>
        <v>0</v>
      </c>
      <c r="AG398" s="82">
        <f>IF(Consultas!AG398='Parâmetros'!$E$1,0,-6)</f>
        <v>-6</v>
      </c>
      <c r="AH398" s="82">
        <f>IF(Consultas!AF398='Parâmetros'!$E$1,1,-5)</f>
        <v>-5</v>
      </c>
      <c r="AI398" s="82">
        <f>IF(Consultas!AJ398&gt;700,8,IF(Consultas!AJ398&gt;500,4,IF(Consultas!AJ398&gt;200,-4,IF(Consultas!AJ398&gt;1,-15,-20))))</f>
        <v>-20</v>
      </c>
      <c r="AJ398" s="82">
        <f>IF(Consultas!AD398='Parâmetros'!$E$10,0,IF(Consultas!AD398&gt;'Parâmetros'!$A$30,12,IF(Consultas!AD398&gt;'Parâmetros'!$A$31,6,IF(Consultas!AD398&gt;'Parâmetros'!$A$32,0,IF(Consultas!AD398&gt;'Parâmetros'!$A$33,0,IF(Consultas!AD398&gt;'Parâmetros'!$A$34,-3,IF(Consultas!AD398&gt;'Parâmetros'!$A$35,-7,-1)))))))</f>
        <v>-1</v>
      </c>
      <c r="AK398" s="82">
        <f>IF(Consultas!AO398='Parâmetros'!$D$1,3,-3)</f>
        <v>-3</v>
      </c>
      <c r="AL398" s="82">
        <f>IF(Consultas!AP398='Parâmetros'!$D$1,5,-3)</f>
        <v>-3</v>
      </c>
      <c r="AM398" s="82">
        <f>IF(Consultas!AL398="N",-6,0)</f>
        <v>0</v>
      </c>
      <c r="AN398" s="82">
        <f>IF(Consultas!AM398="N",-10,0)</f>
        <v>0</v>
      </c>
      <c r="AO398" s="82">
        <f>IF(Consultas!AN398="S",4,-2)</f>
        <v>-2</v>
      </c>
      <c r="AP398" s="39"/>
      <c r="AQ398" s="165" t="str">
        <f>IF(Consultas!F398&gt;1,(SUM(F398:AO398)),"N/A")</f>
        <v>N/A</v>
      </c>
      <c r="AR398" s="78">
        <f>IF((Consultas!AD398&gt;'Parâmetros'!$A$31),"X",AJ398+Y398+V398+AC398)</f>
        <v>-9</v>
      </c>
      <c r="AS398" s="78">
        <f>IF((Consultas!AD398&gt;'Parâmetros'!$A$31),"X",(H398+I398+J398+Q398+T398+Y398+Z398+AJ398+AN398))</f>
        <v>-23</v>
      </c>
      <c r="AT398" s="78" t="str">
        <f>IF((Consultas!AD398&lt;'Parâmetros'!$A$31),"X",(AD398+AC398+AB398))</f>
        <v>X</v>
      </c>
      <c r="AU398" s="78">
        <f t="shared" si="1"/>
        <v>-23</v>
      </c>
      <c r="AV398" s="82" t="str">
        <f>IF(AQ398="N/A","N/A",IF(AQ398&gt;5,'Parâmetros'!$A$15,(IF(AU398=AR398,'Parâmetros'!$A$17,IF(AU398=AS398,'Parâmetros'!$A$16,'Parâmetros'!$A$14)))))</f>
        <v>N/A</v>
      </c>
      <c r="AW398" s="86" t="str">
        <f>IF(AQ398="N/A","N/A",IF(AV398='Parâmetros'!$A$15,'Parâmetros'!$C$15,(IF(AV398='Parâmetros'!$A$17,'Parâmetros'!$C$17,IF(AV398='Parâmetros'!$A$16,'Parâmetros'!$C$16,IF(AV398='Parâmetros'!$A$14,'Parâmetros'!$C$12))))))</f>
        <v>N/A</v>
      </c>
      <c r="AX398" s="82" t="b">
        <f>IF(Consultas!F398&gt;1,(IF(Consultas!F398&gt;5000,"SOLICITAR PED COMPRA","N/A")))</f>
        <v>0</v>
      </c>
      <c r="AY398" s="167" t="str">
        <f>IF(AND(Consultas!M398&lt;&gt;"S", Consultas!H398="S"), "CHECAGEM REVERSA", "N/A")</f>
        <v>N/A</v>
      </c>
      <c r="AZ398" s="167" t="str">
        <f>IF(Consultas!U398="N","PRECISA CORRIGIR END DIVERGENTE","N/A")</f>
        <v>N/A</v>
      </c>
    </row>
    <row r="399" ht="12.0" customHeight="1">
      <c r="A399" s="39" t="s">
        <v>90</v>
      </c>
      <c r="B399" s="82" t="str">
        <f>Consultas!B399</f>
        <v/>
      </c>
      <c r="C399" s="82" t="str">
        <f>Consultas!D399</f>
        <v/>
      </c>
      <c r="D399" s="96" t="str">
        <f>Consultas!E399</f>
        <v/>
      </c>
      <c r="E399" s="104" t="str">
        <f>IF(Consultas!AB399&gt;0,YEAR('Parâmetros'!$B$1)-YEAR(Consultas!AB399),"NA")</f>
        <v>NA</v>
      </c>
      <c r="F399" s="82">
        <f>IF(Consultas!F399&gt;'Parâmetros'!$B$2,-8,0)</f>
        <v>0</v>
      </c>
      <c r="G399" s="82">
        <f>IF(Consultas!H399='Parâmetros'!$E$1,100,0)</f>
        <v>0</v>
      </c>
      <c r="H399" s="82">
        <f>IF(Consultas!I399='Parâmetros'!$E$1,-4,12)</f>
        <v>12</v>
      </c>
      <c r="I399" s="82">
        <f>IF(Consultas!J399='Parâmetros'!$E$1,1,-13)</f>
        <v>-13</v>
      </c>
      <c r="J399" s="82">
        <f>IF(Consultas!K399='Parâmetros'!$E$1,2,-5)</f>
        <v>-5</v>
      </c>
      <c r="K399" s="82" t="str">
        <f>IF(Consultas!L399='Parâmetros'!$D$1,"SOLIC CONTRATO DE ENTREGA","N/A")</f>
        <v>N/A</v>
      </c>
      <c r="L399" s="82">
        <f>IF(Consultas!R399='Parâmetros'!$E$1,1,-3)</f>
        <v>-3</v>
      </c>
      <c r="M399" s="82" t="b">
        <f>IF(Consultas!S399&gt;1,(IF(Consultas!S399='Parâmetros'!$E$1,-3,9)))</f>
        <v>0</v>
      </c>
      <c r="N399" s="82">
        <f>IF(Consultas!T399="S",23,0)</f>
        <v>0</v>
      </c>
      <c r="O399" s="82">
        <f>IF(Consultas!U399='Parâmetros'!$E$1,-3,3)</f>
        <v>3</v>
      </c>
      <c r="P399" s="82">
        <f>IF(Consultas!V399='Parâmetros'!$E$1,-100,2)</f>
        <v>2</v>
      </c>
      <c r="Q399" s="82">
        <f>IF(Consultas!M399='Parâmetros'!$D$1,2,-9)</f>
        <v>-9</v>
      </c>
      <c r="R399" s="82">
        <f>IF(Consultas!N399="RJ",-12,0)</f>
        <v>0</v>
      </c>
      <c r="S399" s="82">
        <f>IF(Consultas!O399="-",-3,IF(Consultas!O399=0,-6,IF(Consultas!O399=5,0,IF(Consultas!O399=10,6))))</f>
        <v>-6</v>
      </c>
      <c r="T399" s="82">
        <f>IF(Consultas!M399="S",0,(IF(Consultas!P399="S",6,0)))</f>
        <v>0</v>
      </c>
      <c r="U399" s="82">
        <f>IF(Consultas!Q399&gt;97,9,IF(Consultas!Q399&gt;75,0,-7))</f>
        <v>-7</v>
      </c>
      <c r="V399" s="82">
        <f>IF(Consultas!W399='Parâmetros'!$E$1,1,-5)</f>
        <v>-5</v>
      </c>
      <c r="W399" s="82">
        <f>IF(Consultas!X399="S",3,-3)</f>
        <v>-3</v>
      </c>
      <c r="X399" s="82">
        <f>IF(Consultas!Y399="S",0,-7)</f>
        <v>-7</v>
      </c>
      <c r="Y399" s="82">
        <f>IF(Consultas!Z399='Parâmetros'!$E$1,2,-8)</f>
        <v>-8</v>
      </c>
      <c r="Z399" s="82">
        <f>IF(Consultas!AA399='Parâmetros'!$E$1,-15,1)</f>
        <v>1</v>
      </c>
      <c r="AA399" s="147" t="s">
        <v>140</v>
      </c>
      <c r="AB399" s="82" t="str">
        <f>IF(E399="NA","NA",IF(E399&gt;'Parâmetros'!$A$9,8,IF(E399&gt;'Parâmetros'!$A$8,4,IF(E399&gt;'Parâmetros'!$A$7,0,-6))))</f>
        <v>NA</v>
      </c>
      <c r="AC399" s="82">
        <f>IF(Consultas!AC399='Parâmetros'!$E$1,0,5)</f>
        <v>5</v>
      </c>
      <c r="AD399" s="82">
        <f>IF(Consultas!AH399='Parâmetros'!$D$1,-10,5)</f>
        <v>5</v>
      </c>
      <c r="AE399" s="82">
        <f>IF(Consultas!AI399&gt;(Consultas!F399*2),-10,0)</f>
        <v>0</v>
      </c>
      <c r="AF399" s="82" t="b">
        <f>IF(Consultas!AD399&gt;1,(IF(Consultas!AI399&gt;(Consultas!AD399),-20,4)))</f>
        <v>0</v>
      </c>
      <c r="AG399" s="82">
        <f>IF(Consultas!AG399='Parâmetros'!$E$1,0,-6)</f>
        <v>-6</v>
      </c>
      <c r="AH399" s="82">
        <f>IF(Consultas!AF399='Parâmetros'!$E$1,1,-5)</f>
        <v>-5</v>
      </c>
      <c r="AI399" s="82">
        <f>IF(Consultas!AJ399&gt;700,8,IF(Consultas!AJ399&gt;500,4,IF(Consultas!AJ399&gt;200,-4,IF(Consultas!AJ399&gt;1,-15,-20))))</f>
        <v>-20</v>
      </c>
      <c r="AJ399" s="82">
        <f>IF(Consultas!AD399='Parâmetros'!$E$10,0,IF(Consultas!AD399&gt;'Parâmetros'!$A$30,12,IF(Consultas!AD399&gt;'Parâmetros'!$A$31,6,IF(Consultas!AD399&gt;'Parâmetros'!$A$32,0,IF(Consultas!AD399&gt;'Parâmetros'!$A$33,0,IF(Consultas!AD399&gt;'Parâmetros'!$A$34,-3,IF(Consultas!AD399&gt;'Parâmetros'!$A$35,-7,-1)))))))</f>
        <v>-1</v>
      </c>
      <c r="AK399" s="82">
        <f>IF(Consultas!AO399='Parâmetros'!$D$1,3,-3)</f>
        <v>-3</v>
      </c>
      <c r="AL399" s="82">
        <f>IF(Consultas!AP399='Parâmetros'!$D$1,5,-3)</f>
        <v>-3</v>
      </c>
      <c r="AM399" s="82">
        <f>IF(Consultas!AL399="N",-6,0)</f>
        <v>0</v>
      </c>
      <c r="AN399" s="82">
        <f>IF(Consultas!AM399="N",-10,0)</f>
        <v>0</v>
      </c>
      <c r="AO399" s="82">
        <f>IF(Consultas!AN399="S",4,-2)</f>
        <v>-2</v>
      </c>
      <c r="AP399" s="39"/>
      <c r="AQ399" s="165" t="str">
        <f>IF(Consultas!F399&gt;1,(SUM(F399:AO399)),"N/A")</f>
        <v>N/A</v>
      </c>
      <c r="AR399" s="78">
        <f>IF((Consultas!AD399&gt;'Parâmetros'!$A$31),"X",AJ399+Y399+V399+AC399)</f>
        <v>-9</v>
      </c>
      <c r="AS399" s="78">
        <f>IF((Consultas!AD399&gt;'Parâmetros'!$A$31),"X",(H399+I399+J399+Q399+T399+Y399+Z399+AJ399+AN399))</f>
        <v>-23</v>
      </c>
      <c r="AT399" s="78" t="str">
        <f>IF((Consultas!AD399&lt;'Parâmetros'!$A$31),"X",(AD399+AC399+AB399))</f>
        <v>X</v>
      </c>
      <c r="AU399" s="78">
        <f t="shared" si="1"/>
        <v>-23</v>
      </c>
      <c r="AV399" s="82" t="str">
        <f>IF(AQ399="N/A","N/A",IF(AQ399&gt;5,'Parâmetros'!$A$15,(IF(AU399=AR399,'Parâmetros'!$A$17,IF(AU399=AS399,'Parâmetros'!$A$16,'Parâmetros'!$A$14)))))</f>
        <v>N/A</v>
      </c>
      <c r="AW399" s="86" t="str">
        <f>IF(AQ399="N/A","N/A",IF(AV399='Parâmetros'!$A$15,'Parâmetros'!$C$15,(IF(AV399='Parâmetros'!$A$17,'Parâmetros'!$C$17,IF(AV399='Parâmetros'!$A$16,'Parâmetros'!$C$16,IF(AV399='Parâmetros'!$A$14,'Parâmetros'!$C$12))))))</f>
        <v>N/A</v>
      </c>
      <c r="AX399" s="82" t="b">
        <f>IF(Consultas!F399&gt;1,(IF(Consultas!F399&gt;5000,"SOLICITAR PED COMPRA","N/A")))</f>
        <v>0</v>
      </c>
      <c r="AY399" s="167" t="str">
        <f>IF(AND(Consultas!M399&lt;&gt;"S", Consultas!H399="S"), "CHECAGEM REVERSA", "N/A")</f>
        <v>N/A</v>
      </c>
      <c r="AZ399" s="167" t="str">
        <f>IF(Consultas!U399="N","PRECISA CORRIGIR END DIVERGENTE","N/A")</f>
        <v>N/A</v>
      </c>
    </row>
    <row r="400" ht="12.0" customHeight="1">
      <c r="A400" s="39" t="s">
        <v>90</v>
      </c>
      <c r="B400" s="82" t="str">
        <f>Consultas!B400</f>
        <v/>
      </c>
      <c r="C400" s="82" t="str">
        <f>Consultas!D400</f>
        <v/>
      </c>
      <c r="D400" s="96" t="str">
        <f>Consultas!E400</f>
        <v/>
      </c>
      <c r="E400" s="104" t="str">
        <f>IF(Consultas!AB400&gt;0,YEAR('Parâmetros'!$B$1)-YEAR(Consultas!AB400),"NA")</f>
        <v>NA</v>
      </c>
      <c r="F400" s="82">
        <f>IF(Consultas!F400&gt;'Parâmetros'!$B$2,-8,0)</f>
        <v>0</v>
      </c>
      <c r="G400" s="82">
        <f>IF(Consultas!H400='Parâmetros'!$E$1,100,0)</f>
        <v>0</v>
      </c>
      <c r="H400" s="82">
        <f>IF(Consultas!I400='Parâmetros'!$E$1,-4,12)</f>
        <v>12</v>
      </c>
      <c r="I400" s="82">
        <f>IF(Consultas!J400='Parâmetros'!$E$1,1,-13)</f>
        <v>-13</v>
      </c>
      <c r="J400" s="82">
        <f>IF(Consultas!K400='Parâmetros'!$E$1,2,-5)</f>
        <v>-5</v>
      </c>
      <c r="K400" s="82" t="str">
        <f>IF(Consultas!L400='Parâmetros'!$D$1,"SOLIC CONTRATO DE ENTREGA","N/A")</f>
        <v>N/A</v>
      </c>
      <c r="L400" s="82">
        <f>IF(Consultas!R400='Parâmetros'!$E$1,1,-3)</f>
        <v>-3</v>
      </c>
      <c r="M400" s="82" t="b">
        <f>IF(Consultas!S400&gt;1,(IF(Consultas!S400='Parâmetros'!$E$1,-3,9)))</f>
        <v>0</v>
      </c>
      <c r="N400" s="82">
        <f>IF(Consultas!T400="S",23,0)</f>
        <v>0</v>
      </c>
      <c r="O400" s="82">
        <f>IF(Consultas!U400='Parâmetros'!$E$1,-3,3)</f>
        <v>3</v>
      </c>
      <c r="P400" s="82">
        <f>IF(Consultas!V400='Parâmetros'!$E$1,-100,2)</f>
        <v>2</v>
      </c>
      <c r="Q400" s="82">
        <f>IF(Consultas!M400='Parâmetros'!$D$1,2,-9)</f>
        <v>-9</v>
      </c>
      <c r="R400" s="82">
        <f>IF(Consultas!N400="RJ",-12,0)</f>
        <v>0</v>
      </c>
      <c r="S400" s="82">
        <f>IF(Consultas!O400="-",-3,IF(Consultas!O400=0,-6,IF(Consultas!O400=5,0,IF(Consultas!O400=10,6))))</f>
        <v>-6</v>
      </c>
      <c r="T400" s="82">
        <f>IF(Consultas!M400="S",0,(IF(Consultas!P400="S",6,0)))</f>
        <v>0</v>
      </c>
      <c r="U400" s="82">
        <f>IF(Consultas!Q400&gt;97,9,IF(Consultas!Q400&gt;75,0,-7))</f>
        <v>-7</v>
      </c>
      <c r="V400" s="82">
        <f>IF(Consultas!W400='Parâmetros'!$E$1,1,-5)</f>
        <v>-5</v>
      </c>
      <c r="W400" s="82">
        <f>IF(Consultas!X400="S",3,-3)</f>
        <v>-3</v>
      </c>
      <c r="X400" s="82">
        <f>IF(Consultas!Y400="S",0,-7)</f>
        <v>-7</v>
      </c>
      <c r="Y400" s="82">
        <f>IF(Consultas!Z400='Parâmetros'!$E$1,2,-8)</f>
        <v>-8</v>
      </c>
      <c r="Z400" s="82">
        <f>IF(Consultas!AA400='Parâmetros'!$E$1,-15,1)</f>
        <v>1</v>
      </c>
      <c r="AA400" s="147" t="s">
        <v>140</v>
      </c>
      <c r="AB400" s="82" t="str">
        <f>IF(E400="NA","NA",IF(E400&gt;'Parâmetros'!$A$9,8,IF(E400&gt;'Parâmetros'!$A$8,4,IF(E400&gt;'Parâmetros'!$A$7,0,-6))))</f>
        <v>NA</v>
      </c>
      <c r="AC400" s="82">
        <f>IF(Consultas!AC400='Parâmetros'!$E$1,0,5)</f>
        <v>5</v>
      </c>
      <c r="AD400" s="82">
        <f>IF(Consultas!AH400='Parâmetros'!$D$1,-10,5)</f>
        <v>5</v>
      </c>
      <c r="AE400" s="82">
        <f>IF(Consultas!AI400&gt;(Consultas!F400*2),-10,0)</f>
        <v>0</v>
      </c>
      <c r="AF400" s="82" t="b">
        <f>IF(Consultas!AD400&gt;1,(IF(Consultas!AI400&gt;(Consultas!AD400),-20,4)))</f>
        <v>0</v>
      </c>
      <c r="AG400" s="82">
        <f>IF(Consultas!AG400='Parâmetros'!$E$1,0,-6)</f>
        <v>-6</v>
      </c>
      <c r="AH400" s="82">
        <f>IF(Consultas!AF400='Parâmetros'!$E$1,1,-5)</f>
        <v>-5</v>
      </c>
      <c r="AI400" s="82">
        <f>IF(Consultas!AJ400&gt;700,8,IF(Consultas!AJ400&gt;500,4,IF(Consultas!AJ400&gt;200,-4,IF(Consultas!AJ400&gt;1,-15,-20))))</f>
        <v>-20</v>
      </c>
      <c r="AJ400" s="82">
        <f>IF(Consultas!AD400='Parâmetros'!$E$10,0,IF(Consultas!AD400&gt;'Parâmetros'!$A$30,12,IF(Consultas!AD400&gt;'Parâmetros'!$A$31,6,IF(Consultas!AD400&gt;'Parâmetros'!$A$32,0,IF(Consultas!AD400&gt;'Parâmetros'!$A$33,0,IF(Consultas!AD400&gt;'Parâmetros'!$A$34,-3,IF(Consultas!AD400&gt;'Parâmetros'!$A$35,-7,-1)))))))</f>
        <v>-1</v>
      </c>
      <c r="AK400" s="82">
        <f>IF(Consultas!AO400='Parâmetros'!$D$1,3,-3)</f>
        <v>-3</v>
      </c>
      <c r="AL400" s="82">
        <f>IF(Consultas!AP400='Parâmetros'!$D$1,5,-3)</f>
        <v>-3</v>
      </c>
      <c r="AM400" s="82">
        <f>IF(Consultas!AL400="N",-6,0)</f>
        <v>0</v>
      </c>
      <c r="AN400" s="82">
        <f>IF(Consultas!AM400="N",-10,0)</f>
        <v>0</v>
      </c>
      <c r="AO400" s="82">
        <f>IF(Consultas!AN400="S",4,-2)</f>
        <v>-2</v>
      </c>
      <c r="AP400" s="39"/>
      <c r="AQ400" s="165" t="str">
        <f>IF(Consultas!F400&gt;1,(SUM(F400:AO400)),"N/A")</f>
        <v>N/A</v>
      </c>
      <c r="AR400" s="78">
        <f>IF((Consultas!AD400&gt;'Parâmetros'!$A$31),"X",AJ400+Y400+V400+AC400)</f>
        <v>-9</v>
      </c>
      <c r="AS400" s="78">
        <f>IF((Consultas!AD400&gt;'Parâmetros'!$A$31),"X",(H400+I400+J400+Q400+T400+Y400+Z400+AJ400+AN400))</f>
        <v>-23</v>
      </c>
      <c r="AT400" s="78" t="str">
        <f>IF((Consultas!AD400&lt;'Parâmetros'!$A$31),"X",(AD400+AC400+AB400))</f>
        <v>X</v>
      </c>
      <c r="AU400" s="78">
        <f t="shared" si="1"/>
        <v>-23</v>
      </c>
      <c r="AV400" s="82" t="str">
        <f>IF(AQ400="N/A","N/A",IF(AQ400&gt;5,'Parâmetros'!$A$15,(IF(AU400=AR400,'Parâmetros'!$A$17,IF(AU400=AS400,'Parâmetros'!$A$16,'Parâmetros'!$A$14)))))</f>
        <v>N/A</v>
      </c>
      <c r="AW400" s="86" t="str">
        <f>IF(AQ400="N/A","N/A",IF(AV400='Parâmetros'!$A$15,'Parâmetros'!$C$15,(IF(AV400='Parâmetros'!$A$17,'Parâmetros'!$C$17,IF(AV400='Parâmetros'!$A$16,'Parâmetros'!$C$16,IF(AV400='Parâmetros'!$A$14,'Parâmetros'!$C$12))))))</f>
        <v>N/A</v>
      </c>
      <c r="AX400" s="82" t="b">
        <f>IF(Consultas!F400&gt;1,(IF(Consultas!F400&gt;5000,"SOLICITAR PED COMPRA","N/A")))</f>
        <v>0</v>
      </c>
      <c r="AY400" s="167" t="str">
        <f>IF(AND(Consultas!M400&lt;&gt;"S", Consultas!H400="S"), "CHECAGEM REVERSA", "N/A")</f>
        <v>N/A</v>
      </c>
      <c r="AZ400" s="167" t="str">
        <f>IF(Consultas!U400="N","PRECISA CORRIGIR END DIVERGENTE","N/A")</f>
        <v>N/A</v>
      </c>
    </row>
    <row r="401" ht="12.0" customHeight="1">
      <c r="A401" s="39" t="s">
        <v>90</v>
      </c>
      <c r="B401" s="82" t="str">
        <f>Consultas!B401</f>
        <v/>
      </c>
      <c r="C401" s="82" t="str">
        <f>Consultas!D401</f>
        <v/>
      </c>
      <c r="D401" s="96" t="str">
        <f>Consultas!E401</f>
        <v/>
      </c>
      <c r="E401" s="104" t="str">
        <f>IF(Consultas!AB401&gt;0,YEAR('Parâmetros'!$B$1)-YEAR(Consultas!AB401),"NA")</f>
        <v>NA</v>
      </c>
      <c r="F401" s="82">
        <f>IF(Consultas!F401&gt;'Parâmetros'!$B$2,-8,0)</f>
        <v>0</v>
      </c>
      <c r="G401" s="82">
        <f>IF(Consultas!H401='Parâmetros'!$E$1,100,0)</f>
        <v>0</v>
      </c>
      <c r="H401" s="82">
        <f>IF(Consultas!I401='Parâmetros'!$E$1,-4,12)</f>
        <v>12</v>
      </c>
      <c r="I401" s="82">
        <f>IF(Consultas!J401='Parâmetros'!$E$1,1,-13)</f>
        <v>-13</v>
      </c>
      <c r="J401" s="82">
        <f>IF(Consultas!K401='Parâmetros'!$E$1,2,-5)</f>
        <v>-5</v>
      </c>
      <c r="K401" s="82" t="str">
        <f>IF(Consultas!L401='Parâmetros'!$D$1,"SOLIC CONTRATO DE ENTREGA","N/A")</f>
        <v>N/A</v>
      </c>
      <c r="L401" s="82">
        <f>IF(Consultas!R401='Parâmetros'!$E$1,1,-3)</f>
        <v>-3</v>
      </c>
      <c r="M401" s="82" t="b">
        <f>IF(Consultas!S401&gt;1,(IF(Consultas!S401='Parâmetros'!$E$1,-3,9)))</f>
        <v>0</v>
      </c>
      <c r="N401" s="82">
        <f>IF(Consultas!T401="S",23,0)</f>
        <v>0</v>
      </c>
      <c r="O401" s="82">
        <f>IF(Consultas!U401='Parâmetros'!$E$1,-3,3)</f>
        <v>3</v>
      </c>
      <c r="P401" s="82">
        <f>IF(Consultas!V401='Parâmetros'!$E$1,-100,2)</f>
        <v>2</v>
      </c>
      <c r="Q401" s="82">
        <f>IF(Consultas!M401='Parâmetros'!$D$1,2,-9)</f>
        <v>-9</v>
      </c>
      <c r="R401" s="82">
        <f>IF(Consultas!N401="RJ",-12,0)</f>
        <v>0</v>
      </c>
      <c r="S401" s="82">
        <f>IF(Consultas!O401="-",-3,IF(Consultas!O401=0,-6,IF(Consultas!O401=5,0,IF(Consultas!O401=10,6))))</f>
        <v>-6</v>
      </c>
      <c r="T401" s="82">
        <f>IF(Consultas!M401="S",0,(IF(Consultas!P401="S",6,0)))</f>
        <v>0</v>
      </c>
      <c r="U401" s="82">
        <f>IF(Consultas!Q401&gt;97,9,IF(Consultas!Q401&gt;75,0,-7))</f>
        <v>-7</v>
      </c>
      <c r="V401" s="82">
        <f>IF(Consultas!W401='Parâmetros'!$E$1,1,-5)</f>
        <v>-5</v>
      </c>
      <c r="W401" s="82">
        <f>IF(Consultas!X401="S",3,-3)</f>
        <v>-3</v>
      </c>
      <c r="X401" s="82">
        <f>IF(Consultas!Y401="S",0,-7)</f>
        <v>-7</v>
      </c>
      <c r="Y401" s="82">
        <f>IF(Consultas!Z401='Parâmetros'!$E$1,2,-8)</f>
        <v>-8</v>
      </c>
      <c r="Z401" s="82">
        <f>IF(Consultas!AA401='Parâmetros'!$E$1,-15,1)</f>
        <v>1</v>
      </c>
      <c r="AA401" s="147" t="s">
        <v>140</v>
      </c>
      <c r="AB401" s="82" t="str">
        <f>IF(E401="NA","NA",IF(E401&gt;'Parâmetros'!$A$9,8,IF(E401&gt;'Parâmetros'!$A$8,4,IF(E401&gt;'Parâmetros'!$A$7,0,-6))))</f>
        <v>NA</v>
      </c>
      <c r="AC401" s="82">
        <f>IF(Consultas!AC401='Parâmetros'!$E$1,0,5)</f>
        <v>5</v>
      </c>
      <c r="AD401" s="82">
        <f>IF(Consultas!AH401='Parâmetros'!$D$1,-10,5)</f>
        <v>5</v>
      </c>
      <c r="AE401" s="82">
        <f>IF(Consultas!AI401&gt;(Consultas!F401*2),-10,0)</f>
        <v>0</v>
      </c>
      <c r="AF401" s="82" t="b">
        <f>IF(Consultas!AD401&gt;1,(IF(Consultas!AI401&gt;(Consultas!AD401),-20,4)))</f>
        <v>0</v>
      </c>
      <c r="AG401" s="82">
        <f>IF(Consultas!AG401='Parâmetros'!$E$1,0,-6)</f>
        <v>-6</v>
      </c>
      <c r="AH401" s="82">
        <f>IF(Consultas!AF401='Parâmetros'!$E$1,1,-5)</f>
        <v>-5</v>
      </c>
      <c r="AI401" s="82">
        <f>IF(Consultas!AJ401&gt;700,8,IF(Consultas!AJ401&gt;500,4,IF(Consultas!AJ401&gt;200,-4,IF(Consultas!AJ401&gt;1,-15,-20))))</f>
        <v>-20</v>
      </c>
      <c r="AJ401" s="82">
        <f>IF(Consultas!AD401='Parâmetros'!$E$10,0,IF(Consultas!AD401&gt;'Parâmetros'!$A$30,12,IF(Consultas!AD401&gt;'Parâmetros'!$A$31,6,IF(Consultas!AD401&gt;'Parâmetros'!$A$32,0,IF(Consultas!AD401&gt;'Parâmetros'!$A$33,0,IF(Consultas!AD401&gt;'Parâmetros'!$A$34,-3,IF(Consultas!AD401&gt;'Parâmetros'!$A$35,-7,-1)))))))</f>
        <v>-1</v>
      </c>
      <c r="AK401" s="82">
        <f>IF(Consultas!AO401='Parâmetros'!$D$1,3,-3)</f>
        <v>-3</v>
      </c>
      <c r="AL401" s="82">
        <f>IF(Consultas!AP401='Parâmetros'!$D$1,5,-3)</f>
        <v>-3</v>
      </c>
      <c r="AM401" s="82">
        <f>IF(Consultas!AL401="N",-6,0)</f>
        <v>0</v>
      </c>
      <c r="AN401" s="82">
        <f>IF(Consultas!AM401="N",-10,0)</f>
        <v>0</v>
      </c>
      <c r="AO401" s="82">
        <f>IF(Consultas!AN401="S",4,-2)</f>
        <v>-2</v>
      </c>
      <c r="AP401" s="39"/>
      <c r="AQ401" s="165" t="str">
        <f>IF(Consultas!F401&gt;1,(SUM(F401:AO401)),"N/A")</f>
        <v>N/A</v>
      </c>
      <c r="AR401" s="78">
        <f>IF((Consultas!AD401&gt;'Parâmetros'!$A$31),"X",AJ401+Y401+V401+AC401)</f>
        <v>-9</v>
      </c>
      <c r="AS401" s="78">
        <f>IF((Consultas!AD401&gt;'Parâmetros'!$A$31),"X",(H401+I401+J401+Q401+T401+Y401+Z401+AJ401+AN401))</f>
        <v>-23</v>
      </c>
      <c r="AT401" s="78" t="str">
        <f>IF((Consultas!AD401&lt;'Parâmetros'!$A$31),"X",(AD401+AC401+AB401))</f>
        <v>X</v>
      </c>
      <c r="AU401" s="78">
        <f t="shared" si="1"/>
        <v>-23</v>
      </c>
      <c r="AV401" s="82" t="str">
        <f>IF(AQ401="N/A","N/A",IF(AQ401&gt;5,'Parâmetros'!$A$15,(IF(AU401=AR401,'Parâmetros'!$A$17,IF(AU401=AS401,'Parâmetros'!$A$16,'Parâmetros'!$A$14)))))</f>
        <v>N/A</v>
      </c>
      <c r="AW401" s="86" t="str">
        <f>IF(AQ401="N/A","N/A",IF(AV401='Parâmetros'!$A$15,'Parâmetros'!$C$15,(IF(AV401='Parâmetros'!$A$17,'Parâmetros'!$C$17,IF(AV401='Parâmetros'!$A$16,'Parâmetros'!$C$16,IF(AV401='Parâmetros'!$A$14,'Parâmetros'!$C$12))))))</f>
        <v>N/A</v>
      </c>
      <c r="AX401" s="82" t="b">
        <f>IF(Consultas!F401&gt;1,(IF(Consultas!F401&gt;5000,"SOLICITAR PED COMPRA","N/A")))</f>
        <v>0</v>
      </c>
      <c r="AY401" s="167" t="str">
        <f>IF(AND(Consultas!M401&lt;&gt;"S", Consultas!H401="S"), "CHECAGEM REVERSA", "N/A")</f>
        <v>N/A</v>
      </c>
      <c r="AZ401" s="167" t="str">
        <f>IF(Consultas!U401="N","PRECISA CORRIGIR END DIVERGENTE","N/A")</f>
        <v>N/A</v>
      </c>
    </row>
    <row r="402" ht="12.0" customHeight="1">
      <c r="A402" s="39" t="s">
        <v>90</v>
      </c>
      <c r="B402" s="82" t="str">
        <f>Consultas!B402</f>
        <v/>
      </c>
      <c r="C402" s="82" t="str">
        <f>Consultas!D402</f>
        <v/>
      </c>
      <c r="D402" s="96" t="str">
        <f>Consultas!E402</f>
        <v/>
      </c>
      <c r="E402" s="104" t="str">
        <f>IF(Consultas!AB402&gt;0,YEAR('Parâmetros'!$B$1)-YEAR(Consultas!AB402),"NA")</f>
        <v>NA</v>
      </c>
      <c r="F402" s="82">
        <f>IF(Consultas!F402&gt;'Parâmetros'!$B$2,-8,0)</f>
        <v>0</v>
      </c>
      <c r="G402" s="82">
        <f>IF(Consultas!H402='Parâmetros'!$E$1,100,0)</f>
        <v>0</v>
      </c>
      <c r="H402" s="82">
        <f>IF(Consultas!I402='Parâmetros'!$E$1,-4,12)</f>
        <v>12</v>
      </c>
      <c r="I402" s="82">
        <f>IF(Consultas!J402='Parâmetros'!$E$1,1,-13)</f>
        <v>-13</v>
      </c>
      <c r="J402" s="82">
        <f>IF(Consultas!K402='Parâmetros'!$E$1,2,-5)</f>
        <v>-5</v>
      </c>
      <c r="K402" s="82" t="str">
        <f>IF(Consultas!L402='Parâmetros'!$D$1,"SOLIC CONTRATO DE ENTREGA","N/A")</f>
        <v>N/A</v>
      </c>
      <c r="L402" s="82">
        <f>IF(Consultas!R402='Parâmetros'!$E$1,1,-3)</f>
        <v>-3</v>
      </c>
      <c r="M402" s="82" t="b">
        <f>IF(Consultas!S402&gt;1,(IF(Consultas!S402='Parâmetros'!$E$1,-3,9)))</f>
        <v>0</v>
      </c>
      <c r="N402" s="82">
        <f>IF(Consultas!T402="S",23,0)</f>
        <v>0</v>
      </c>
      <c r="O402" s="82">
        <f>IF(Consultas!U402='Parâmetros'!$E$1,-3,3)</f>
        <v>3</v>
      </c>
      <c r="P402" s="82">
        <f>IF(Consultas!V402='Parâmetros'!$E$1,-100,2)</f>
        <v>2</v>
      </c>
      <c r="Q402" s="82">
        <f>IF(Consultas!M402='Parâmetros'!$D$1,2,-9)</f>
        <v>-9</v>
      </c>
      <c r="R402" s="82">
        <f>IF(Consultas!N402="RJ",-12,0)</f>
        <v>0</v>
      </c>
      <c r="S402" s="82">
        <f>IF(Consultas!O402="-",-3,IF(Consultas!O402=0,-6,IF(Consultas!O402=5,0,IF(Consultas!O402=10,6))))</f>
        <v>-6</v>
      </c>
      <c r="T402" s="82">
        <f>IF(Consultas!M402="S",0,(IF(Consultas!P402="S",6,0)))</f>
        <v>0</v>
      </c>
      <c r="U402" s="82">
        <f>IF(Consultas!Q402&gt;97,9,IF(Consultas!Q402&gt;75,0,-7))</f>
        <v>-7</v>
      </c>
      <c r="V402" s="82">
        <f>IF(Consultas!W402='Parâmetros'!$E$1,1,-5)</f>
        <v>-5</v>
      </c>
      <c r="W402" s="82">
        <f>IF(Consultas!X402="S",3,-3)</f>
        <v>-3</v>
      </c>
      <c r="X402" s="82">
        <f>IF(Consultas!Y402="S",0,-7)</f>
        <v>-7</v>
      </c>
      <c r="Y402" s="82">
        <f>IF(Consultas!Z402='Parâmetros'!$E$1,2,-8)</f>
        <v>-8</v>
      </c>
      <c r="Z402" s="82">
        <f>IF(Consultas!AA402='Parâmetros'!$E$1,-15,1)</f>
        <v>1</v>
      </c>
      <c r="AA402" s="147" t="s">
        <v>140</v>
      </c>
      <c r="AB402" s="82" t="str">
        <f>IF(E402="NA","NA",IF(E402&gt;'Parâmetros'!$A$9,8,IF(E402&gt;'Parâmetros'!$A$8,4,IF(E402&gt;'Parâmetros'!$A$7,0,-6))))</f>
        <v>NA</v>
      </c>
      <c r="AC402" s="82">
        <f>IF(Consultas!AC402='Parâmetros'!$E$1,0,5)</f>
        <v>5</v>
      </c>
      <c r="AD402" s="82">
        <f>IF(Consultas!AH402='Parâmetros'!$D$1,-10,5)</f>
        <v>5</v>
      </c>
      <c r="AE402" s="82">
        <f>IF(Consultas!AI402&gt;(Consultas!F402*2),-10,0)</f>
        <v>0</v>
      </c>
      <c r="AF402" s="82" t="b">
        <f>IF(Consultas!AD402&gt;1,(IF(Consultas!AI402&gt;(Consultas!AD402),-20,4)))</f>
        <v>0</v>
      </c>
      <c r="AG402" s="82">
        <f>IF(Consultas!AG402='Parâmetros'!$E$1,0,-6)</f>
        <v>-6</v>
      </c>
      <c r="AH402" s="82">
        <f>IF(Consultas!AF402='Parâmetros'!$E$1,1,-5)</f>
        <v>-5</v>
      </c>
      <c r="AI402" s="82">
        <f>IF(Consultas!AJ402&gt;700,8,IF(Consultas!AJ402&gt;500,4,IF(Consultas!AJ402&gt;200,-4,IF(Consultas!AJ402&gt;1,-15,-20))))</f>
        <v>-20</v>
      </c>
      <c r="AJ402" s="82">
        <f>IF(Consultas!AD402='Parâmetros'!$E$10,0,IF(Consultas!AD402&gt;'Parâmetros'!$A$30,12,IF(Consultas!AD402&gt;'Parâmetros'!$A$31,6,IF(Consultas!AD402&gt;'Parâmetros'!$A$32,0,IF(Consultas!AD402&gt;'Parâmetros'!$A$33,0,IF(Consultas!AD402&gt;'Parâmetros'!$A$34,-3,IF(Consultas!AD402&gt;'Parâmetros'!$A$35,-7,-1)))))))</f>
        <v>-1</v>
      </c>
      <c r="AK402" s="82">
        <f>IF(Consultas!AO402='Parâmetros'!$D$1,3,-3)</f>
        <v>-3</v>
      </c>
      <c r="AL402" s="82">
        <f>IF(Consultas!AP402='Parâmetros'!$D$1,5,-3)</f>
        <v>-3</v>
      </c>
      <c r="AM402" s="82">
        <f>IF(Consultas!AL402="N",-6,0)</f>
        <v>0</v>
      </c>
      <c r="AN402" s="82">
        <f>IF(Consultas!AM402="N",-10,0)</f>
        <v>0</v>
      </c>
      <c r="AO402" s="82">
        <f>IF(Consultas!AN402="S",4,-2)</f>
        <v>-2</v>
      </c>
      <c r="AP402" s="39"/>
      <c r="AQ402" s="165" t="str">
        <f>IF(Consultas!F402&gt;1,(SUM(F402:AO402)),"N/A")</f>
        <v>N/A</v>
      </c>
      <c r="AR402" s="78">
        <f>IF((Consultas!AD402&gt;'Parâmetros'!$A$31),"X",AJ402+Y402+V402+AC402)</f>
        <v>-9</v>
      </c>
      <c r="AS402" s="78">
        <f>IF((Consultas!AD402&gt;'Parâmetros'!$A$31),"X",(H402+I402+J402+Q402+T402+Y402+Z402+AJ402+AN402))</f>
        <v>-23</v>
      </c>
      <c r="AT402" s="78" t="str">
        <f>IF((Consultas!AD402&lt;'Parâmetros'!$A$31),"X",(AD402+AC402+AB402))</f>
        <v>X</v>
      </c>
      <c r="AU402" s="78">
        <f t="shared" si="1"/>
        <v>-23</v>
      </c>
      <c r="AV402" s="82" t="str">
        <f>IF(AQ402="N/A","N/A",IF(AQ402&gt;5,'Parâmetros'!$A$15,(IF(AU402=AR402,'Parâmetros'!$A$17,IF(AU402=AS402,'Parâmetros'!$A$16,'Parâmetros'!$A$14)))))</f>
        <v>N/A</v>
      </c>
      <c r="AW402" s="86" t="str">
        <f>IF(AQ402="N/A","N/A",IF(AV402='Parâmetros'!$A$15,'Parâmetros'!$C$15,(IF(AV402='Parâmetros'!$A$17,'Parâmetros'!$C$17,IF(AV402='Parâmetros'!$A$16,'Parâmetros'!$C$16,IF(AV402='Parâmetros'!$A$14,'Parâmetros'!$C$12))))))</f>
        <v>N/A</v>
      </c>
      <c r="AX402" s="82" t="b">
        <f>IF(Consultas!F402&gt;1,(IF(Consultas!F402&gt;5000,"SOLICITAR PED COMPRA","N/A")))</f>
        <v>0</v>
      </c>
      <c r="AY402" s="167" t="str">
        <f>IF(AND(Consultas!M402&lt;&gt;"S", Consultas!H402="S"), "CHECAGEM REVERSA", "N/A")</f>
        <v>N/A</v>
      </c>
      <c r="AZ402" s="167" t="str">
        <f>IF(Consultas!U402="N","PRECISA CORRIGIR END DIVERGENTE","N/A")</f>
        <v>N/A</v>
      </c>
    </row>
    <row r="403" ht="12.0" customHeight="1">
      <c r="A403" s="39" t="s">
        <v>90</v>
      </c>
      <c r="B403" s="82" t="str">
        <f>Consultas!B403</f>
        <v/>
      </c>
      <c r="C403" s="82" t="str">
        <f>Consultas!D403</f>
        <v/>
      </c>
      <c r="D403" s="96" t="str">
        <f>Consultas!E403</f>
        <v/>
      </c>
      <c r="E403" s="104" t="str">
        <f>IF(Consultas!AB403&gt;0,YEAR('Parâmetros'!$B$1)-YEAR(Consultas!AB403),"NA")</f>
        <v>NA</v>
      </c>
      <c r="F403" s="82">
        <f>IF(Consultas!F403&gt;'Parâmetros'!$B$2,-8,0)</f>
        <v>0</v>
      </c>
      <c r="G403" s="82">
        <f>IF(Consultas!H403='Parâmetros'!$E$1,100,0)</f>
        <v>0</v>
      </c>
      <c r="H403" s="82">
        <f>IF(Consultas!I403='Parâmetros'!$E$1,-4,12)</f>
        <v>12</v>
      </c>
      <c r="I403" s="82">
        <f>IF(Consultas!J403='Parâmetros'!$E$1,1,-13)</f>
        <v>-13</v>
      </c>
      <c r="J403" s="82">
        <f>IF(Consultas!K403='Parâmetros'!$E$1,2,-5)</f>
        <v>-5</v>
      </c>
      <c r="K403" s="82" t="str">
        <f>IF(Consultas!L403='Parâmetros'!$D$1,"SOLIC CONTRATO DE ENTREGA","N/A")</f>
        <v>N/A</v>
      </c>
      <c r="L403" s="82">
        <f>IF(Consultas!R403='Parâmetros'!$E$1,1,-3)</f>
        <v>-3</v>
      </c>
      <c r="M403" s="82" t="b">
        <f>IF(Consultas!S403&gt;1,(IF(Consultas!S403='Parâmetros'!$E$1,-3,9)))</f>
        <v>0</v>
      </c>
      <c r="N403" s="82">
        <f>IF(Consultas!T403="S",23,0)</f>
        <v>0</v>
      </c>
      <c r="O403" s="82">
        <f>IF(Consultas!U403='Parâmetros'!$E$1,-3,3)</f>
        <v>3</v>
      </c>
      <c r="P403" s="82">
        <f>IF(Consultas!V403='Parâmetros'!$E$1,-100,2)</f>
        <v>2</v>
      </c>
      <c r="Q403" s="82">
        <f>IF(Consultas!M403='Parâmetros'!$D$1,2,-9)</f>
        <v>-9</v>
      </c>
      <c r="R403" s="82">
        <f>IF(Consultas!N403="RJ",-12,0)</f>
        <v>0</v>
      </c>
      <c r="S403" s="82">
        <f>IF(Consultas!O403="-",-3,IF(Consultas!O403=0,-6,IF(Consultas!O403=5,0,IF(Consultas!O403=10,6))))</f>
        <v>-6</v>
      </c>
      <c r="T403" s="82">
        <f>IF(Consultas!M403="S",0,(IF(Consultas!P403="S",6,0)))</f>
        <v>0</v>
      </c>
      <c r="U403" s="82">
        <f>IF(Consultas!Q403&gt;97,9,IF(Consultas!Q403&gt;75,0,-7))</f>
        <v>-7</v>
      </c>
      <c r="V403" s="82">
        <f>IF(Consultas!W403='Parâmetros'!$E$1,1,-5)</f>
        <v>-5</v>
      </c>
      <c r="W403" s="82">
        <f>IF(Consultas!X403="S",3,-3)</f>
        <v>-3</v>
      </c>
      <c r="X403" s="82">
        <f>IF(Consultas!Y403="S",0,-7)</f>
        <v>-7</v>
      </c>
      <c r="Y403" s="82">
        <f>IF(Consultas!Z403='Parâmetros'!$E$1,2,-8)</f>
        <v>-8</v>
      </c>
      <c r="Z403" s="82">
        <f>IF(Consultas!AA403='Parâmetros'!$E$1,-15,1)</f>
        <v>1</v>
      </c>
      <c r="AA403" s="147" t="s">
        <v>140</v>
      </c>
      <c r="AB403" s="82" t="str">
        <f>IF(E403="NA","NA",IF(E403&gt;'Parâmetros'!$A$9,8,IF(E403&gt;'Parâmetros'!$A$8,4,IF(E403&gt;'Parâmetros'!$A$7,0,-6))))</f>
        <v>NA</v>
      </c>
      <c r="AC403" s="82">
        <f>IF(Consultas!AC403='Parâmetros'!$E$1,0,5)</f>
        <v>5</v>
      </c>
      <c r="AD403" s="82">
        <f>IF(Consultas!AH403='Parâmetros'!$D$1,-10,5)</f>
        <v>5</v>
      </c>
      <c r="AE403" s="82">
        <f>IF(Consultas!AI403&gt;(Consultas!F403*2),-10,0)</f>
        <v>0</v>
      </c>
      <c r="AF403" s="82" t="b">
        <f>IF(Consultas!AD403&gt;1,(IF(Consultas!AI403&gt;(Consultas!AD403),-20,4)))</f>
        <v>0</v>
      </c>
      <c r="AG403" s="82">
        <f>IF(Consultas!AG403='Parâmetros'!$E$1,0,-6)</f>
        <v>-6</v>
      </c>
      <c r="AH403" s="82">
        <f>IF(Consultas!AF403='Parâmetros'!$E$1,1,-5)</f>
        <v>-5</v>
      </c>
      <c r="AI403" s="82">
        <f>IF(Consultas!AJ403&gt;700,8,IF(Consultas!AJ403&gt;500,4,IF(Consultas!AJ403&gt;200,-4,IF(Consultas!AJ403&gt;1,-15,-20))))</f>
        <v>-20</v>
      </c>
      <c r="AJ403" s="82">
        <f>IF(Consultas!AD403='Parâmetros'!$E$10,0,IF(Consultas!AD403&gt;'Parâmetros'!$A$30,12,IF(Consultas!AD403&gt;'Parâmetros'!$A$31,6,IF(Consultas!AD403&gt;'Parâmetros'!$A$32,0,IF(Consultas!AD403&gt;'Parâmetros'!$A$33,0,IF(Consultas!AD403&gt;'Parâmetros'!$A$34,-3,IF(Consultas!AD403&gt;'Parâmetros'!$A$35,-7,-1)))))))</f>
        <v>-1</v>
      </c>
      <c r="AK403" s="82">
        <f>IF(Consultas!AO403='Parâmetros'!$D$1,3,-3)</f>
        <v>-3</v>
      </c>
      <c r="AL403" s="82">
        <f>IF(Consultas!AP403='Parâmetros'!$D$1,5,-3)</f>
        <v>-3</v>
      </c>
      <c r="AM403" s="82">
        <f>IF(Consultas!AL403="N",-6,0)</f>
        <v>0</v>
      </c>
      <c r="AN403" s="82">
        <f>IF(Consultas!AM403="N",-10,0)</f>
        <v>0</v>
      </c>
      <c r="AO403" s="82">
        <f>IF(Consultas!AN403="S",4,-2)</f>
        <v>-2</v>
      </c>
      <c r="AP403" s="39"/>
      <c r="AQ403" s="165" t="str">
        <f>IF(Consultas!F403&gt;1,(SUM(F403:AO403)),"N/A")</f>
        <v>N/A</v>
      </c>
      <c r="AR403" s="78">
        <f>IF((Consultas!AD403&gt;'Parâmetros'!$A$31),"X",AJ403+Y403+V403+AC403)</f>
        <v>-9</v>
      </c>
      <c r="AS403" s="78">
        <f>IF((Consultas!AD403&gt;'Parâmetros'!$A$31),"X",(H403+I403+J403+Q403+T403+Y403+Z403+AJ403+AN403))</f>
        <v>-23</v>
      </c>
      <c r="AT403" s="78" t="str">
        <f>IF((Consultas!AD403&lt;'Parâmetros'!$A$31),"X",(AD403+AC403+AB403))</f>
        <v>X</v>
      </c>
      <c r="AU403" s="78">
        <f t="shared" si="1"/>
        <v>-23</v>
      </c>
      <c r="AV403" s="82" t="str">
        <f>IF(AQ403="N/A","N/A",IF(AQ403&gt;5,'Parâmetros'!$A$15,(IF(AU403=AR403,'Parâmetros'!$A$17,IF(AU403=AS403,'Parâmetros'!$A$16,'Parâmetros'!$A$14)))))</f>
        <v>N/A</v>
      </c>
      <c r="AW403" s="86" t="str">
        <f>IF(AQ403="N/A","N/A",IF(AV403='Parâmetros'!$A$15,'Parâmetros'!$C$15,(IF(AV403='Parâmetros'!$A$17,'Parâmetros'!$C$17,IF(AV403='Parâmetros'!$A$16,'Parâmetros'!$C$16,IF(AV403='Parâmetros'!$A$14,'Parâmetros'!$C$12))))))</f>
        <v>N/A</v>
      </c>
      <c r="AX403" s="82" t="b">
        <f>IF(Consultas!F403&gt;1,(IF(Consultas!F403&gt;5000,"SOLICITAR PED COMPRA","N/A")))</f>
        <v>0</v>
      </c>
      <c r="AY403" s="167" t="str">
        <f>IF(AND(Consultas!M403&lt;&gt;"S", Consultas!H403="S"), "CHECAGEM REVERSA", "N/A")</f>
        <v>N/A</v>
      </c>
      <c r="AZ403" s="167" t="str">
        <f>IF(Consultas!U403="N","PRECISA CORRIGIR END DIVERGENTE","N/A")</f>
        <v>N/A</v>
      </c>
    </row>
    <row r="404" ht="12.0" customHeight="1">
      <c r="A404" s="39" t="s">
        <v>90</v>
      </c>
      <c r="B404" s="82" t="str">
        <f>Consultas!B404</f>
        <v/>
      </c>
      <c r="C404" s="82" t="str">
        <f>Consultas!D404</f>
        <v/>
      </c>
      <c r="D404" s="96" t="str">
        <f>Consultas!E404</f>
        <v/>
      </c>
      <c r="E404" s="104" t="str">
        <f>IF(Consultas!AB404&gt;0,YEAR('Parâmetros'!$B$1)-YEAR(Consultas!AB404),"NA")</f>
        <v>NA</v>
      </c>
      <c r="F404" s="82">
        <f>IF(Consultas!F404&gt;'Parâmetros'!$B$2,-8,0)</f>
        <v>0</v>
      </c>
      <c r="G404" s="82">
        <f>IF(Consultas!H404='Parâmetros'!$E$1,100,0)</f>
        <v>0</v>
      </c>
      <c r="H404" s="82">
        <f>IF(Consultas!I404='Parâmetros'!$E$1,-4,12)</f>
        <v>12</v>
      </c>
      <c r="I404" s="82">
        <f>IF(Consultas!J404='Parâmetros'!$E$1,1,-13)</f>
        <v>-13</v>
      </c>
      <c r="J404" s="82">
        <f>IF(Consultas!K404='Parâmetros'!$E$1,2,-5)</f>
        <v>-5</v>
      </c>
      <c r="K404" s="82" t="str">
        <f>IF(Consultas!L404='Parâmetros'!$D$1,"SOLIC CONTRATO DE ENTREGA","N/A")</f>
        <v>N/A</v>
      </c>
      <c r="L404" s="82">
        <f>IF(Consultas!R404='Parâmetros'!$E$1,1,-3)</f>
        <v>-3</v>
      </c>
      <c r="M404" s="82" t="b">
        <f>IF(Consultas!S404&gt;1,(IF(Consultas!S404='Parâmetros'!$E$1,-3,9)))</f>
        <v>0</v>
      </c>
      <c r="N404" s="82">
        <f>IF(Consultas!T404="S",23,0)</f>
        <v>0</v>
      </c>
      <c r="O404" s="82">
        <f>IF(Consultas!U404='Parâmetros'!$E$1,-3,3)</f>
        <v>3</v>
      </c>
      <c r="P404" s="82">
        <f>IF(Consultas!V404='Parâmetros'!$E$1,-100,2)</f>
        <v>2</v>
      </c>
      <c r="Q404" s="82">
        <f>IF(Consultas!M404='Parâmetros'!$D$1,2,-9)</f>
        <v>-9</v>
      </c>
      <c r="R404" s="82">
        <f>IF(Consultas!N404="RJ",-12,0)</f>
        <v>0</v>
      </c>
      <c r="S404" s="82">
        <f>IF(Consultas!O404="-",-3,IF(Consultas!O404=0,-6,IF(Consultas!O404=5,0,IF(Consultas!O404=10,6))))</f>
        <v>-6</v>
      </c>
      <c r="T404" s="82">
        <f>IF(Consultas!M404="S",0,(IF(Consultas!P404="S",6,0)))</f>
        <v>0</v>
      </c>
      <c r="U404" s="82">
        <f>IF(Consultas!Q404&gt;97,9,IF(Consultas!Q404&gt;75,0,-7))</f>
        <v>-7</v>
      </c>
      <c r="V404" s="82">
        <f>IF(Consultas!W404='Parâmetros'!$E$1,1,-5)</f>
        <v>-5</v>
      </c>
      <c r="W404" s="82">
        <f>IF(Consultas!X404="S",3,-3)</f>
        <v>-3</v>
      </c>
      <c r="X404" s="82">
        <f>IF(Consultas!Y404="S",0,-7)</f>
        <v>-7</v>
      </c>
      <c r="Y404" s="82">
        <f>IF(Consultas!Z404='Parâmetros'!$E$1,2,-8)</f>
        <v>-8</v>
      </c>
      <c r="Z404" s="82">
        <f>IF(Consultas!AA404='Parâmetros'!$E$1,-15,1)</f>
        <v>1</v>
      </c>
      <c r="AA404" s="147" t="s">
        <v>140</v>
      </c>
      <c r="AB404" s="82" t="str">
        <f>IF(E404="NA","NA",IF(E404&gt;'Parâmetros'!$A$9,8,IF(E404&gt;'Parâmetros'!$A$8,4,IF(E404&gt;'Parâmetros'!$A$7,0,-6))))</f>
        <v>NA</v>
      </c>
      <c r="AC404" s="82">
        <f>IF(Consultas!AC404='Parâmetros'!$E$1,0,5)</f>
        <v>5</v>
      </c>
      <c r="AD404" s="82">
        <f>IF(Consultas!AH404='Parâmetros'!$D$1,-10,5)</f>
        <v>5</v>
      </c>
      <c r="AE404" s="82">
        <f>IF(Consultas!AI404&gt;(Consultas!F404*2),-10,0)</f>
        <v>0</v>
      </c>
      <c r="AF404" s="82" t="b">
        <f>IF(Consultas!AD404&gt;1,(IF(Consultas!AI404&gt;(Consultas!AD404),-20,4)))</f>
        <v>0</v>
      </c>
      <c r="AG404" s="82">
        <f>IF(Consultas!AG404='Parâmetros'!$E$1,0,-6)</f>
        <v>-6</v>
      </c>
      <c r="AH404" s="82">
        <f>IF(Consultas!AF404='Parâmetros'!$E$1,1,-5)</f>
        <v>-5</v>
      </c>
      <c r="AI404" s="82">
        <f>IF(Consultas!AJ404&gt;700,8,IF(Consultas!AJ404&gt;500,4,IF(Consultas!AJ404&gt;200,-4,IF(Consultas!AJ404&gt;1,-15,-20))))</f>
        <v>-20</v>
      </c>
      <c r="AJ404" s="82">
        <f>IF(Consultas!AD404='Parâmetros'!$E$10,0,IF(Consultas!AD404&gt;'Parâmetros'!$A$30,12,IF(Consultas!AD404&gt;'Parâmetros'!$A$31,6,IF(Consultas!AD404&gt;'Parâmetros'!$A$32,0,IF(Consultas!AD404&gt;'Parâmetros'!$A$33,0,IF(Consultas!AD404&gt;'Parâmetros'!$A$34,-3,IF(Consultas!AD404&gt;'Parâmetros'!$A$35,-7,-1)))))))</f>
        <v>-1</v>
      </c>
      <c r="AK404" s="82">
        <f>IF(Consultas!AO404='Parâmetros'!$D$1,3,-3)</f>
        <v>-3</v>
      </c>
      <c r="AL404" s="82">
        <f>IF(Consultas!AP404='Parâmetros'!$D$1,5,-3)</f>
        <v>-3</v>
      </c>
      <c r="AM404" s="82">
        <f>IF(Consultas!AL404="N",-6,0)</f>
        <v>0</v>
      </c>
      <c r="AN404" s="82">
        <f>IF(Consultas!AM404="N",-10,0)</f>
        <v>0</v>
      </c>
      <c r="AO404" s="82">
        <f>IF(Consultas!AN404="S",4,-2)</f>
        <v>-2</v>
      </c>
      <c r="AP404" s="39"/>
      <c r="AQ404" s="165" t="str">
        <f>IF(Consultas!F404&gt;1,(SUM(F404:AO404)),"N/A")</f>
        <v>N/A</v>
      </c>
      <c r="AR404" s="78">
        <f>IF((Consultas!AD404&gt;'Parâmetros'!$A$31),"X",AJ404+Y404+V404+AC404)</f>
        <v>-9</v>
      </c>
      <c r="AS404" s="78">
        <f>IF((Consultas!AD404&gt;'Parâmetros'!$A$31),"X",(H404+I404+J404+Q404+T404+Y404+Z404+AJ404+AN404))</f>
        <v>-23</v>
      </c>
      <c r="AT404" s="78" t="str">
        <f>IF((Consultas!AD404&lt;'Parâmetros'!$A$31),"X",(AD404+AC404+AB404))</f>
        <v>X</v>
      </c>
      <c r="AU404" s="78">
        <f t="shared" si="1"/>
        <v>-23</v>
      </c>
      <c r="AV404" s="82" t="str">
        <f>IF(AQ404="N/A","N/A",IF(AQ404&gt;5,'Parâmetros'!$A$15,(IF(AU404=AR404,'Parâmetros'!$A$17,IF(AU404=AS404,'Parâmetros'!$A$16,'Parâmetros'!$A$14)))))</f>
        <v>N/A</v>
      </c>
      <c r="AW404" s="86" t="str">
        <f>IF(AQ404="N/A","N/A",IF(AV404='Parâmetros'!$A$15,'Parâmetros'!$C$15,(IF(AV404='Parâmetros'!$A$17,'Parâmetros'!$C$17,IF(AV404='Parâmetros'!$A$16,'Parâmetros'!$C$16,IF(AV404='Parâmetros'!$A$14,'Parâmetros'!$C$12))))))</f>
        <v>N/A</v>
      </c>
      <c r="AX404" s="82" t="b">
        <f>IF(Consultas!F404&gt;1,(IF(Consultas!F404&gt;5000,"SOLICITAR PED COMPRA","N/A")))</f>
        <v>0</v>
      </c>
      <c r="AY404" s="167" t="str">
        <f>IF(AND(Consultas!M404&lt;&gt;"S", Consultas!H404="S"), "CHECAGEM REVERSA", "N/A")</f>
        <v>N/A</v>
      </c>
      <c r="AZ404" s="167" t="str">
        <f>IF(Consultas!U404="N","PRECISA CORRIGIR END DIVERGENTE","N/A")</f>
        <v>N/A</v>
      </c>
    </row>
    <row r="405" ht="12.0" customHeight="1">
      <c r="A405" s="39" t="s">
        <v>90</v>
      </c>
      <c r="B405" s="82" t="str">
        <f>Consultas!B405</f>
        <v/>
      </c>
      <c r="C405" s="82" t="str">
        <f>Consultas!D405</f>
        <v/>
      </c>
      <c r="D405" s="96" t="str">
        <f>Consultas!E405</f>
        <v/>
      </c>
      <c r="E405" s="104" t="str">
        <f>IF(Consultas!AB405&gt;0,YEAR('Parâmetros'!$B$1)-YEAR(Consultas!AB405),"NA")</f>
        <v>NA</v>
      </c>
      <c r="F405" s="82">
        <f>IF(Consultas!F405&gt;'Parâmetros'!$B$2,-8,0)</f>
        <v>0</v>
      </c>
      <c r="G405" s="82">
        <f>IF(Consultas!H405='Parâmetros'!$E$1,100,0)</f>
        <v>0</v>
      </c>
      <c r="H405" s="82">
        <f>IF(Consultas!I405='Parâmetros'!$E$1,-4,12)</f>
        <v>12</v>
      </c>
      <c r="I405" s="82">
        <f>IF(Consultas!J405='Parâmetros'!$E$1,1,-13)</f>
        <v>-13</v>
      </c>
      <c r="J405" s="82">
        <f>IF(Consultas!K405='Parâmetros'!$E$1,2,-5)</f>
        <v>-5</v>
      </c>
      <c r="K405" s="82" t="str">
        <f>IF(Consultas!L405='Parâmetros'!$D$1,"SOLIC CONTRATO DE ENTREGA","N/A")</f>
        <v>N/A</v>
      </c>
      <c r="L405" s="82">
        <f>IF(Consultas!R405='Parâmetros'!$E$1,1,-3)</f>
        <v>-3</v>
      </c>
      <c r="M405" s="82" t="b">
        <f>IF(Consultas!S405&gt;1,(IF(Consultas!S405='Parâmetros'!$E$1,-3,9)))</f>
        <v>0</v>
      </c>
      <c r="N405" s="82">
        <f>IF(Consultas!T405="S",23,0)</f>
        <v>0</v>
      </c>
      <c r="O405" s="82">
        <f>IF(Consultas!U405='Parâmetros'!$E$1,-3,3)</f>
        <v>3</v>
      </c>
      <c r="P405" s="82">
        <f>IF(Consultas!V405='Parâmetros'!$E$1,-100,2)</f>
        <v>2</v>
      </c>
      <c r="Q405" s="82">
        <f>IF(Consultas!M405='Parâmetros'!$D$1,2,-9)</f>
        <v>-9</v>
      </c>
      <c r="R405" s="82">
        <f>IF(Consultas!N405="RJ",-12,0)</f>
        <v>0</v>
      </c>
      <c r="S405" s="82">
        <f>IF(Consultas!O405="-",-3,IF(Consultas!O405=0,-6,IF(Consultas!O405=5,0,IF(Consultas!O405=10,6))))</f>
        <v>-6</v>
      </c>
      <c r="T405" s="82">
        <f>IF(Consultas!M405="S",0,(IF(Consultas!P405="S",6,0)))</f>
        <v>0</v>
      </c>
      <c r="U405" s="82">
        <f>IF(Consultas!Q405&gt;97,9,IF(Consultas!Q405&gt;75,0,-7))</f>
        <v>-7</v>
      </c>
      <c r="V405" s="82">
        <f>IF(Consultas!W405='Parâmetros'!$E$1,1,-5)</f>
        <v>-5</v>
      </c>
      <c r="W405" s="82">
        <f>IF(Consultas!X405="S",3,-3)</f>
        <v>-3</v>
      </c>
      <c r="X405" s="82">
        <f>IF(Consultas!Y405="S",0,-7)</f>
        <v>-7</v>
      </c>
      <c r="Y405" s="82">
        <f>IF(Consultas!Z405='Parâmetros'!$E$1,2,-8)</f>
        <v>-8</v>
      </c>
      <c r="Z405" s="82">
        <f>IF(Consultas!AA405='Parâmetros'!$E$1,-15,1)</f>
        <v>1</v>
      </c>
      <c r="AA405" s="147" t="s">
        <v>140</v>
      </c>
      <c r="AB405" s="82" t="str">
        <f>IF(E405="NA","NA",IF(E405&gt;'Parâmetros'!$A$9,8,IF(E405&gt;'Parâmetros'!$A$8,4,IF(E405&gt;'Parâmetros'!$A$7,0,-6))))</f>
        <v>NA</v>
      </c>
      <c r="AC405" s="82">
        <f>IF(Consultas!AC405='Parâmetros'!$E$1,0,5)</f>
        <v>5</v>
      </c>
      <c r="AD405" s="82">
        <f>IF(Consultas!AH405='Parâmetros'!$D$1,-10,5)</f>
        <v>5</v>
      </c>
      <c r="AE405" s="82">
        <f>IF(Consultas!AI405&gt;(Consultas!F405*2),-10,0)</f>
        <v>0</v>
      </c>
      <c r="AF405" s="82" t="b">
        <f>IF(Consultas!AD405&gt;1,(IF(Consultas!AI405&gt;(Consultas!AD405),-20,4)))</f>
        <v>0</v>
      </c>
      <c r="AG405" s="82">
        <f>IF(Consultas!AG405='Parâmetros'!$E$1,0,-6)</f>
        <v>-6</v>
      </c>
      <c r="AH405" s="82">
        <f>IF(Consultas!AF405='Parâmetros'!$E$1,1,-5)</f>
        <v>-5</v>
      </c>
      <c r="AI405" s="82">
        <f>IF(Consultas!AJ405&gt;700,8,IF(Consultas!AJ405&gt;500,4,IF(Consultas!AJ405&gt;200,-4,IF(Consultas!AJ405&gt;1,-15,-20))))</f>
        <v>-20</v>
      </c>
      <c r="AJ405" s="82">
        <f>IF(Consultas!AD405='Parâmetros'!$E$10,0,IF(Consultas!AD405&gt;'Parâmetros'!$A$30,12,IF(Consultas!AD405&gt;'Parâmetros'!$A$31,6,IF(Consultas!AD405&gt;'Parâmetros'!$A$32,0,IF(Consultas!AD405&gt;'Parâmetros'!$A$33,0,IF(Consultas!AD405&gt;'Parâmetros'!$A$34,-3,IF(Consultas!AD405&gt;'Parâmetros'!$A$35,-7,-1)))))))</f>
        <v>-1</v>
      </c>
      <c r="AK405" s="82">
        <f>IF(Consultas!AO405='Parâmetros'!$D$1,3,-3)</f>
        <v>-3</v>
      </c>
      <c r="AL405" s="82">
        <f>IF(Consultas!AP405='Parâmetros'!$D$1,5,-3)</f>
        <v>-3</v>
      </c>
      <c r="AM405" s="82">
        <f>IF(Consultas!AL405="N",-6,0)</f>
        <v>0</v>
      </c>
      <c r="AN405" s="82">
        <f>IF(Consultas!AM405="N",-10,0)</f>
        <v>0</v>
      </c>
      <c r="AO405" s="82">
        <f>IF(Consultas!AN405="S",4,-2)</f>
        <v>-2</v>
      </c>
      <c r="AP405" s="39"/>
      <c r="AQ405" s="165" t="str">
        <f>IF(Consultas!F405&gt;1,(SUM(F405:AO405)),"N/A")</f>
        <v>N/A</v>
      </c>
      <c r="AR405" s="78">
        <f>IF((Consultas!AD405&gt;'Parâmetros'!$A$31),"X",AJ405+Y405+V405+AC405)</f>
        <v>-9</v>
      </c>
      <c r="AS405" s="78">
        <f>IF((Consultas!AD405&gt;'Parâmetros'!$A$31),"X",(H405+I405+J405+Q405+T405+Y405+Z405+AJ405+AN405))</f>
        <v>-23</v>
      </c>
      <c r="AT405" s="78" t="str">
        <f>IF((Consultas!AD405&lt;'Parâmetros'!$A$31),"X",(AD405+AC405+AB405))</f>
        <v>X</v>
      </c>
      <c r="AU405" s="78">
        <f t="shared" si="1"/>
        <v>-23</v>
      </c>
      <c r="AV405" s="82" t="str">
        <f>IF(AQ405="N/A","N/A",IF(AQ405&gt;5,'Parâmetros'!$A$15,(IF(AU405=AR405,'Parâmetros'!$A$17,IF(AU405=AS405,'Parâmetros'!$A$16,'Parâmetros'!$A$14)))))</f>
        <v>N/A</v>
      </c>
      <c r="AW405" s="86" t="str">
        <f>IF(AQ405="N/A","N/A",IF(AV405='Parâmetros'!$A$15,'Parâmetros'!$C$15,(IF(AV405='Parâmetros'!$A$17,'Parâmetros'!$C$17,IF(AV405='Parâmetros'!$A$16,'Parâmetros'!$C$16,IF(AV405='Parâmetros'!$A$14,'Parâmetros'!$C$12))))))</f>
        <v>N/A</v>
      </c>
      <c r="AX405" s="82" t="b">
        <f>IF(Consultas!F405&gt;1,(IF(Consultas!F405&gt;5000,"SOLICITAR PED COMPRA","N/A")))</f>
        <v>0</v>
      </c>
      <c r="AY405" s="167" t="str">
        <f>IF(AND(Consultas!M405&lt;&gt;"S", Consultas!H405="S"), "CHECAGEM REVERSA", "N/A")</f>
        <v>N/A</v>
      </c>
      <c r="AZ405" s="167" t="str">
        <f>IF(Consultas!U405="N","PRECISA CORRIGIR END DIVERGENTE","N/A")</f>
        <v>N/A</v>
      </c>
    </row>
    <row r="406" ht="12.0" customHeight="1">
      <c r="A406" s="39" t="s">
        <v>90</v>
      </c>
      <c r="B406" s="82" t="str">
        <f>Consultas!B406</f>
        <v/>
      </c>
      <c r="C406" s="82" t="str">
        <f>Consultas!D406</f>
        <v/>
      </c>
      <c r="D406" s="96" t="str">
        <f>Consultas!E406</f>
        <v/>
      </c>
      <c r="E406" s="104" t="str">
        <f>IF(Consultas!AB406&gt;0,YEAR('Parâmetros'!$B$1)-YEAR(Consultas!AB406),"NA")</f>
        <v>NA</v>
      </c>
      <c r="F406" s="82">
        <f>IF(Consultas!F406&gt;'Parâmetros'!$B$2,-8,0)</f>
        <v>0</v>
      </c>
      <c r="G406" s="82">
        <f>IF(Consultas!H406='Parâmetros'!$E$1,100,0)</f>
        <v>0</v>
      </c>
      <c r="H406" s="82">
        <f>IF(Consultas!I406='Parâmetros'!$E$1,-4,12)</f>
        <v>12</v>
      </c>
      <c r="I406" s="82">
        <f>IF(Consultas!J406='Parâmetros'!$E$1,1,-13)</f>
        <v>-13</v>
      </c>
      <c r="J406" s="82">
        <f>IF(Consultas!K406='Parâmetros'!$E$1,2,-5)</f>
        <v>-5</v>
      </c>
      <c r="K406" s="82" t="str">
        <f>IF(Consultas!L406='Parâmetros'!$D$1,"SOLIC CONTRATO DE ENTREGA","N/A")</f>
        <v>N/A</v>
      </c>
      <c r="L406" s="82">
        <f>IF(Consultas!R406='Parâmetros'!$E$1,1,-3)</f>
        <v>-3</v>
      </c>
      <c r="M406" s="82" t="b">
        <f>IF(Consultas!S406&gt;1,(IF(Consultas!S406='Parâmetros'!$E$1,-3,9)))</f>
        <v>0</v>
      </c>
      <c r="N406" s="82">
        <f>IF(Consultas!T406="S",23,0)</f>
        <v>0</v>
      </c>
      <c r="O406" s="82">
        <f>IF(Consultas!U406='Parâmetros'!$E$1,-3,3)</f>
        <v>3</v>
      </c>
      <c r="P406" s="82">
        <f>IF(Consultas!V406='Parâmetros'!$E$1,-100,2)</f>
        <v>2</v>
      </c>
      <c r="Q406" s="82">
        <f>IF(Consultas!M406='Parâmetros'!$D$1,2,-9)</f>
        <v>-9</v>
      </c>
      <c r="R406" s="82">
        <f>IF(Consultas!N406="RJ",-12,0)</f>
        <v>0</v>
      </c>
      <c r="S406" s="82">
        <f>IF(Consultas!O406="-",-3,IF(Consultas!O406=0,-6,IF(Consultas!O406=5,0,IF(Consultas!O406=10,6))))</f>
        <v>-6</v>
      </c>
      <c r="T406" s="82">
        <f>IF(Consultas!M406="S",0,(IF(Consultas!P406="S",6,0)))</f>
        <v>0</v>
      </c>
      <c r="U406" s="82">
        <f>IF(Consultas!Q406&gt;97,9,IF(Consultas!Q406&gt;75,0,-7))</f>
        <v>-7</v>
      </c>
      <c r="V406" s="82">
        <f>IF(Consultas!W406='Parâmetros'!$E$1,1,-5)</f>
        <v>-5</v>
      </c>
      <c r="W406" s="82">
        <f>IF(Consultas!X406="S",3,-3)</f>
        <v>-3</v>
      </c>
      <c r="X406" s="82">
        <f>IF(Consultas!Y406="S",0,-7)</f>
        <v>-7</v>
      </c>
      <c r="Y406" s="82">
        <f>IF(Consultas!Z406='Parâmetros'!$E$1,2,-8)</f>
        <v>-8</v>
      </c>
      <c r="Z406" s="82">
        <f>IF(Consultas!AA406='Parâmetros'!$E$1,-15,1)</f>
        <v>1</v>
      </c>
      <c r="AA406" s="147" t="s">
        <v>140</v>
      </c>
      <c r="AB406" s="82" t="str">
        <f>IF(E406="NA","NA",IF(E406&gt;'Parâmetros'!$A$9,8,IF(E406&gt;'Parâmetros'!$A$8,4,IF(E406&gt;'Parâmetros'!$A$7,0,-6))))</f>
        <v>NA</v>
      </c>
      <c r="AC406" s="82">
        <f>IF(Consultas!AC406='Parâmetros'!$E$1,0,5)</f>
        <v>5</v>
      </c>
      <c r="AD406" s="82">
        <f>IF(Consultas!AH406='Parâmetros'!$D$1,-10,5)</f>
        <v>5</v>
      </c>
      <c r="AE406" s="82">
        <f>IF(Consultas!AI406&gt;(Consultas!F406*2),-10,0)</f>
        <v>0</v>
      </c>
      <c r="AF406" s="82" t="b">
        <f>IF(Consultas!AD406&gt;1,(IF(Consultas!AI406&gt;(Consultas!AD406),-20,4)))</f>
        <v>0</v>
      </c>
      <c r="AG406" s="82">
        <f>IF(Consultas!AG406='Parâmetros'!$E$1,0,-6)</f>
        <v>-6</v>
      </c>
      <c r="AH406" s="82">
        <f>IF(Consultas!AF406='Parâmetros'!$E$1,1,-5)</f>
        <v>-5</v>
      </c>
      <c r="AI406" s="82">
        <f>IF(Consultas!AJ406&gt;700,8,IF(Consultas!AJ406&gt;500,4,IF(Consultas!AJ406&gt;200,-4,IF(Consultas!AJ406&gt;1,-15,-20))))</f>
        <v>-20</v>
      </c>
      <c r="AJ406" s="82">
        <f>IF(Consultas!AD406='Parâmetros'!$E$10,0,IF(Consultas!AD406&gt;'Parâmetros'!$A$30,12,IF(Consultas!AD406&gt;'Parâmetros'!$A$31,6,IF(Consultas!AD406&gt;'Parâmetros'!$A$32,0,IF(Consultas!AD406&gt;'Parâmetros'!$A$33,0,IF(Consultas!AD406&gt;'Parâmetros'!$A$34,-3,IF(Consultas!AD406&gt;'Parâmetros'!$A$35,-7,-1)))))))</f>
        <v>-1</v>
      </c>
      <c r="AK406" s="82">
        <f>IF(Consultas!AO406='Parâmetros'!$D$1,3,-3)</f>
        <v>-3</v>
      </c>
      <c r="AL406" s="82">
        <f>IF(Consultas!AP406='Parâmetros'!$D$1,5,-3)</f>
        <v>-3</v>
      </c>
      <c r="AM406" s="82">
        <f>IF(Consultas!AL406="N",-6,0)</f>
        <v>0</v>
      </c>
      <c r="AN406" s="82">
        <f>IF(Consultas!AM406="N",-10,0)</f>
        <v>0</v>
      </c>
      <c r="AO406" s="82">
        <f>IF(Consultas!AN406="S",4,-2)</f>
        <v>-2</v>
      </c>
      <c r="AP406" s="39"/>
      <c r="AQ406" s="165" t="str">
        <f>IF(Consultas!F406&gt;1,(SUM(F406:AO406)),"N/A")</f>
        <v>N/A</v>
      </c>
      <c r="AR406" s="78">
        <f>IF((Consultas!AD406&gt;'Parâmetros'!$A$31),"X",AJ406+Y406+V406+AC406)</f>
        <v>-9</v>
      </c>
      <c r="AS406" s="78">
        <f>IF((Consultas!AD406&gt;'Parâmetros'!$A$31),"X",(H406+I406+J406+Q406+T406+Y406+Z406+AJ406+AN406))</f>
        <v>-23</v>
      </c>
      <c r="AT406" s="78" t="str">
        <f>IF((Consultas!AD406&lt;'Parâmetros'!$A$31),"X",(AD406+AC406+AB406))</f>
        <v>X</v>
      </c>
      <c r="AU406" s="78">
        <f t="shared" si="1"/>
        <v>-23</v>
      </c>
      <c r="AV406" s="82" t="str">
        <f>IF(AQ406="N/A","N/A",IF(AQ406&gt;5,'Parâmetros'!$A$15,(IF(AU406=AR406,'Parâmetros'!$A$17,IF(AU406=AS406,'Parâmetros'!$A$16,'Parâmetros'!$A$14)))))</f>
        <v>N/A</v>
      </c>
      <c r="AW406" s="86" t="str">
        <f>IF(AQ406="N/A","N/A",IF(AV406='Parâmetros'!$A$15,'Parâmetros'!$C$15,(IF(AV406='Parâmetros'!$A$17,'Parâmetros'!$C$17,IF(AV406='Parâmetros'!$A$16,'Parâmetros'!$C$16,IF(AV406='Parâmetros'!$A$14,'Parâmetros'!$C$12))))))</f>
        <v>N/A</v>
      </c>
      <c r="AX406" s="82" t="b">
        <f>IF(Consultas!F406&gt;1,(IF(Consultas!F406&gt;5000,"SOLICITAR PED COMPRA","N/A")))</f>
        <v>0</v>
      </c>
      <c r="AY406" s="167" t="str">
        <f>IF(AND(Consultas!M406&lt;&gt;"S", Consultas!H406="S"), "CHECAGEM REVERSA", "N/A")</f>
        <v>N/A</v>
      </c>
      <c r="AZ406" s="167" t="str">
        <f>IF(Consultas!U406="N","PRECISA CORRIGIR END DIVERGENTE","N/A")</f>
        <v>N/A</v>
      </c>
    </row>
    <row r="407" ht="12.0" customHeight="1">
      <c r="A407" s="39" t="s">
        <v>90</v>
      </c>
      <c r="B407" s="82" t="str">
        <f>Consultas!B407</f>
        <v/>
      </c>
      <c r="C407" s="82" t="str">
        <f>Consultas!D407</f>
        <v/>
      </c>
      <c r="D407" s="96" t="str">
        <f>Consultas!E407</f>
        <v/>
      </c>
      <c r="E407" s="104" t="str">
        <f>IF(Consultas!AB407&gt;0,YEAR('Parâmetros'!$B$1)-YEAR(Consultas!AB407),"NA")</f>
        <v>NA</v>
      </c>
      <c r="F407" s="82">
        <f>IF(Consultas!F407&gt;'Parâmetros'!$B$2,-8,0)</f>
        <v>0</v>
      </c>
      <c r="G407" s="82">
        <f>IF(Consultas!H407='Parâmetros'!$E$1,100,0)</f>
        <v>0</v>
      </c>
      <c r="H407" s="82">
        <f>IF(Consultas!I407='Parâmetros'!$E$1,-4,12)</f>
        <v>12</v>
      </c>
      <c r="I407" s="82">
        <f>IF(Consultas!J407='Parâmetros'!$E$1,1,-13)</f>
        <v>-13</v>
      </c>
      <c r="J407" s="82">
        <f>IF(Consultas!K407='Parâmetros'!$E$1,2,-5)</f>
        <v>-5</v>
      </c>
      <c r="K407" s="82" t="str">
        <f>IF(Consultas!L407='Parâmetros'!$D$1,"SOLIC CONTRATO DE ENTREGA","N/A")</f>
        <v>N/A</v>
      </c>
      <c r="L407" s="82">
        <f>IF(Consultas!R407='Parâmetros'!$E$1,1,-3)</f>
        <v>-3</v>
      </c>
      <c r="M407" s="82" t="b">
        <f>IF(Consultas!S407&gt;1,(IF(Consultas!S407='Parâmetros'!$E$1,-3,9)))</f>
        <v>0</v>
      </c>
      <c r="N407" s="82">
        <f>IF(Consultas!T407="S",23,0)</f>
        <v>0</v>
      </c>
      <c r="O407" s="82">
        <f>IF(Consultas!U407='Parâmetros'!$E$1,-3,3)</f>
        <v>3</v>
      </c>
      <c r="P407" s="82">
        <f>IF(Consultas!V407='Parâmetros'!$E$1,-100,2)</f>
        <v>2</v>
      </c>
      <c r="Q407" s="82">
        <f>IF(Consultas!M407='Parâmetros'!$D$1,2,-9)</f>
        <v>-9</v>
      </c>
      <c r="R407" s="82">
        <f>IF(Consultas!N407="RJ",-12,0)</f>
        <v>0</v>
      </c>
      <c r="S407" s="82">
        <f>IF(Consultas!O407="-",-3,IF(Consultas!O407=0,-6,IF(Consultas!O407=5,0,IF(Consultas!O407=10,6))))</f>
        <v>-6</v>
      </c>
      <c r="T407" s="82">
        <f>IF(Consultas!M407="S",0,(IF(Consultas!P407="S",6,0)))</f>
        <v>0</v>
      </c>
      <c r="U407" s="82">
        <f>IF(Consultas!Q407&gt;97,9,IF(Consultas!Q407&gt;75,0,-7))</f>
        <v>-7</v>
      </c>
      <c r="V407" s="82">
        <f>IF(Consultas!W407='Parâmetros'!$E$1,1,-5)</f>
        <v>-5</v>
      </c>
      <c r="W407" s="82">
        <f>IF(Consultas!X407="S",3,-3)</f>
        <v>-3</v>
      </c>
      <c r="X407" s="82">
        <f>IF(Consultas!Y407="S",0,-7)</f>
        <v>-7</v>
      </c>
      <c r="Y407" s="82">
        <f>IF(Consultas!Z407='Parâmetros'!$E$1,2,-8)</f>
        <v>-8</v>
      </c>
      <c r="Z407" s="82">
        <f>IF(Consultas!AA407='Parâmetros'!$E$1,-15,1)</f>
        <v>1</v>
      </c>
      <c r="AA407" s="147" t="s">
        <v>140</v>
      </c>
      <c r="AB407" s="82" t="str">
        <f>IF(E407="NA","NA",IF(E407&gt;'Parâmetros'!$A$9,8,IF(E407&gt;'Parâmetros'!$A$8,4,IF(E407&gt;'Parâmetros'!$A$7,0,-6))))</f>
        <v>NA</v>
      </c>
      <c r="AC407" s="82">
        <f>IF(Consultas!AC407='Parâmetros'!$E$1,0,5)</f>
        <v>5</v>
      </c>
      <c r="AD407" s="82">
        <f>IF(Consultas!AH407='Parâmetros'!$D$1,-10,5)</f>
        <v>5</v>
      </c>
      <c r="AE407" s="82">
        <f>IF(Consultas!AI407&gt;(Consultas!F407*2),-10,0)</f>
        <v>0</v>
      </c>
      <c r="AF407" s="82" t="b">
        <f>IF(Consultas!AD407&gt;1,(IF(Consultas!AI407&gt;(Consultas!AD407),-20,4)))</f>
        <v>0</v>
      </c>
      <c r="AG407" s="82">
        <f>IF(Consultas!AG407='Parâmetros'!$E$1,0,-6)</f>
        <v>-6</v>
      </c>
      <c r="AH407" s="82">
        <f>IF(Consultas!AF407='Parâmetros'!$E$1,1,-5)</f>
        <v>-5</v>
      </c>
      <c r="AI407" s="82">
        <f>IF(Consultas!AJ407&gt;700,8,IF(Consultas!AJ407&gt;500,4,IF(Consultas!AJ407&gt;200,-4,IF(Consultas!AJ407&gt;1,-15,-20))))</f>
        <v>-20</v>
      </c>
      <c r="AJ407" s="82">
        <f>IF(Consultas!AD407='Parâmetros'!$E$10,0,IF(Consultas!AD407&gt;'Parâmetros'!$A$30,12,IF(Consultas!AD407&gt;'Parâmetros'!$A$31,6,IF(Consultas!AD407&gt;'Parâmetros'!$A$32,0,IF(Consultas!AD407&gt;'Parâmetros'!$A$33,0,IF(Consultas!AD407&gt;'Parâmetros'!$A$34,-3,IF(Consultas!AD407&gt;'Parâmetros'!$A$35,-7,-1)))))))</f>
        <v>-1</v>
      </c>
      <c r="AK407" s="82">
        <f>IF(Consultas!AO407='Parâmetros'!$D$1,3,-3)</f>
        <v>-3</v>
      </c>
      <c r="AL407" s="82">
        <f>IF(Consultas!AP407='Parâmetros'!$D$1,5,-3)</f>
        <v>-3</v>
      </c>
      <c r="AM407" s="82">
        <f>IF(Consultas!AL407="N",-6,0)</f>
        <v>0</v>
      </c>
      <c r="AN407" s="82">
        <f>IF(Consultas!AM407="N",-10,0)</f>
        <v>0</v>
      </c>
      <c r="AO407" s="82">
        <f>IF(Consultas!AN407="S",4,-2)</f>
        <v>-2</v>
      </c>
      <c r="AP407" s="39"/>
      <c r="AQ407" s="165" t="str">
        <f>IF(Consultas!F407&gt;1,(SUM(F407:AO407)),"N/A")</f>
        <v>N/A</v>
      </c>
      <c r="AR407" s="78">
        <f>IF((Consultas!AD407&gt;'Parâmetros'!$A$31),"X",AJ407+Y407+V407+AC407)</f>
        <v>-9</v>
      </c>
      <c r="AS407" s="78">
        <f>IF((Consultas!AD407&gt;'Parâmetros'!$A$31),"X",(H407+I407+J407+Q407+T407+Y407+Z407+AJ407+AN407))</f>
        <v>-23</v>
      </c>
      <c r="AT407" s="78" t="str">
        <f>IF((Consultas!AD407&lt;'Parâmetros'!$A$31),"X",(AD407+AC407+AB407))</f>
        <v>X</v>
      </c>
      <c r="AU407" s="78">
        <f t="shared" si="1"/>
        <v>-23</v>
      </c>
      <c r="AV407" s="82" t="str">
        <f>IF(AQ407="N/A","N/A",IF(AQ407&gt;5,'Parâmetros'!$A$15,(IF(AU407=AR407,'Parâmetros'!$A$17,IF(AU407=AS407,'Parâmetros'!$A$16,'Parâmetros'!$A$14)))))</f>
        <v>N/A</v>
      </c>
      <c r="AW407" s="86" t="str">
        <f>IF(AQ407="N/A","N/A",IF(AV407='Parâmetros'!$A$15,'Parâmetros'!$C$15,(IF(AV407='Parâmetros'!$A$17,'Parâmetros'!$C$17,IF(AV407='Parâmetros'!$A$16,'Parâmetros'!$C$16,IF(AV407='Parâmetros'!$A$14,'Parâmetros'!$C$12))))))</f>
        <v>N/A</v>
      </c>
      <c r="AX407" s="82" t="b">
        <f>IF(Consultas!F407&gt;1,(IF(Consultas!F407&gt;5000,"SOLICITAR PED COMPRA","N/A")))</f>
        <v>0</v>
      </c>
      <c r="AY407" s="167" t="str">
        <f>IF(AND(Consultas!M407&lt;&gt;"S", Consultas!H407="S"), "CHECAGEM REVERSA", "N/A")</f>
        <v>N/A</v>
      </c>
      <c r="AZ407" s="167" t="str">
        <f>IF(Consultas!U407="N","PRECISA CORRIGIR END DIVERGENTE","N/A")</f>
        <v>N/A</v>
      </c>
    </row>
    <row r="408" ht="12.0" customHeight="1">
      <c r="A408" s="39" t="s">
        <v>90</v>
      </c>
      <c r="B408" s="82" t="str">
        <f>Consultas!B408</f>
        <v/>
      </c>
      <c r="C408" s="82" t="str">
        <f>Consultas!D408</f>
        <v/>
      </c>
      <c r="D408" s="96" t="str">
        <f>Consultas!E408</f>
        <v/>
      </c>
      <c r="E408" s="104" t="str">
        <f>IF(Consultas!AB408&gt;0,YEAR('Parâmetros'!$B$1)-YEAR(Consultas!AB408),"NA")</f>
        <v>NA</v>
      </c>
      <c r="F408" s="82">
        <f>IF(Consultas!F408&gt;'Parâmetros'!$B$2,-8,0)</f>
        <v>0</v>
      </c>
      <c r="G408" s="82">
        <f>IF(Consultas!H408='Parâmetros'!$E$1,100,0)</f>
        <v>0</v>
      </c>
      <c r="H408" s="82">
        <f>IF(Consultas!I408='Parâmetros'!$E$1,-4,12)</f>
        <v>12</v>
      </c>
      <c r="I408" s="82">
        <f>IF(Consultas!J408='Parâmetros'!$E$1,1,-13)</f>
        <v>-13</v>
      </c>
      <c r="J408" s="82">
        <f>IF(Consultas!K408='Parâmetros'!$E$1,2,-5)</f>
        <v>-5</v>
      </c>
      <c r="K408" s="82" t="str">
        <f>IF(Consultas!L408='Parâmetros'!$D$1,"SOLIC CONTRATO DE ENTREGA","N/A")</f>
        <v>N/A</v>
      </c>
      <c r="L408" s="82">
        <f>IF(Consultas!R408='Parâmetros'!$E$1,1,-3)</f>
        <v>-3</v>
      </c>
      <c r="M408" s="82" t="b">
        <f>IF(Consultas!S408&gt;1,(IF(Consultas!S408='Parâmetros'!$E$1,-3,9)))</f>
        <v>0</v>
      </c>
      <c r="N408" s="82">
        <f>IF(Consultas!T408="S",23,0)</f>
        <v>0</v>
      </c>
      <c r="O408" s="82">
        <f>IF(Consultas!U408='Parâmetros'!$E$1,-3,3)</f>
        <v>3</v>
      </c>
      <c r="P408" s="82">
        <f>IF(Consultas!V408='Parâmetros'!$E$1,-100,2)</f>
        <v>2</v>
      </c>
      <c r="Q408" s="82">
        <f>IF(Consultas!M408='Parâmetros'!$D$1,2,-9)</f>
        <v>-9</v>
      </c>
      <c r="R408" s="82">
        <f>IF(Consultas!N408="RJ",-12,0)</f>
        <v>0</v>
      </c>
      <c r="S408" s="82">
        <f>IF(Consultas!O408="-",-3,IF(Consultas!O408=0,-6,IF(Consultas!O408=5,0,IF(Consultas!O408=10,6))))</f>
        <v>-6</v>
      </c>
      <c r="T408" s="82">
        <f>IF(Consultas!M408="S",0,(IF(Consultas!P408="S",6,0)))</f>
        <v>0</v>
      </c>
      <c r="U408" s="82">
        <f>IF(Consultas!Q408&gt;97,9,IF(Consultas!Q408&gt;75,0,-7))</f>
        <v>-7</v>
      </c>
      <c r="V408" s="82">
        <f>IF(Consultas!W408='Parâmetros'!$E$1,1,-5)</f>
        <v>-5</v>
      </c>
      <c r="W408" s="82">
        <f>IF(Consultas!X408="S",3,-3)</f>
        <v>-3</v>
      </c>
      <c r="X408" s="82">
        <f>IF(Consultas!Y408="S",0,-7)</f>
        <v>-7</v>
      </c>
      <c r="Y408" s="82">
        <f>IF(Consultas!Z408='Parâmetros'!$E$1,2,-8)</f>
        <v>-8</v>
      </c>
      <c r="Z408" s="82">
        <f>IF(Consultas!AA408='Parâmetros'!$E$1,-15,1)</f>
        <v>1</v>
      </c>
      <c r="AA408" s="147" t="s">
        <v>140</v>
      </c>
      <c r="AB408" s="82" t="str">
        <f>IF(E408="NA","NA",IF(E408&gt;'Parâmetros'!$A$9,8,IF(E408&gt;'Parâmetros'!$A$8,4,IF(E408&gt;'Parâmetros'!$A$7,0,-6))))</f>
        <v>NA</v>
      </c>
      <c r="AC408" s="82">
        <f>IF(Consultas!AC408='Parâmetros'!$E$1,0,5)</f>
        <v>5</v>
      </c>
      <c r="AD408" s="82">
        <f>IF(Consultas!AH408='Parâmetros'!$D$1,-10,5)</f>
        <v>5</v>
      </c>
      <c r="AE408" s="82">
        <f>IF(Consultas!AI408&gt;(Consultas!F408*2),-10,0)</f>
        <v>0</v>
      </c>
      <c r="AF408" s="82" t="b">
        <f>IF(Consultas!AD408&gt;1,(IF(Consultas!AI408&gt;(Consultas!AD408),-20,4)))</f>
        <v>0</v>
      </c>
      <c r="AG408" s="82">
        <f>IF(Consultas!AG408='Parâmetros'!$E$1,0,-6)</f>
        <v>-6</v>
      </c>
      <c r="AH408" s="82">
        <f>IF(Consultas!AF408='Parâmetros'!$E$1,1,-5)</f>
        <v>-5</v>
      </c>
      <c r="AI408" s="82">
        <f>IF(Consultas!AJ408&gt;700,8,IF(Consultas!AJ408&gt;500,4,IF(Consultas!AJ408&gt;200,-4,IF(Consultas!AJ408&gt;1,-15,-20))))</f>
        <v>-20</v>
      </c>
      <c r="AJ408" s="82">
        <f>IF(Consultas!AD408='Parâmetros'!$E$10,0,IF(Consultas!AD408&gt;'Parâmetros'!$A$30,12,IF(Consultas!AD408&gt;'Parâmetros'!$A$31,6,IF(Consultas!AD408&gt;'Parâmetros'!$A$32,0,IF(Consultas!AD408&gt;'Parâmetros'!$A$33,0,IF(Consultas!AD408&gt;'Parâmetros'!$A$34,-3,IF(Consultas!AD408&gt;'Parâmetros'!$A$35,-7,-1)))))))</f>
        <v>-1</v>
      </c>
      <c r="AK408" s="82">
        <f>IF(Consultas!AO408='Parâmetros'!$D$1,3,-3)</f>
        <v>-3</v>
      </c>
      <c r="AL408" s="82">
        <f>IF(Consultas!AP408='Parâmetros'!$D$1,5,-3)</f>
        <v>-3</v>
      </c>
      <c r="AM408" s="82">
        <f>IF(Consultas!AL408="N",-6,0)</f>
        <v>0</v>
      </c>
      <c r="AN408" s="82">
        <f>IF(Consultas!AM408="N",-10,0)</f>
        <v>0</v>
      </c>
      <c r="AO408" s="82">
        <f>IF(Consultas!AN408="S",4,-2)</f>
        <v>-2</v>
      </c>
      <c r="AP408" s="39"/>
      <c r="AQ408" s="165" t="str">
        <f>IF(Consultas!F408&gt;1,(SUM(F408:AO408)),"N/A")</f>
        <v>N/A</v>
      </c>
      <c r="AR408" s="78">
        <f>IF((Consultas!AD408&gt;'Parâmetros'!$A$31),"X",AJ408+Y408+V408+AC408)</f>
        <v>-9</v>
      </c>
      <c r="AS408" s="78">
        <f>IF((Consultas!AD408&gt;'Parâmetros'!$A$31),"X",(H408+I408+J408+Q408+T408+Y408+Z408+AJ408+AN408))</f>
        <v>-23</v>
      </c>
      <c r="AT408" s="78" t="str">
        <f>IF((Consultas!AD408&lt;'Parâmetros'!$A$31),"X",(AD408+AC408+AB408))</f>
        <v>X</v>
      </c>
      <c r="AU408" s="78">
        <f t="shared" si="1"/>
        <v>-23</v>
      </c>
      <c r="AV408" s="82" t="str">
        <f>IF(AQ408="N/A","N/A",IF(AQ408&gt;5,'Parâmetros'!$A$15,(IF(AU408=AR408,'Parâmetros'!$A$17,IF(AU408=AS408,'Parâmetros'!$A$16,'Parâmetros'!$A$14)))))</f>
        <v>N/A</v>
      </c>
      <c r="AW408" s="86" t="str">
        <f>IF(AQ408="N/A","N/A",IF(AV408='Parâmetros'!$A$15,'Parâmetros'!$C$15,(IF(AV408='Parâmetros'!$A$17,'Parâmetros'!$C$17,IF(AV408='Parâmetros'!$A$16,'Parâmetros'!$C$16,IF(AV408='Parâmetros'!$A$14,'Parâmetros'!$C$12))))))</f>
        <v>N/A</v>
      </c>
      <c r="AX408" s="82" t="b">
        <f>IF(Consultas!F408&gt;1,(IF(Consultas!F408&gt;5000,"SOLICITAR PED COMPRA","N/A")))</f>
        <v>0</v>
      </c>
      <c r="AY408" s="167" t="str">
        <f>IF(AND(Consultas!M408&lt;&gt;"S", Consultas!H408="S"), "CHECAGEM REVERSA", "N/A")</f>
        <v>N/A</v>
      </c>
      <c r="AZ408" s="167" t="str">
        <f>IF(Consultas!U408="N","PRECISA CORRIGIR END DIVERGENTE","N/A")</f>
        <v>N/A</v>
      </c>
    </row>
    <row r="409" ht="12.0" customHeight="1">
      <c r="A409" s="39" t="s">
        <v>90</v>
      </c>
      <c r="B409" s="82" t="str">
        <f>Consultas!B409</f>
        <v/>
      </c>
      <c r="C409" s="82" t="str">
        <f>Consultas!D409</f>
        <v/>
      </c>
      <c r="D409" s="96" t="str">
        <f>Consultas!E409</f>
        <v/>
      </c>
      <c r="E409" s="104" t="str">
        <f>IF(Consultas!AB409&gt;0,YEAR('Parâmetros'!$B$1)-YEAR(Consultas!AB409),"NA")</f>
        <v>NA</v>
      </c>
      <c r="F409" s="82">
        <f>IF(Consultas!F409&gt;'Parâmetros'!$B$2,-8,0)</f>
        <v>0</v>
      </c>
      <c r="G409" s="82">
        <f>IF(Consultas!H409='Parâmetros'!$E$1,100,0)</f>
        <v>0</v>
      </c>
      <c r="H409" s="82">
        <f>IF(Consultas!I409='Parâmetros'!$E$1,-4,12)</f>
        <v>12</v>
      </c>
      <c r="I409" s="82">
        <f>IF(Consultas!J409='Parâmetros'!$E$1,1,-13)</f>
        <v>-13</v>
      </c>
      <c r="J409" s="82">
        <f>IF(Consultas!K409='Parâmetros'!$E$1,2,-5)</f>
        <v>-5</v>
      </c>
      <c r="K409" s="82" t="str">
        <f>IF(Consultas!L409='Parâmetros'!$D$1,"SOLIC CONTRATO DE ENTREGA","N/A")</f>
        <v>N/A</v>
      </c>
      <c r="L409" s="82">
        <f>IF(Consultas!R409='Parâmetros'!$E$1,1,-3)</f>
        <v>-3</v>
      </c>
      <c r="M409" s="82" t="b">
        <f>IF(Consultas!S409&gt;1,(IF(Consultas!S409='Parâmetros'!$E$1,-3,9)))</f>
        <v>0</v>
      </c>
      <c r="N409" s="82">
        <f>IF(Consultas!T409="S",23,0)</f>
        <v>0</v>
      </c>
      <c r="O409" s="82">
        <f>IF(Consultas!U409='Parâmetros'!$E$1,-3,3)</f>
        <v>3</v>
      </c>
      <c r="P409" s="82">
        <f>IF(Consultas!V409='Parâmetros'!$E$1,-100,2)</f>
        <v>2</v>
      </c>
      <c r="Q409" s="82">
        <f>IF(Consultas!M409='Parâmetros'!$D$1,2,-9)</f>
        <v>-9</v>
      </c>
      <c r="R409" s="82">
        <f>IF(Consultas!N409="RJ",-12,0)</f>
        <v>0</v>
      </c>
      <c r="S409" s="82">
        <f>IF(Consultas!O409="-",-3,IF(Consultas!O409=0,-6,IF(Consultas!O409=5,0,IF(Consultas!O409=10,6))))</f>
        <v>-6</v>
      </c>
      <c r="T409" s="82">
        <f>IF(Consultas!M409="S",0,(IF(Consultas!P409="S",6,0)))</f>
        <v>0</v>
      </c>
      <c r="U409" s="82">
        <f>IF(Consultas!Q409&gt;97,9,IF(Consultas!Q409&gt;75,0,-7))</f>
        <v>-7</v>
      </c>
      <c r="V409" s="82">
        <f>IF(Consultas!W409='Parâmetros'!$E$1,1,-5)</f>
        <v>-5</v>
      </c>
      <c r="W409" s="82">
        <f>IF(Consultas!X409="S",3,-3)</f>
        <v>-3</v>
      </c>
      <c r="X409" s="82">
        <f>IF(Consultas!Y409="S",0,-7)</f>
        <v>-7</v>
      </c>
      <c r="Y409" s="82">
        <f>IF(Consultas!Z409='Parâmetros'!$E$1,2,-8)</f>
        <v>-8</v>
      </c>
      <c r="Z409" s="82">
        <f>IF(Consultas!AA409='Parâmetros'!$E$1,-15,1)</f>
        <v>1</v>
      </c>
      <c r="AA409" s="147" t="s">
        <v>140</v>
      </c>
      <c r="AB409" s="82" t="str">
        <f>IF(E409="NA","NA",IF(E409&gt;'Parâmetros'!$A$9,8,IF(E409&gt;'Parâmetros'!$A$8,4,IF(E409&gt;'Parâmetros'!$A$7,0,-6))))</f>
        <v>NA</v>
      </c>
      <c r="AC409" s="82">
        <f>IF(Consultas!AC409='Parâmetros'!$E$1,0,5)</f>
        <v>5</v>
      </c>
      <c r="AD409" s="82">
        <f>IF(Consultas!AH409='Parâmetros'!$D$1,-10,5)</f>
        <v>5</v>
      </c>
      <c r="AE409" s="82">
        <f>IF(Consultas!AI409&gt;(Consultas!F409*2),-10,0)</f>
        <v>0</v>
      </c>
      <c r="AF409" s="82" t="b">
        <f>IF(Consultas!AD409&gt;1,(IF(Consultas!AI409&gt;(Consultas!AD409),-20,4)))</f>
        <v>0</v>
      </c>
      <c r="AG409" s="82">
        <f>IF(Consultas!AG409='Parâmetros'!$E$1,0,-6)</f>
        <v>-6</v>
      </c>
      <c r="AH409" s="82">
        <f>IF(Consultas!AF409='Parâmetros'!$E$1,1,-5)</f>
        <v>-5</v>
      </c>
      <c r="AI409" s="82">
        <f>IF(Consultas!AJ409&gt;700,8,IF(Consultas!AJ409&gt;500,4,IF(Consultas!AJ409&gt;200,-4,IF(Consultas!AJ409&gt;1,-15,-20))))</f>
        <v>-20</v>
      </c>
      <c r="AJ409" s="82">
        <f>IF(Consultas!AD409='Parâmetros'!$E$10,0,IF(Consultas!AD409&gt;'Parâmetros'!$A$30,12,IF(Consultas!AD409&gt;'Parâmetros'!$A$31,6,IF(Consultas!AD409&gt;'Parâmetros'!$A$32,0,IF(Consultas!AD409&gt;'Parâmetros'!$A$33,0,IF(Consultas!AD409&gt;'Parâmetros'!$A$34,-3,IF(Consultas!AD409&gt;'Parâmetros'!$A$35,-7,-1)))))))</f>
        <v>-1</v>
      </c>
      <c r="AK409" s="82">
        <f>IF(Consultas!AO409='Parâmetros'!$D$1,3,-3)</f>
        <v>-3</v>
      </c>
      <c r="AL409" s="82">
        <f>IF(Consultas!AP409='Parâmetros'!$D$1,5,-3)</f>
        <v>-3</v>
      </c>
      <c r="AM409" s="82">
        <f>IF(Consultas!AL409="N",-6,0)</f>
        <v>0</v>
      </c>
      <c r="AN409" s="82">
        <f>IF(Consultas!AM409="N",-10,0)</f>
        <v>0</v>
      </c>
      <c r="AO409" s="82">
        <f>IF(Consultas!AN409="S",4,-2)</f>
        <v>-2</v>
      </c>
      <c r="AP409" s="39"/>
      <c r="AQ409" s="165" t="str">
        <f>IF(Consultas!F409&gt;1,(SUM(F409:AO409)),"N/A")</f>
        <v>N/A</v>
      </c>
      <c r="AR409" s="78">
        <f>IF((Consultas!AD409&gt;'Parâmetros'!$A$31),"X",AJ409+Y409+V409+AC409)</f>
        <v>-9</v>
      </c>
      <c r="AS409" s="78">
        <f>IF((Consultas!AD409&gt;'Parâmetros'!$A$31),"X",(H409+I409+J409+Q409+T409+Y409+Z409+AJ409+AN409))</f>
        <v>-23</v>
      </c>
      <c r="AT409" s="78" t="str">
        <f>IF((Consultas!AD409&lt;'Parâmetros'!$A$31),"X",(AD409+AC409+AB409))</f>
        <v>X</v>
      </c>
      <c r="AU409" s="78">
        <f t="shared" si="1"/>
        <v>-23</v>
      </c>
      <c r="AV409" s="82" t="str">
        <f>IF(AQ409="N/A","N/A",IF(AQ409&gt;5,'Parâmetros'!$A$15,(IF(AU409=AR409,'Parâmetros'!$A$17,IF(AU409=AS409,'Parâmetros'!$A$16,'Parâmetros'!$A$14)))))</f>
        <v>N/A</v>
      </c>
      <c r="AW409" s="86" t="str">
        <f>IF(AQ409="N/A","N/A",IF(AV409='Parâmetros'!$A$15,'Parâmetros'!$C$15,(IF(AV409='Parâmetros'!$A$17,'Parâmetros'!$C$17,IF(AV409='Parâmetros'!$A$16,'Parâmetros'!$C$16,IF(AV409='Parâmetros'!$A$14,'Parâmetros'!$C$12))))))</f>
        <v>N/A</v>
      </c>
      <c r="AX409" s="82" t="b">
        <f>IF(Consultas!F409&gt;1,(IF(Consultas!F409&gt;5000,"SOLICITAR PED COMPRA","N/A")))</f>
        <v>0</v>
      </c>
      <c r="AY409" s="167" t="str">
        <f>IF(AND(Consultas!M409&lt;&gt;"S", Consultas!H409="S"), "CHECAGEM REVERSA", "N/A")</f>
        <v>N/A</v>
      </c>
      <c r="AZ409" s="167" t="str">
        <f>IF(Consultas!U409="N","PRECISA CORRIGIR END DIVERGENTE","N/A")</f>
        <v>N/A</v>
      </c>
    </row>
    <row r="410" ht="12.0" customHeight="1">
      <c r="A410" s="39" t="s">
        <v>90</v>
      </c>
      <c r="B410" s="82" t="str">
        <f>Consultas!B410</f>
        <v/>
      </c>
      <c r="C410" s="82" t="str">
        <f>Consultas!D410</f>
        <v/>
      </c>
      <c r="D410" s="96" t="str">
        <f>Consultas!E410</f>
        <v/>
      </c>
      <c r="E410" s="104" t="str">
        <f>IF(Consultas!AB410&gt;0,YEAR('Parâmetros'!$B$1)-YEAR(Consultas!AB410),"NA")</f>
        <v>NA</v>
      </c>
      <c r="F410" s="82">
        <f>IF(Consultas!F410&gt;'Parâmetros'!$B$2,-8,0)</f>
        <v>0</v>
      </c>
      <c r="G410" s="82">
        <f>IF(Consultas!H410='Parâmetros'!$E$1,100,0)</f>
        <v>0</v>
      </c>
      <c r="H410" s="82">
        <f>IF(Consultas!I410='Parâmetros'!$E$1,-4,12)</f>
        <v>12</v>
      </c>
      <c r="I410" s="82">
        <f>IF(Consultas!J410='Parâmetros'!$E$1,1,-13)</f>
        <v>-13</v>
      </c>
      <c r="J410" s="82">
        <f>IF(Consultas!K410='Parâmetros'!$E$1,2,-5)</f>
        <v>-5</v>
      </c>
      <c r="K410" s="82" t="str">
        <f>IF(Consultas!L410='Parâmetros'!$D$1,"SOLIC CONTRATO DE ENTREGA","N/A")</f>
        <v>N/A</v>
      </c>
      <c r="L410" s="82">
        <f>IF(Consultas!R410='Parâmetros'!$E$1,1,-3)</f>
        <v>-3</v>
      </c>
      <c r="M410" s="82" t="b">
        <f>IF(Consultas!S410&gt;1,(IF(Consultas!S410='Parâmetros'!$E$1,-3,9)))</f>
        <v>0</v>
      </c>
      <c r="N410" s="82">
        <f>IF(Consultas!T410="S",23,0)</f>
        <v>0</v>
      </c>
      <c r="O410" s="82">
        <f>IF(Consultas!U410='Parâmetros'!$E$1,-3,3)</f>
        <v>3</v>
      </c>
      <c r="P410" s="82">
        <f>IF(Consultas!V410='Parâmetros'!$E$1,-100,2)</f>
        <v>2</v>
      </c>
      <c r="Q410" s="82">
        <f>IF(Consultas!M410='Parâmetros'!$D$1,2,-9)</f>
        <v>-9</v>
      </c>
      <c r="R410" s="82">
        <f>IF(Consultas!N410="RJ",-12,0)</f>
        <v>0</v>
      </c>
      <c r="S410" s="82">
        <f>IF(Consultas!O410="-",-3,IF(Consultas!O410=0,-6,IF(Consultas!O410=5,0,IF(Consultas!O410=10,6))))</f>
        <v>-6</v>
      </c>
      <c r="T410" s="82">
        <f>IF(Consultas!M410="S",0,(IF(Consultas!P410="S",6,0)))</f>
        <v>0</v>
      </c>
      <c r="U410" s="82">
        <f>IF(Consultas!Q410&gt;97,9,IF(Consultas!Q410&gt;75,0,-7))</f>
        <v>-7</v>
      </c>
      <c r="V410" s="82">
        <f>IF(Consultas!W410='Parâmetros'!$E$1,1,-5)</f>
        <v>-5</v>
      </c>
      <c r="W410" s="82">
        <f>IF(Consultas!X410="S",3,-3)</f>
        <v>-3</v>
      </c>
      <c r="X410" s="82">
        <f>IF(Consultas!Y410="S",0,-7)</f>
        <v>-7</v>
      </c>
      <c r="Y410" s="82">
        <f>IF(Consultas!Z410='Parâmetros'!$E$1,2,-8)</f>
        <v>-8</v>
      </c>
      <c r="Z410" s="82">
        <f>IF(Consultas!AA410='Parâmetros'!$E$1,-15,1)</f>
        <v>1</v>
      </c>
      <c r="AA410" s="147" t="s">
        <v>140</v>
      </c>
      <c r="AB410" s="82" t="str">
        <f>IF(E410="NA","NA",IF(E410&gt;'Parâmetros'!$A$9,8,IF(E410&gt;'Parâmetros'!$A$8,4,IF(E410&gt;'Parâmetros'!$A$7,0,-6))))</f>
        <v>NA</v>
      </c>
      <c r="AC410" s="82">
        <f>IF(Consultas!AC410='Parâmetros'!$E$1,0,5)</f>
        <v>5</v>
      </c>
      <c r="AD410" s="82">
        <f>IF(Consultas!AH410='Parâmetros'!$D$1,-10,5)</f>
        <v>5</v>
      </c>
      <c r="AE410" s="82">
        <f>IF(Consultas!AI410&gt;(Consultas!F410*2),-10,0)</f>
        <v>0</v>
      </c>
      <c r="AF410" s="82" t="b">
        <f>IF(Consultas!AD410&gt;1,(IF(Consultas!AI410&gt;(Consultas!AD410),-20,4)))</f>
        <v>0</v>
      </c>
      <c r="AG410" s="82">
        <f>IF(Consultas!AG410='Parâmetros'!$E$1,0,-6)</f>
        <v>-6</v>
      </c>
      <c r="AH410" s="82">
        <f>IF(Consultas!AF410='Parâmetros'!$E$1,1,-5)</f>
        <v>-5</v>
      </c>
      <c r="AI410" s="82">
        <f>IF(Consultas!AJ410&gt;700,8,IF(Consultas!AJ410&gt;500,4,IF(Consultas!AJ410&gt;200,-4,IF(Consultas!AJ410&gt;1,-15,-20))))</f>
        <v>-20</v>
      </c>
      <c r="AJ410" s="82">
        <f>IF(Consultas!AD410='Parâmetros'!$E$10,0,IF(Consultas!AD410&gt;'Parâmetros'!$A$30,12,IF(Consultas!AD410&gt;'Parâmetros'!$A$31,6,IF(Consultas!AD410&gt;'Parâmetros'!$A$32,0,IF(Consultas!AD410&gt;'Parâmetros'!$A$33,0,IF(Consultas!AD410&gt;'Parâmetros'!$A$34,-3,IF(Consultas!AD410&gt;'Parâmetros'!$A$35,-7,-1)))))))</f>
        <v>-1</v>
      </c>
      <c r="AK410" s="82">
        <f>IF(Consultas!AO410='Parâmetros'!$D$1,3,-3)</f>
        <v>-3</v>
      </c>
      <c r="AL410" s="82">
        <f>IF(Consultas!AP410='Parâmetros'!$D$1,5,-3)</f>
        <v>-3</v>
      </c>
      <c r="AM410" s="82">
        <f>IF(Consultas!AL410="N",-6,0)</f>
        <v>0</v>
      </c>
      <c r="AN410" s="82">
        <f>IF(Consultas!AM410="N",-10,0)</f>
        <v>0</v>
      </c>
      <c r="AO410" s="82">
        <f>IF(Consultas!AN410="S",4,-2)</f>
        <v>-2</v>
      </c>
      <c r="AP410" s="39"/>
      <c r="AQ410" s="165" t="str">
        <f>IF(Consultas!F410&gt;1,(SUM(F410:AO410)),"N/A")</f>
        <v>N/A</v>
      </c>
      <c r="AR410" s="78">
        <f>IF((Consultas!AD410&gt;'Parâmetros'!$A$31),"X",AJ410+Y410+V410+AC410)</f>
        <v>-9</v>
      </c>
      <c r="AS410" s="78">
        <f>IF((Consultas!AD410&gt;'Parâmetros'!$A$31),"X",(H410+I410+J410+Q410+T410+Y410+Z410+AJ410+AN410))</f>
        <v>-23</v>
      </c>
      <c r="AT410" s="78" t="str">
        <f>IF((Consultas!AD410&lt;'Parâmetros'!$A$31),"X",(AD410+AC410+AB410))</f>
        <v>X</v>
      </c>
      <c r="AU410" s="78">
        <f t="shared" si="1"/>
        <v>-23</v>
      </c>
      <c r="AV410" s="82" t="str">
        <f>IF(AQ410="N/A","N/A",IF(AQ410&gt;5,'Parâmetros'!$A$15,(IF(AU410=AR410,'Parâmetros'!$A$17,IF(AU410=AS410,'Parâmetros'!$A$16,'Parâmetros'!$A$14)))))</f>
        <v>N/A</v>
      </c>
      <c r="AW410" s="86" t="str">
        <f>IF(AQ410="N/A","N/A",IF(AV410='Parâmetros'!$A$15,'Parâmetros'!$C$15,(IF(AV410='Parâmetros'!$A$17,'Parâmetros'!$C$17,IF(AV410='Parâmetros'!$A$16,'Parâmetros'!$C$16,IF(AV410='Parâmetros'!$A$14,'Parâmetros'!$C$12))))))</f>
        <v>N/A</v>
      </c>
      <c r="AX410" s="82" t="b">
        <f>IF(Consultas!F410&gt;1,(IF(Consultas!F410&gt;5000,"SOLICITAR PED COMPRA","N/A")))</f>
        <v>0</v>
      </c>
      <c r="AY410" s="167" t="str">
        <f>IF(AND(Consultas!M410&lt;&gt;"S", Consultas!H410="S"), "CHECAGEM REVERSA", "N/A")</f>
        <v>N/A</v>
      </c>
      <c r="AZ410" s="167" t="str">
        <f>IF(Consultas!U410="N","PRECISA CORRIGIR END DIVERGENTE","N/A")</f>
        <v>N/A</v>
      </c>
    </row>
    <row r="411" ht="12.0" customHeight="1">
      <c r="A411" s="39" t="s">
        <v>90</v>
      </c>
      <c r="B411" s="82" t="str">
        <f>Consultas!B411</f>
        <v/>
      </c>
      <c r="C411" s="82" t="str">
        <f>Consultas!D411</f>
        <v/>
      </c>
      <c r="D411" s="96" t="str">
        <f>Consultas!E411</f>
        <v/>
      </c>
      <c r="E411" s="104" t="str">
        <f>IF(Consultas!AB411&gt;0,YEAR('Parâmetros'!$B$1)-YEAR(Consultas!AB411),"NA")</f>
        <v>NA</v>
      </c>
      <c r="F411" s="82">
        <f>IF(Consultas!F411&gt;'Parâmetros'!$B$2,-8,0)</f>
        <v>0</v>
      </c>
      <c r="G411" s="82">
        <f>IF(Consultas!H411='Parâmetros'!$E$1,100,0)</f>
        <v>0</v>
      </c>
      <c r="H411" s="82">
        <f>IF(Consultas!I411='Parâmetros'!$E$1,-4,12)</f>
        <v>12</v>
      </c>
      <c r="I411" s="82">
        <f>IF(Consultas!J411='Parâmetros'!$E$1,1,-13)</f>
        <v>-13</v>
      </c>
      <c r="J411" s="82">
        <f>IF(Consultas!K411='Parâmetros'!$E$1,2,-5)</f>
        <v>-5</v>
      </c>
      <c r="K411" s="82" t="str">
        <f>IF(Consultas!L411='Parâmetros'!$D$1,"SOLIC CONTRATO DE ENTREGA","N/A")</f>
        <v>N/A</v>
      </c>
      <c r="L411" s="82">
        <f>IF(Consultas!R411='Parâmetros'!$E$1,1,-3)</f>
        <v>-3</v>
      </c>
      <c r="M411" s="82" t="b">
        <f>IF(Consultas!S411&gt;1,(IF(Consultas!S411='Parâmetros'!$E$1,-3,9)))</f>
        <v>0</v>
      </c>
      <c r="N411" s="82">
        <f>IF(Consultas!T411="S",23,0)</f>
        <v>0</v>
      </c>
      <c r="O411" s="82">
        <f>IF(Consultas!U411='Parâmetros'!$E$1,-3,3)</f>
        <v>3</v>
      </c>
      <c r="P411" s="82">
        <f>IF(Consultas!V411='Parâmetros'!$E$1,-100,2)</f>
        <v>2</v>
      </c>
      <c r="Q411" s="82">
        <f>IF(Consultas!M411='Parâmetros'!$D$1,2,-9)</f>
        <v>-9</v>
      </c>
      <c r="R411" s="82">
        <f>IF(Consultas!N411="RJ",-12,0)</f>
        <v>0</v>
      </c>
      <c r="S411" s="82">
        <f>IF(Consultas!O411="-",-3,IF(Consultas!O411=0,-6,IF(Consultas!O411=5,0,IF(Consultas!O411=10,6))))</f>
        <v>-6</v>
      </c>
      <c r="T411" s="82">
        <f>IF(Consultas!M411="S",0,(IF(Consultas!P411="S",6,0)))</f>
        <v>0</v>
      </c>
      <c r="U411" s="82">
        <f>IF(Consultas!Q411&gt;97,9,IF(Consultas!Q411&gt;75,0,-7))</f>
        <v>-7</v>
      </c>
      <c r="V411" s="82">
        <f>IF(Consultas!W411='Parâmetros'!$E$1,1,-5)</f>
        <v>-5</v>
      </c>
      <c r="W411" s="82">
        <f>IF(Consultas!X411="S",3,-3)</f>
        <v>-3</v>
      </c>
      <c r="X411" s="82">
        <f>IF(Consultas!Y411="S",0,-7)</f>
        <v>-7</v>
      </c>
      <c r="Y411" s="82">
        <f>IF(Consultas!Z411='Parâmetros'!$E$1,2,-8)</f>
        <v>-8</v>
      </c>
      <c r="Z411" s="82">
        <f>IF(Consultas!AA411='Parâmetros'!$E$1,-15,1)</f>
        <v>1</v>
      </c>
      <c r="AA411" s="147" t="s">
        <v>140</v>
      </c>
      <c r="AB411" s="82" t="str">
        <f>IF(E411="NA","NA",IF(E411&gt;'Parâmetros'!$A$9,8,IF(E411&gt;'Parâmetros'!$A$8,4,IF(E411&gt;'Parâmetros'!$A$7,0,-6))))</f>
        <v>NA</v>
      </c>
      <c r="AC411" s="82">
        <f>IF(Consultas!AC411='Parâmetros'!$E$1,0,5)</f>
        <v>5</v>
      </c>
      <c r="AD411" s="82">
        <f>IF(Consultas!AH411='Parâmetros'!$D$1,-10,5)</f>
        <v>5</v>
      </c>
      <c r="AE411" s="82">
        <f>IF(Consultas!AI411&gt;(Consultas!F411*2),-10,0)</f>
        <v>0</v>
      </c>
      <c r="AF411" s="82" t="b">
        <f>IF(Consultas!AD411&gt;1,(IF(Consultas!AI411&gt;(Consultas!AD411),-20,4)))</f>
        <v>0</v>
      </c>
      <c r="AG411" s="82">
        <f>IF(Consultas!AG411='Parâmetros'!$E$1,0,-6)</f>
        <v>-6</v>
      </c>
      <c r="AH411" s="82">
        <f>IF(Consultas!AF411='Parâmetros'!$E$1,1,-5)</f>
        <v>-5</v>
      </c>
      <c r="AI411" s="82">
        <f>IF(Consultas!AJ411&gt;700,8,IF(Consultas!AJ411&gt;500,4,IF(Consultas!AJ411&gt;200,-4,IF(Consultas!AJ411&gt;1,-15,-20))))</f>
        <v>-20</v>
      </c>
      <c r="AJ411" s="82">
        <f>IF(Consultas!AD411='Parâmetros'!$E$10,0,IF(Consultas!AD411&gt;'Parâmetros'!$A$30,12,IF(Consultas!AD411&gt;'Parâmetros'!$A$31,6,IF(Consultas!AD411&gt;'Parâmetros'!$A$32,0,IF(Consultas!AD411&gt;'Parâmetros'!$A$33,0,IF(Consultas!AD411&gt;'Parâmetros'!$A$34,-3,IF(Consultas!AD411&gt;'Parâmetros'!$A$35,-7,-1)))))))</f>
        <v>-1</v>
      </c>
      <c r="AK411" s="82">
        <f>IF(Consultas!AO411='Parâmetros'!$D$1,3,-3)</f>
        <v>-3</v>
      </c>
      <c r="AL411" s="82">
        <f>IF(Consultas!AP411='Parâmetros'!$D$1,5,-3)</f>
        <v>-3</v>
      </c>
      <c r="AM411" s="82">
        <f>IF(Consultas!AL411="N",-6,0)</f>
        <v>0</v>
      </c>
      <c r="AN411" s="82">
        <f>IF(Consultas!AM411="N",-10,0)</f>
        <v>0</v>
      </c>
      <c r="AO411" s="82">
        <f>IF(Consultas!AN411="S",4,-2)</f>
        <v>-2</v>
      </c>
      <c r="AP411" s="39"/>
      <c r="AQ411" s="165" t="str">
        <f>IF(Consultas!F411&gt;1,(SUM(F411:AO411)),"N/A")</f>
        <v>N/A</v>
      </c>
      <c r="AR411" s="78">
        <f>IF((Consultas!AD411&gt;'Parâmetros'!$A$31),"X",AJ411+Y411+V411+AC411)</f>
        <v>-9</v>
      </c>
      <c r="AS411" s="78">
        <f>IF((Consultas!AD411&gt;'Parâmetros'!$A$31),"X",(H411+I411+J411+Q411+T411+Y411+Z411+AJ411+AN411))</f>
        <v>-23</v>
      </c>
      <c r="AT411" s="78" t="str">
        <f>IF((Consultas!AD411&lt;'Parâmetros'!$A$31),"X",(AD411+AC411+AB411))</f>
        <v>X</v>
      </c>
      <c r="AU411" s="78">
        <f t="shared" si="1"/>
        <v>-23</v>
      </c>
      <c r="AV411" s="82" t="str">
        <f>IF(AQ411="N/A","N/A",IF(AQ411&gt;5,'Parâmetros'!$A$15,(IF(AU411=AR411,'Parâmetros'!$A$17,IF(AU411=AS411,'Parâmetros'!$A$16,'Parâmetros'!$A$14)))))</f>
        <v>N/A</v>
      </c>
      <c r="AW411" s="86" t="str">
        <f>IF(AQ411="N/A","N/A",IF(AV411='Parâmetros'!$A$15,'Parâmetros'!$C$15,(IF(AV411='Parâmetros'!$A$17,'Parâmetros'!$C$17,IF(AV411='Parâmetros'!$A$16,'Parâmetros'!$C$16,IF(AV411='Parâmetros'!$A$14,'Parâmetros'!$C$12))))))</f>
        <v>N/A</v>
      </c>
      <c r="AX411" s="82" t="b">
        <f>IF(Consultas!F411&gt;1,(IF(Consultas!F411&gt;5000,"SOLICITAR PED COMPRA","N/A")))</f>
        <v>0</v>
      </c>
      <c r="AY411" s="167" t="str">
        <f>IF(AND(Consultas!M411&lt;&gt;"S", Consultas!H411="S"), "CHECAGEM REVERSA", "N/A")</f>
        <v>N/A</v>
      </c>
      <c r="AZ411" s="167" t="str">
        <f>IF(Consultas!U411="N","PRECISA CORRIGIR END DIVERGENTE","N/A")</f>
        <v>N/A</v>
      </c>
    </row>
    <row r="412" ht="12.0" customHeight="1">
      <c r="A412" s="39" t="s">
        <v>90</v>
      </c>
      <c r="B412" s="82" t="str">
        <f>Consultas!B412</f>
        <v/>
      </c>
      <c r="C412" s="82" t="str">
        <f>Consultas!D412</f>
        <v/>
      </c>
      <c r="D412" s="96" t="str">
        <f>Consultas!E412</f>
        <v/>
      </c>
      <c r="E412" s="104" t="str">
        <f>IF(Consultas!AB412&gt;0,YEAR('Parâmetros'!$B$1)-YEAR(Consultas!AB412),"NA")</f>
        <v>NA</v>
      </c>
      <c r="F412" s="82">
        <f>IF(Consultas!F412&gt;'Parâmetros'!$B$2,-8,0)</f>
        <v>0</v>
      </c>
      <c r="G412" s="82">
        <f>IF(Consultas!H412='Parâmetros'!$E$1,100,0)</f>
        <v>0</v>
      </c>
      <c r="H412" s="82">
        <f>IF(Consultas!I412='Parâmetros'!$E$1,-4,12)</f>
        <v>12</v>
      </c>
      <c r="I412" s="82">
        <f>IF(Consultas!J412='Parâmetros'!$E$1,1,-13)</f>
        <v>-13</v>
      </c>
      <c r="J412" s="82">
        <f>IF(Consultas!K412='Parâmetros'!$E$1,2,-5)</f>
        <v>-5</v>
      </c>
      <c r="K412" s="82" t="str">
        <f>IF(Consultas!L412='Parâmetros'!$D$1,"SOLIC CONTRATO DE ENTREGA","N/A")</f>
        <v>N/A</v>
      </c>
      <c r="L412" s="82">
        <f>IF(Consultas!R412='Parâmetros'!$E$1,1,-3)</f>
        <v>-3</v>
      </c>
      <c r="M412" s="82" t="b">
        <f>IF(Consultas!S412&gt;1,(IF(Consultas!S412='Parâmetros'!$E$1,-3,9)))</f>
        <v>0</v>
      </c>
      <c r="N412" s="82">
        <f>IF(Consultas!T412="S",23,0)</f>
        <v>0</v>
      </c>
      <c r="O412" s="82">
        <f>IF(Consultas!U412='Parâmetros'!$E$1,-3,3)</f>
        <v>3</v>
      </c>
      <c r="P412" s="82">
        <f>IF(Consultas!V412='Parâmetros'!$E$1,-100,2)</f>
        <v>2</v>
      </c>
      <c r="Q412" s="82">
        <f>IF(Consultas!M412='Parâmetros'!$D$1,2,-9)</f>
        <v>-9</v>
      </c>
      <c r="R412" s="82">
        <f>IF(Consultas!N412="RJ",-12,0)</f>
        <v>0</v>
      </c>
      <c r="S412" s="82">
        <f>IF(Consultas!O412="-",-3,IF(Consultas!O412=0,-6,IF(Consultas!O412=5,0,IF(Consultas!O412=10,6))))</f>
        <v>-6</v>
      </c>
      <c r="T412" s="82">
        <f>IF(Consultas!M412="S",0,(IF(Consultas!P412="S",6,0)))</f>
        <v>0</v>
      </c>
      <c r="U412" s="82">
        <f>IF(Consultas!Q412&gt;97,9,IF(Consultas!Q412&gt;75,0,-7))</f>
        <v>-7</v>
      </c>
      <c r="V412" s="82">
        <f>IF(Consultas!W412='Parâmetros'!$E$1,1,-5)</f>
        <v>-5</v>
      </c>
      <c r="W412" s="82">
        <f>IF(Consultas!X412="S",3,-3)</f>
        <v>-3</v>
      </c>
      <c r="X412" s="82">
        <f>IF(Consultas!Y412="S",0,-7)</f>
        <v>-7</v>
      </c>
      <c r="Y412" s="82">
        <f>IF(Consultas!Z412='Parâmetros'!$E$1,2,-8)</f>
        <v>-8</v>
      </c>
      <c r="Z412" s="82">
        <f>IF(Consultas!AA412='Parâmetros'!$E$1,-15,1)</f>
        <v>1</v>
      </c>
      <c r="AA412" s="147" t="s">
        <v>140</v>
      </c>
      <c r="AB412" s="82" t="str">
        <f>IF(E412="NA","NA",IF(E412&gt;'Parâmetros'!$A$9,8,IF(E412&gt;'Parâmetros'!$A$8,4,IF(E412&gt;'Parâmetros'!$A$7,0,-6))))</f>
        <v>NA</v>
      </c>
      <c r="AC412" s="82">
        <f>IF(Consultas!AC412='Parâmetros'!$E$1,0,5)</f>
        <v>5</v>
      </c>
      <c r="AD412" s="82">
        <f>IF(Consultas!AH412='Parâmetros'!$D$1,-10,5)</f>
        <v>5</v>
      </c>
      <c r="AE412" s="82">
        <f>IF(Consultas!AI412&gt;(Consultas!F412*2),-10,0)</f>
        <v>0</v>
      </c>
      <c r="AF412" s="82" t="b">
        <f>IF(Consultas!AD412&gt;1,(IF(Consultas!AI412&gt;(Consultas!AD412),-20,4)))</f>
        <v>0</v>
      </c>
      <c r="AG412" s="82">
        <f>IF(Consultas!AG412='Parâmetros'!$E$1,0,-6)</f>
        <v>-6</v>
      </c>
      <c r="AH412" s="82">
        <f>IF(Consultas!AF412='Parâmetros'!$E$1,1,-5)</f>
        <v>-5</v>
      </c>
      <c r="AI412" s="82">
        <f>IF(Consultas!AJ412&gt;700,8,IF(Consultas!AJ412&gt;500,4,IF(Consultas!AJ412&gt;200,-4,IF(Consultas!AJ412&gt;1,-15,-20))))</f>
        <v>-20</v>
      </c>
      <c r="AJ412" s="82">
        <f>IF(Consultas!AD412='Parâmetros'!$E$10,0,IF(Consultas!AD412&gt;'Parâmetros'!$A$30,12,IF(Consultas!AD412&gt;'Parâmetros'!$A$31,6,IF(Consultas!AD412&gt;'Parâmetros'!$A$32,0,IF(Consultas!AD412&gt;'Parâmetros'!$A$33,0,IF(Consultas!AD412&gt;'Parâmetros'!$A$34,-3,IF(Consultas!AD412&gt;'Parâmetros'!$A$35,-7,-1)))))))</f>
        <v>-1</v>
      </c>
      <c r="AK412" s="82">
        <f>IF(Consultas!AO412='Parâmetros'!$D$1,3,-3)</f>
        <v>-3</v>
      </c>
      <c r="AL412" s="82">
        <f>IF(Consultas!AP412='Parâmetros'!$D$1,5,-3)</f>
        <v>-3</v>
      </c>
      <c r="AM412" s="82">
        <f>IF(Consultas!AL412="N",-6,0)</f>
        <v>0</v>
      </c>
      <c r="AN412" s="82">
        <f>IF(Consultas!AM412="N",-10,0)</f>
        <v>0</v>
      </c>
      <c r="AO412" s="82">
        <f>IF(Consultas!AN412="S",4,-2)</f>
        <v>-2</v>
      </c>
      <c r="AP412" s="39"/>
      <c r="AQ412" s="165" t="str">
        <f>IF(Consultas!F412&gt;1,(SUM(F412:AO412)),"N/A")</f>
        <v>N/A</v>
      </c>
      <c r="AR412" s="78">
        <f>IF((Consultas!AD412&gt;'Parâmetros'!$A$31),"X",AJ412+Y412+V412+AC412)</f>
        <v>-9</v>
      </c>
      <c r="AS412" s="78">
        <f>IF((Consultas!AD412&gt;'Parâmetros'!$A$31),"X",(H412+I412+J412+Q412+T412+Y412+Z412+AJ412+AN412))</f>
        <v>-23</v>
      </c>
      <c r="AT412" s="78" t="str">
        <f>IF((Consultas!AD412&lt;'Parâmetros'!$A$31),"X",(AD412+AC412+AB412))</f>
        <v>X</v>
      </c>
      <c r="AU412" s="78">
        <f t="shared" si="1"/>
        <v>-23</v>
      </c>
      <c r="AV412" s="82" t="str">
        <f>IF(AQ412="N/A","N/A",IF(AQ412&gt;5,'Parâmetros'!$A$15,(IF(AU412=AR412,'Parâmetros'!$A$17,IF(AU412=AS412,'Parâmetros'!$A$16,'Parâmetros'!$A$14)))))</f>
        <v>N/A</v>
      </c>
      <c r="AW412" s="86" t="str">
        <f>IF(AQ412="N/A","N/A",IF(AV412='Parâmetros'!$A$15,'Parâmetros'!$C$15,(IF(AV412='Parâmetros'!$A$17,'Parâmetros'!$C$17,IF(AV412='Parâmetros'!$A$16,'Parâmetros'!$C$16,IF(AV412='Parâmetros'!$A$14,'Parâmetros'!$C$12))))))</f>
        <v>N/A</v>
      </c>
      <c r="AX412" s="82" t="b">
        <f>IF(Consultas!F412&gt;1,(IF(Consultas!F412&gt;5000,"SOLICITAR PED COMPRA","N/A")))</f>
        <v>0</v>
      </c>
      <c r="AY412" s="167" t="str">
        <f>IF(AND(Consultas!M412&lt;&gt;"S", Consultas!H412="S"), "CHECAGEM REVERSA", "N/A")</f>
        <v>N/A</v>
      </c>
      <c r="AZ412" s="167" t="str">
        <f>IF(Consultas!U412="N","PRECISA CORRIGIR END DIVERGENTE","N/A")</f>
        <v>N/A</v>
      </c>
    </row>
    <row r="413" ht="12.0" customHeight="1">
      <c r="A413" s="39" t="s">
        <v>90</v>
      </c>
      <c r="B413" s="82" t="str">
        <f>Consultas!B413</f>
        <v/>
      </c>
      <c r="C413" s="82" t="str">
        <f>Consultas!D413</f>
        <v/>
      </c>
      <c r="D413" s="96" t="str">
        <f>Consultas!E413</f>
        <v/>
      </c>
      <c r="E413" s="104" t="str">
        <f>IF(Consultas!AB413&gt;0,YEAR('Parâmetros'!$B$1)-YEAR(Consultas!AB413),"NA")</f>
        <v>NA</v>
      </c>
      <c r="F413" s="82">
        <f>IF(Consultas!F413&gt;'Parâmetros'!$B$2,-8,0)</f>
        <v>0</v>
      </c>
      <c r="G413" s="82">
        <f>IF(Consultas!H413='Parâmetros'!$E$1,100,0)</f>
        <v>0</v>
      </c>
      <c r="H413" s="82">
        <f>IF(Consultas!I413='Parâmetros'!$E$1,-4,12)</f>
        <v>12</v>
      </c>
      <c r="I413" s="82">
        <f>IF(Consultas!J413='Parâmetros'!$E$1,1,-13)</f>
        <v>-13</v>
      </c>
      <c r="J413" s="82">
        <f>IF(Consultas!K413='Parâmetros'!$E$1,2,-5)</f>
        <v>-5</v>
      </c>
      <c r="K413" s="82" t="str">
        <f>IF(Consultas!L413='Parâmetros'!$D$1,"SOLIC CONTRATO DE ENTREGA","N/A")</f>
        <v>N/A</v>
      </c>
      <c r="L413" s="82">
        <f>IF(Consultas!R413='Parâmetros'!$E$1,1,-3)</f>
        <v>-3</v>
      </c>
      <c r="M413" s="82" t="b">
        <f>IF(Consultas!S413&gt;1,(IF(Consultas!S413='Parâmetros'!$E$1,-3,9)))</f>
        <v>0</v>
      </c>
      <c r="N413" s="82">
        <f>IF(Consultas!T413="S",23,0)</f>
        <v>0</v>
      </c>
      <c r="O413" s="82">
        <f>IF(Consultas!U413='Parâmetros'!$E$1,-3,3)</f>
        <v>3</v>
      </c>
      <c r="P413" s="82">
        <f>IF(Consultas!V413='Parâmetros'!$E$1,-100,2)</f>
        <v>2</v>
      </c>
      <c r="Q413" s="82">
        <f>IF(Consultas!M413='Parâmetros'!$D$1,2,-9)</f>
        <v>-9</v>
      </c>
      <c r="R413" s="82">
        <f>IF(Consultas!N413="RJ",-12,0)</f>
        <v>0</v>
      </c>
      <c r="S413" s="82">
        <f>IF(Consultas!O413="-",-3,IF(Consultas!O413=0,-6,IF(Consultas!O413=5,0,IF(Consultas!O413=10,6))))</f>
        <v>-6</v>
      </c>
      <c r="T413" s="82">
        <f>IF(Consultas!M413="S",0,(IF(Consultas!P413="S",6,0)))</f>
        <v>0</v>
      </c>
      <c r="U413" s="82">
        <f>IF(Consultas!Q413&gt;97,9,IF(Consultas!Q413&gt;75,0,-7))</f>
        <v>-7</v>
      </c>
      <c r="V413" s="82">
        <f>IF(Consultas!W413='Parâmetros'!$E$1,1,-5)</f>
        <v>-5</v>
      </c>
      <c r="W413" s="82">
        <f>IF(Consultas!X413="S",3,-3)</f>
        <v>-3</v>
      </c>
      <c r="X413" s="82">
        <f>IF(Consultas!Y413="S",0,-7)</f>
        <v>-7</v>
      </c>
      <c r="Y413" s="82">
        <f>IF(Consultas!Z413='Parâmetros'!$E$1,2,-8)</f>
        <v>-8</v>
      </c>
      <c r="Z413" s="82">
        <f>IF(Consultas!AA413='Parâmetros'!$E$1,-15,1)</f>
        <v>1</v>
      </c>
      <c r="AA413" s="147" t="s">
        <v>140</v>
      </c>
      <c r="AB413" s="82" t="str">
        <f>IF(E413="NA","NA",IF(E413&gt;'Parâmetros'!$A$9,8,IF(E413&gt;'Parâmetros'!$A$8,4,IF(E413&gt;'Parâmetros'!$A$7,0,-6))))</f>
        <v>NA</v>
      </c>
      <c r="AC413" s="82">
        <f>IF(Consultas!AC413='Parâmetros'!$E$1,0,5)</f>
        <v>5</v>
      </c>
      <c r="AD413" s="82">
        <f>IF(Consultas!AH413='Parâmetros'!$D$1,-10,5)</f>
        <v>5</v>
      </c>
      <c r="AE413" s="82">
        <f>IF(Consultas!AI413&gt;(Consultas!F413*2),-10,0)</f>
        <v>0</v>
      </c>
      <c r="AF413" s="82" t="b">
        <f>IF(Consultas!AD413&gt;1,(IF(Consultas!AI413&gt;(Consultas!AD413),-20,4)))</f>
        <v>0</v>
      </c>
      <c r="AG413" s="82">
        <f>IF(Consultas!AG413='Parâmetros'!$E$1,0,-6)</f>
        <v>-6</v>
      </c>
      <c r="AH413" s="82">
        <f>IF(Consultas!AF413='Parâmetros'!$E$1,1,-5)</f>
        <v>-5</v>
      </c>
      <c r="AI413" s="82">
        <f>IF(Consultas!AJ413&gt;700,8,IF(Consultas!AJ413&gt;500,4,IF(Consultas!AJ413&gt;200,-4,IF(Consultas!AJ413&gt;1,-15,-20))))</f>
        <v>-20</v>
      </c>
      <c r="AJ413" s="82">
        <f>IF(Consultas!AD413='Parâmetros'!$E$10,0,IF(Consultas!AD413&gt;'Parâmetros'!$A$30,12,IF(Consultas!AD413&gt;'Parâmetros'!$A$31,6,IF(Consultas!AD413&gt;'Parâmetros'!$A$32,0,IF(Consultas!AD413&gt;'Parâmetros'!$A$33,0,IF(Consultas!AD413&gt;'Parâmetros'!$A$34,-3,IF(Consultas!AD413&gt;'Parâmetros'!$A$35,-7,-1)))))))</f>
        <v>-1</v>
      </c>
      <c r="AK413" s="82">
        <f>IF(Consultas!AO413='Parâmetros'!$D$1,3,-3)</f>
        <v>-3</v>
      </c>
      <c r="AL413" s="82">
        <f>IF(Consultas!AP413='Parâmetros'!$D$1,5,-3)</f>
        <v>-3</v>
      </c>
      <c r="AM413" s="82">
        <f>IF(Consultas!AL413="N",-6,0)</f>
        <v>0</v>
      </c>
      <c r="AN413" s="82">
        <f>IF(Consultas!AM413="N",-10,0)</f>
        <v>0</v>
      </c>
      <c r="AO413" s="82">
        <f>IF(Consultas!AN413="S",4,-2)</f>
        <v>-2</v>
      </c>
      <c r="AP413" s="39"/>
      <c r="AQ413" s="165" t="str">
        <f>IF(Consultas!F413&gt;1,(SUM(F413:AO413)),"N/A")</f>
        <v>N/A</v>
      </c>
      <c r="AR413" s="78">
        <f>IF((Consultas!AD413&gt;'Parâmetros'!$A$31),"X",AJ413+Y413+V413+AC413)</f>
        <v>-9</v>
      </c>
      <c r="AS413" s="78">
        <f>IF((Consultas!AD413&gt;'Parâmetros'!$A$31),"X",(H413+I413+J413+Q413+T413+Y413+Z413+AJ413+AN413))</f>
        <v>-23</v>
      </c>
      <c r="AT413" s="78" t="str">
        <f>IF((Consultas!AD413&lt;'Parâmetros'!$A$31),"X",(AD413+AC413+AB413))</f>
        <v>X</v>
      </c>
      <c r="AU413" s="78">
        <f t="shared" si="1"/>
        <v>-23</v>
      </c>
      <c r="AV413" s="82" t="str">
        <f>IF(AQ413="N/A","N/A",IF(AQ413&gt;5,'Parâmetros'!$A$15,(IF(AU413=AR413,'Parâmetros'!$A$17,IF(AU413=AS413,'Parâmetros'!$A$16,'Parâmetros'!$A$14)))))</f>
        <v>N/A</v>
      </c>
      <c r="AW413" s="86" t="str">
        <f>IF(AQ413="N/A","N/A",IF(AV413='Parâmetros'!$A$15,'Parâmetros'!$C$15,(IF(AV413='Parâmetros'!$A$17,'Parâmetros'!$C$17,IF(AV413='Parâmetros'!$A$16,'Parâmetros'!$C$16,IF(AV413='Parâmetros'!$A$14,'Parâmetros'!$C$12))))))</f>
        <v>N/A</v>
      </c>
      <c r="AX413" s="82" t="b">
        <f>IF(Consultas!F413&gt;1,(IF(Consultas!F413&gt;5000,"SOLICITAR PED COMPRA","N/A")))</f>
        <v>0</v>
      </c>
      <c r="AY413" s="167" t="str">
        <f>IF(AND(Consultas!M413&lt;&gt;"S", Consultas!H413="S"), "CHECAGEM REVERSA", "N/A")</f>
        <v>N/A</v>
      </c>
      <c r="AZ413" s="167" t="str">
        <f>IF(Consultas!U413="N","PRECISA CORRIGIR END DIVERGENTE","N/A")</f>
        <v>N/A</v>
      </c>
    </row>
    <row r="414" ht="12.0" customHeight="1">
      <c r="A414" s="39" t="s">
        <v>90</v>
      </c>
      <c r="B414" s="82" t="str">
        <f>Consultas!B414</f>
        <v/>
      </c>
      <c r="C414" s="82" t="str">
        <f>Consultas!D414</f>
        <v/>
      </c>
      <c r="D414" s="96" t="str">
        <f>Consultas!E414</f>
        <v/>
      </c>
      <c r="E414" s="104" t="str">
        <f>IF(Consultas!AB414&gt;0,YEAR('Parâmetros'!$B$1)-YEAR(Consultas!AB414),"NA")</f>
        <v>NA</v>
      </c>
      <c r="F414" s="82">
        <f>IF(Consultas!F414&gt;'Parâmetros'!$B$2,-8,0)</f>
        <v>0</v>
      </c>
      <c r="G414" s="82">
        <f>IF(Consultas!H414='Parâmetros'!$E$1,100,0)</f>
        <v>0</v>
      </c>
      <c r="H414" s="82">
        <f>IF(Consultas!I414='Parâmetros'!$E$1,-4,12)</f>
        <v>12</v>
      </c>
      <c r="I414" s="82">
        <f>IF(Consultas!J414='Parâmetros'!$E$1,1,-13)</f>
        <v>-13</v>
      </c>
      <c r="J414" s="82">
        <f>IF(Consultas!K414='Parâmetros'!$E$1,2,-5)</f>
        <v>-5</v>
      </c>
      <c r="K414" s="82" t="str">
        <f>IF(Consultas!L414='Parâmetros'!$D$1,"SOLIC CONTRATO DE ENTREGA","N/A")</f>
        <v>N/A</v>
      </c>
      <c r="L414" s="82">
        <f>IF(Consultas!R414='Parâmetros'!$E$1,1,-3)</f>
        <v>-3</v>
      </c>
      <c r="M414" s="82" t="b">
        <f>IF(Consultas!S414&gt;1,(IF(Consultas!S414='Parâmetros'!$E$1,-3,9)))</f>
        <v>0</v>
      </c>
      <c r="N414" s="82">
        <f>IF(Consultas!T414="S",23,0)</f>
        <v>0</v>
      </c>
      <c r="O414" s="82">
        <f>IF(Consultas!U414='Parâmetros'!$E$1,-3,3)</f>
        <v>3</v>
      </c>
      <c r="P414" s="82">
        <f>IF(Consultas!V414='Parâmetros'!$E$1,-100,2)</f>
        <v>2</v>
      </c>
      <c r="Q414" s="82">
        <f>IF(Consultas!M414='Parâmetros'!$D$1,2,-9)</f>
        <v>-9</v>
      </c>
      <c r="R414" s="82">
        <f>IF(Consultas!N414="RJ",-12,0)</f>
        <v>0</v>
      </c>
      <c r="S414" s="82">
        <f>IF(Consultas!O414="-",-3,IF(Consultas!O414=0,-6,IF(Consultas!O414=5,0,IF(Consultas!O414=10,6))))</f>
        <v>-6</v>
      </c>
      <c r="T414" s="82">
        <f>IF(Consultas!M414="S",0,(IF(Consultas!P414="S",6,0)))</f>
        <v>0</v>
      </c>
      <c r="U414" s="82">
        <f>IF(Consultas!Q414&gt;97,9,IF(Consultas!Q414&gt;75,0,-7))</f>
        <v>-7</v>
      </c>
      <c r="V414" s="82">
        <f>IF(Consultas!W414='Parâmetros'!$E$1,1,-5)</f>
        <v>-5</v>
      </c>
      <c r="W414" s="82">
        <f>IF(Consultas!X414="S",3,-3)</f>
        <v>-3</v>
      </c>
      <c r="X414" s="82">
        <f>IF(Consultas!Y414="S",0,-7)</f>
        <v>-7</v>
      </c>
      <c r="Y414" s="82">
        <f>IF(Consultas!Z414='Parâmetros'!$E$1,2,-8)</f>
        <v>-8</v>
      </c>
      <c r="Z414" s="82">
        <f>IF(Consultas!AA414='Parâmetros'!$E$1,-15,1)</f>
        <v>1</v>
      </c>
      <c r="AA414" s="147" t="s">
        <v>140</v>
      </c>
      <c r="AB414" s="82" t="str">
        <f>IF(E414="NA","NA",IF(E414&gt;'Parâmetros'!$A$9,8,IF(E414&gt;'Parâmetros'!$A$8,4,IF(E414&gt;'Parâmetros'!$A$7,0,-6))))</f>
        <v>NA</v>
      </c>
      <c r="AC414" s="82">
        <f>IF(Consultas!AC414='Parâmetros'!$E$1,0,5)</f>
        <v>5</v>
      </c>
      <c r="AD414" s="82">
        <f>IF(Consultas!AH414='Parâmetros'!$D$1,-10,5)</f>
        <v>5</v>
      </c>
      <c r="AE414" s="82">
        <f>IF(Consultas!AI414&gt;(Consultas!F414*2),-10,0)</f>
        <v>0</v>
      </c>
      <c r="AF414" s="82" t="b">
        <f>IF(Consultas!AD414&gt;1,(IF(Consultas!AI414&gt;(Consultas!AD414),-20,4)))</f>
        <v>0</v>
      </c>
      <c r="AG414" s="82">
        <f>IF(Consultas!AG414='Parâmetros'!$E$1,0,-6)</f>
        <v>-6</v>
      </c>
      <c r="AH414" s="82">
        <f>IF(Consultas!AF414='Parâmetros'!$E$1,1,-5)</f>
        <v>-5</v>
      </c>
      <c r="AI414" s="82">
        <f>IF(Consultas!AJ414&gt;700,8,IF(Consultas!AJ414&gt;500,4,IF(Consultas!AJ414&gt;200,-4,IF(Consultas!AJ414&gt;1,-15,-20))))</f>
        <v>-20</v>
      </c>
      <c r="AJ414" s="82">
        <f>IF(Consultas!AD414='Parâmetros'!$E$10,0,IF(Consultas!AD414&gt;'Parâmetros'!$A$30,12,IF(Consultas!AD414&gt;'Parâmetros'!$A$31,6,IF(Consultas!AD414&gt;'Parâmetros'!$A$32,0,IF(Consultas!AD414&gt;'Parâmetros'!$A$33,0,IF(Consultas!AD414&gt;'Parâmetros'!$A$34,-3,IF(Consultas!AD414&gt;'Parâmetros'!$A$35,-7,-1)))))))</f>
        <v>-1</v>
      </c>
      <c r="AK414" s="82">
        <f>IF(Consultas!AO414='Parâmetros'!$D$1,3,-3)</f>
        <v>-3</v>
      </c>
      <c r="AL414" s="82">
        <f>IF(Consultas!AP414='Parâmetros'!$D$1,5,-3)</f>
        <v>-3</v>
      </c>
      <c r="AM414" s="82">
        <f>IF(Consultas!AL414="N",-6,0)</f>
        <v>0</v>
      </c>
      <c r="AN414" s="82">
        <f>IF(Consultas!AM414="N",-10,0)</f>
        <v>0</v>
      </c>
      <c r="AO414" s="82">
        <f>IF(Consultas!AN414="S",4,-2)</f>
        <v>-2</v>
      </c>
      <c r="AP414" s="39"/>
      <c r="AQ414" s="165" t="str">
        <f>IF(Consultas!F414&gt;1,(SUM(F414:AO414)),"N/A")</f>
        <v>N/A</v>
      </c>
      <c r="AR414" s="78">
        <f>IF((Consultas!AD414&gt;'Parâmetros'!$A$31),"X",AJ414+Y414+V414+AC414)</f>
        <v>-9</v>
      </c>
      <c r="AS414" s="78">
        <f>IF((Consultas!AD414&gt;'Parâmetros'!$A$31),"X",(H414+I414+J414+Q414+T414+Y414+Z414+AJ414+AN414))</f>
        <v>-23</v>
      </c>
      <c r="AT414" s="78" t="str">
        <f>IF((Consultas!AD414&lt;'Parâmetros'!$A$31),"X",(AD414+AC414+AB414))</f>
        <v>X</v>
      </c>
      <c r="AU414" s="78">
        <f t="shared" si="1"/>
        <v>-23</v>
      </c>
      <c r="AV414" s="82" t="str">
        <f>IF(AQ414="N/A","N/A",IF(AQ414&gt;5,'Parâmetros'!$A$15,(IF(AU414=AR414,'Parâmetros'!$A$17,IF(AU414=AS414,'Parâmetros'!$A$16,'Parâmetros'!$A$14)))))</f>
        <v>N/A</v>
      </c>
      <c r="AW414" s="86" t="str">
        <f>IF(AQ414="N/A","N/A",IF(AV414='Parâmetros'!$A$15,'Parâmetros'!$C$15,(IF(AV414='Parâmetros'!$A$17,'Parâmetros'!$C$17,IF(AV414='Parâmetros'!$A$16,'Parâmetros'!$C$16,IF(AV414='Parâmetros'!$A$14,'Parâmetros'!$C$12))))))</f>
        <v>N/A</v>
      </c>
      <c r="AX414" s="82" t="b">
        <f>IF(Consultas!F414&gt;1,(IF(Consultas!F414&gt;5000,"SOLICITAR PED COMPRA","N/A")))</f>
        <v>0</v>
      </c>
      <c r="AY414" s="167" t="str">
        <f>IF(AND(Consultas!M414&lt;&gt;"S", Consultas!H414="S"), "CHECAGEM REVERSA", "N/A")</f>
        <v>N/A</v>
      </c>
      <c r="AZ414" s="167" t="str">
        <f>IF(Consultas!U414="N","PRECISA CORRIGIR END DIVERGENTE","N/A")</f>
        <v>N/A</v>
      </c>
    </row>
    <row r="415" ht="12.0" customHeight="1">
      <c r="A415" s="39" t="s">
        <v>90</v>
      </c>
      <c r="B415" s="82" t="str">
        <f>Consultas!B415</f>
        <v/>
      </c>
      <c r="C415" s="82" t="str">
        <f>Consultas!D415</f>
        <v/>
      </c>
      <c r="D415" s="96" t="str">
        <f>Consultas!E415</f>
        <v/>
      </c>
      <c r="E415" s="104" t="str">
        <f>IF(Consultas!AB415&gt;0,YEAR('Parâmetros'!$B$1)-YEAR(Consultas!AB415),"NA")</f>
        <v>NA</v>
      </c>
      <c r="F415" s="82">
        <f>IF(Consultas!F415&gt;'Parâmetros'!$B$2,-8,0)</f>
        <v>0</v>
      </c>
      <c r="G415" s="82">
        <f>IF(Consultas!H415='Parâmetros'!$E$1,100,0)</f>
        <v>0</v>
      </c>
      <c r="H415" s="82">
        <f>IF(Consultas!I415='Parâmetros'!$E$1,-4,12)</f>
        <v>12</v>
      </c>
      <c r="I415" s="82">
        <f>IF(Consultas!J415='Parâmetros'!$E$1,1,-13)</f>
        <v>-13</v>
      </c>
      <c r="J415" s="82">
        <f>IF(Consultas!K415='Parâmetros'!$E$1,2,-5)</f>
        <v>-5</v>
      </c>
      <c r="K415" s="82" t="str">
        <f>IF(Consultas!L415='Parâmetros'!$D$1,"SOLIC CONTRATO DE ENTREGA","N/A")</f>
        <v>N/A</v>
      </c>
      <c r="L415" s="82">
        <f>IF(Consultas!R415='Parâmetros'!$E$1,1,-3)</f>
        <v>-3</v>
      </c>
      <c r="M415" s="82" t="b">
        <f>IF(Consultas!S415&gt;1,(IF(Consultas!S415='Parâmetros'!$E$1,-3,9)))</f>
        <v>0</v>
      </c>
      <c r="N415" s="82">
        <f>IF(Consultas!T415="S",23,0)</f>
        <v>0</v>
      </c>
      <c r="O415" s="82">
        <f>IF(Consultas!U415='Parâmetros'!$E$1,-3,3)</f>
        <v>3</v>
      </c>
      <c r="P415" s="82">
        <f>IF(Consultas!V415='Parâmetros'!$E$1,-100,2)</f>
        <v>2</v>
      </c>
      <c r="Q415" s="82">
        <f>IF(Consultas!M415='Parâmetros'!$D$1,2,-9)</f>
        <v>-9</v>
      </c>
      <c r="R415" s="82">
        <f>IF(Consultas!N415="RJ",-12,0)</f>
        <v>0</v>
      </c>
      <c r="S415" s="82">
        <f>IF(Consultas!O415="-",-3,IF(Consultas!O415=0,-6,IF(Consultas!O415=5,0,IF(Consultas!O415=10,6))))</f>
        <v>-6</v>
      </c>
      <c r="T415" s="82">
        <f>IF(Consultas!M415="S",0,(IF(Consultas!P415="S",6,0)))</f>
        <v>0</v>
      </c>
      <c r="U415" s="82">
        <f>IF(Consultas!Q415&gt;97,9,IF(Consultas!Q415&gt;75,0,-7))</f>
        <v>-7</v>
      </c>
      <c r="V415" s="82">
        <f>IF(Consultas!W415='Parâmetros'!$E$1,1,-5)</f>
        <v>-5</v>
      </c>
      <c r="W415" s="82">
        <f>IF(Consultas!X415="S",3,-3)</f>
        <v>-3</v>
      </c>
      <c r="X415" s="82">
        <f>IF(Consultas!Y415="S",0,-7)</f>
        <v>-7</v>
      </c>
      <c r="Y415" s="82">
        <f>IF(Consultas!Z415='Parâmetros'!$E$1,2,-8)</f>
        <v>-8</v>
      </c>
      <c r="Z415" s="82">
        <f>IF(Consultas!AA415='Parâmetros'!$E$1,-15,1)</f>
        <v>1</v>
      </c>
      <c r="AA415" s="147" t="s">
        <v>140</v>
      </c>
      <c r="AB415" s="82" t="str">
        <f>IF(E415="NA","NA",IF(E415&gt;'Parâmetros'!$A$9,8,IF(E415&gt;'Parâmetros'!$A$8,4,IF(E415&gt;'Parâmetros'!$A$7,0,-6))))</f>
        <v>NA</v>
      </c>
      <c r="AC415" s="82">
        <f>IF(Consultas!AC415='Parâmetros'!$E$1,0,5)</f>
        <v>5</v>
      </c>
      <c r="AD415" s="82">
        <f>IF(Consultas!AH415='Parâmetros'!$D$1,-10,5)</f>
        <v>5</v>
      </c>
      <c r="AE415" s="82">
        <f>IF(Consultas!AI415&gt;(Consultas!F415*2),-10,0)</f>
        <v>0</v>
      </c>
      <c r="AF415" s="82" t="b">
        <f>IF(Consultas!AD415&gt;1,(IF(Consultas!AI415&gt;(Consultas!AD415),-20,4)))</f>
        <v>0</v>
      </c>
      <c r="AG415" s="82">
        <f>IF(Consultas!AG415='Parâmetros'!$E$1,0,-6)</f>
        <v>-6</v>
      </c>
      <c r="AH415" s="82">
        <f>IF(Consultas!AF415='Parâmetros'!$E$1,1,-5)</f>
        <v>-5</v>
      </c>
      <c r="AI415" s="82">
        <f>IF(Consultas!AJ415&gt;700,8,IF(Consultas!AJ415&gt;500,4,IF(Consultas!AJ415&gt;200,-4,IF(Consultas!AJ415&gt;1,-15,-20))))</f>
        <v>-20</v>
      </c>
      <c r="AJ415" s="82">
        <f>IF(Consultas!AD415='Parâmetros'!$E$10,0,IF(Consultas!AD415&gt;'Parâmetros'!$A$30,12,IF(Consultas!AD415&gt;'Parâmetros'!$A$31,6,IF(Consultas!AD415&gt;'Parâmetros'!$A$32,0,IF(Consultas!AD415&gt;'Parâmetros'!$A$33,0,IF(Consultas!AD415&gt;'Parâmetros'!$A$34,-3,IF(Consultas!AD415&gt;'Parâmetros'!$A$35,-7,-1)))))))</f>
        <v>-1</v>
      </c>
      <c r="AK415" s="82">
        <f>IF(Consultas!AO415='Parâmetros'!$D$1,3,-3)</f>
        <v>-3</v>
      </c>
      <c r="AL415" s="82">
        <f>IF(Consultas!AP415='Parâmetros'!$D$1,5,-3)</f>
        <v>-3</v>
      </c>
      <c r="AM415" s="82">
        <f>IF(Consultas!AL415="N",-6,0)</f>
        <v>0</v>
      </c>
      <c r="AN415" s="82">
        <f>IF(Consultas!AM415="N",-10,0)</f>
        <v>0</v>
      </c>
      <c r="AO415" s="82">
        <f>IF(Consultas!AN415="S",4,-2)</f>
        <v>-2</v>
      </c>
      <c r="AP415" s="39"/>
      <c r="AQ415" s="165" t="str">
        <f>IF(Consultas!F415&gt;1,(SUM(F415:AO415)),"N/A")</f>
        <v>N/A</v>
      </c>
      <c r="AR415" s="78">
        <f>IF((Consultas!AD415&gt;'Parâmetros'!$A$31),"X",AJ415+Y415+V415+AC415)</f>
        <v>-9</v>
      </c>
      <c r="AS415" s="78">
        <f>IF((Consultas!AD415&gt;'Parâmetros'!$A$31),"X",(H415+I415+J415+Q415+T415+Y415+Z415+AJ415+AN415))</f>
        <v>-23</v>
      </c>
      <c r="AT415" s="78" t="str">
        <f>IF((Consultas!AD415&lt;'Parâmetros'!$A$31),"X",(AD415+AC415+AB415))</f>
        <v>X</v>
      </c>
      <c r="AU415" s="78">
        <f t="shared" si="1"/>
        <v>-23</v>
      </c>
      <c r="AV415" s="82" t="str">
        <f>IF(AQ415="N/A","N/A",IF(AQ415&gt;5,'Parâmetros'!$A$15,(IF(AU415=AR415,'Parâmetros'!$A$17,IF(AU415=AS415,'Parâmetros'!$A$16,'Parâmetros'!$A$14)))))</f>
        <v>N/A</v>
      </c>
      <c r="AW415" s="86" t="str">
        <f>IF(AQ415="N/A","N/A",IF(AV415='Parâmetros'!$A$15,'Parâmetros'!$C$15,(IF(AV415='Parâmetros'!$A$17,'Parâmetros'!$C$17,IF(AV415='Parâmetros'!$A$16,'Parâmetros'!$C$16,IF(AV415='Parâmetros'!$A$14,'Parâmetros'!$C$12))))))</f>
        <v>N/A</v>
      </c>
      <c r="AX415" s="82" t="b">
        <f>IF(Consultas!F415&gt;1,(IF(Consultas!F415&gt;5000,"SOLICITAR PED COMPRA","N/A")))</f>
        <v>0</v>
      </c>
      <c r="AY415" s="167" t="str">
        <f>IF(AND(Consultas!M415&lt;&gt;"S", Consultas!H415="S"), "CHECAGEM REVERSA", "N/A")</f>
        <v>N/A</v>
      </c>
      <c r="AZ415" s="167" t="str">
        <f>IF(Consultas!U415="N","PRECISA CORRIGIR END DIVERGENTE","N/A")</f>
        <v>N/A</v>
      </c>
    </row>
    <row r="416" ht="12.0" customHeight="1">
      <c r="A416" s="39" t="s">
        <v>90</v>
      </c>
      <c r="B416" s="82" t="str">
        <f>Consultas!B416</f>
        <v/>
      </c>
      <c r="C416" s="82" t="str">
        <f>Consultas!D416</f>
        <v/>
      </c>
      <c r="D416" s="96" t="str">
        <f>Consultas!E416</f>
        <v/>
      </c>
      <c r="E416" s="104" t="str">
        <f>IF(Consultas!AB416&gt;0,YEAR('Parâmetros'!$B$1)-YEAR(Consultas!AB416),"NA")</f>
        <v>NA</v>
      </c>
      <c r="F416" s="82">
        <f>IF(Consultas!F416&gt;'Parâmetros'!$B$2,-8,0)</f>
        <v>0</v>
      </c>
      <c r="G416" s="82">
        <f>IF(Consultas!H416='Parâmetros'!$E$1,100,0)</f>
        <v>0</v>
      </c>
      <c r="H416" s="82">
        <f>IF(Consultas!I416='Parâmetros'!$E$1,-4,12)</f>
        <v>12</v>
      </c>
      <c r="I416" s="82">
        <f>IF(Consultas!J416='Parâmetros'!$E$1,1,-13)</f>
        <v>-13</v>
      </c>
      <c r="J416" s="82">
        <f>IF(Consultas!K416='Parâmetros'!$E$1,2,-5)</f>
        <v>-5</v>
      </c>
      <c r="K416" s="82" t="str">
        <f>IF(Consultas!L416='Parâmetros'!$D$1,"SOLIC CONTRATO DE ENTREGA","N/A")</f>
        <v>N/A</v>
      </c>
      <c r="L416" s="82">
        <f>IF(Consultas!R416='Parâmetros'!$E$1,1,-3)</f>
        <v>-3</v>
      </c>
      <c r="M416" s="82" t="b">
        <f>IF(Consultas!S416&gt;1,(IF(Consultas!S416='Parâmetros'!$E$1,-3,9)))</f>
        <v>0</v>
      </c>
      <c r="N416" s="82">
        <f>IF(Consultas!T416="S",23,0)</f>
        <v>0</v>
      </c>
      <c r="O416" s="82">
        <f>IF(Consultas!U416='Parâmetros'!$E$1,-3,3)</f>
        <v>3</v>
      </c>
      <c r="P416" s="82">
        <f>IF(Consultas!V416='Parâmetros'!$E$1,-100,2)</f>
        <v>2</v>
      </c>
      <c r="Q416" s="82">
        <f>IF(Consultas!M416='Parâmetros'!$D$1,2,-9)</f>
        <v>-9</v>
      </c>
      <c r="R416" s="82">
        <f>IF(Consultas!N416="RJ",-12,0)</f>
        <v>0</v>
      </c>
      <c r="S416" s="82">
        <f>IF(Consultas!O416="-",-3,IF(Consultas!O416=0,-6,IF(Consultas!O416=5,0,IF(Consultas!O416=10,6))))</f>
        <v>-6</v>
      </c>
      <c r="T416" s="82">
        <f>IF(Consultas!M416="S",0,(IF(Consultas!P416="S",6,0)))</f>
        <v>0</v>
      </c>
      <c r="U416" s="82">
        <f>IF(Consultas!Q416&gt;97,9,IF(Consultas!Q416&gt;75,0,-7))</f>
        <v>-7</v>
      </c>
      <c r="V416" s="82">
        <f>IF(Consultas!W416='Parâmetros'!$E$1,1,-5)</f>
        <v>-5</v>
      </c>
      <c r="W416" s="82">
        <f>IF(Consultas!X416="S",3,-3)</f>
        <v>-3</v>
      </c>
      <c r="X416" s="82">
        <f>IF(Consultas!Y416="S",0,-7)</f>
        <v>-7</v>
      </c>
      <c r="Y416" s="82">
        <f>IF(Consultas!Z416='Parâmetros'!$E$1,2,-8)</f>
        <v>-8</v>
      </c>
      <c r="Z416" s="82">
        <f>IF(Consultas!AA416='Parâmetros'!$E$1,-15,1)</f>
        <v>1</v>
      </c>
      <c r="AA416" s="147" t="s">
        <v>140</v>
      </c>
      <c r="AB416" s="82" t="str">
        <f>IF(E416="NA","NA",IF(E416&gt;'Parâmetros'!$A$9,8,IF(E416&gt;'Parâmetros'!$A$8,4,IF(E416&gt;'Parâmetros'!$A$7,0,-6))))</f>
        <v>NA</v>
      </c>
      <c r="AC416" s="82">
        <f>IF(Consultas!AC416='Parâmetros'!$E$1,0,5)</f>
        <v>5</v>
      </c>
      <c r="AD416" s="82">
        <f>IF(Consultas!AH416='Parâmetros'!$D$1,-10,5)</f>
        <v>5</v>
      </c>
      <c r="AE416" s="82">
        <f>IF(Consultas!AI416&gt;(Consultas!F416*2),-10,0)</f>
        <v>0</v>
      </c>
      <c r="AF416" s="82" t="b">
        <f>IF(Consultas!AD416&gt;1,(IF(Consultas!AI416&gt;(Consultas!AD416),-20,4)))</f>
        <v>0</v>
      </c>
      <c r="AG416" s="82">
        <f>IF(Consultas!AG416='Parâmetros'!$E$1,0,-6)</f>
        <v>-6</v>
      </c>
      <c r="AH416" s="82">
        <f>IF(Consultas!AF416='Parâmetros'!$E$1,1,-5)</f>
        <v>-5</v>
      </c>
      <c r="AI416" s="82">
        <f>IF(Consultas!AJ416&gt;700,8,IF(Consultas!AJ416&gt;500,4,IF(Consultas!AJ416&gt;200,-4,IF(Consultas!AJ416&gt;1,-15,-20))))</f>
        <v>-20</v>
      </c>
      <c r="AJ416" s="82">
        <f>IF(Consultas!AD416='Parâmetros'!$E$10,0,IF(Consultas!AD416&gt;'Parâmetros'!$A$30,12,IF(Consultas!AD416&gt;'Parâmetros'!$A$31,6,IF(Consultas!AD416&gt;'Parâmetros'!$A$32,0,IF(Consultas!AD416&gt;'Parâmetros'!$A$33,0,IF(Consultas!AD416&gt;'Parâmetros'!$A$34,-3,IF(Consultas!AD416&gt;'Parâmetros'!$A$35,-7,-1)))))))</f>
        <v>-1</v>
      </c>
      <c r="AK416" s="82">
        <f>IF(Consultas!AO416='Parâmetros'!$D$1,3,-3)</f>
        <v>-3</v>
      </c>
      <c r="AL416" s="82">
        <f>IF(Consultas!AP416='Parâmetros'!$D$1,5,-3)</f>
        <v>-3</v>
      </c>
      <c r="AM416" s="82">
        <f>IF(Consultas!AL416="N",-6,0)</f>
        <v>0</v>
      </c>
      <c r="AN416" s="82">
        <f>IF(Consultas!AM416="N",-10,0)</f>
        <v>0</v>
      </c>
      <c r="AO416" s="82">
        <f>IF(Consultas!AN416="S",4,-2)</f>
        <v>-2</v>
      </c>
      <c r="AP416" s="39"/>
      <c r="AQ416" s="165" t="str">
        <f>IF(Consultas!F416&gt;1,(SUM(F416:AO416)),"N/A")</f>
        <v>N/A</v>
      </c>
      <c r="AR416" s="78">
        <f>IF((Consultas!AD416&gt;'Parâmetros'!$A$31),"X",AJ416+Y416+V416+AC416)</f>
        <v>-9</v>
      </c>
      <c r="AS416" s="78">
        <f>IF((Consultas!AD416&gt;'Parâmetros'!$A$31),"X",(H416+I416+J416+Q416+T416+Y416+Z416+AJ416+AN416))</f>
        <v>-23</v>
      </c>
      <c r="AT416" s="78" t="str">
        <f>IF((Consultas!AD416&lt;'Parâmetros'!$A$31),"X",(AD416+AC416+AB416))</f>
        <v>X</v>
      </c>
      <c r="AU416" s="78">
        <f t="shared" si="1"/>
        <v>-23</v>
      </c>
      <c r="AV416" s="82" t="str">
        <f>IF(AQ416="N/A","N/A",IF(AQ416&gt;5,'Parâmetros'!$A$15,(IF(AU416=AR416,'Parâmetros'!$A$17,IF(AU416=AS416,'Parâmetros'!$A$16,'Parâmetros'!$A$14)))))</f>
        <v>N/A</v>
      </c>
      <c r="AW416" s="86" t="str">
        <f>IF(AQ416="N/A","N/A",IF(AV416='Parâmetros'!$A$15,'Parâmetros'!$C$15,(IF(AV416='Parâmetros'!$A$17,'Parâmetros'!$C$17,IF(AV416='Parâmetros'!$A$16,'Parâmetros'!$C$16,IF(AV416='Parâmetros'!$A$14,'Parâmetros'!$C$12))))))</f>
        <v>N/A</v>
      </c>
      <c r="AX416" s="82" t="b">
        <f>IF(Consultas!F416&gt;1,(IF(Consultas!F416&gt;5000,"SOLICITAR PED COMPRA","N/A")))</f>
        <v>0</v>
      </c>
      <c r="AY416" s="167" t="str">
        <f>IF(AND(Consultas!M416&lt;&gt;"S", Consultas!H416="S"), "CHECAGEM REVERSA", "N/A")</f>
        <v>N/A</v>
      </c>
      <c r="AZ416" s="167" t="str">
        <f>IF(Consultas!U416="N","PRECISA CORRIGIR END DIVERGENTE","N/A")</f>
        <v>N/A</v>
      </c>
    </row>
    <row r="417" ht="12.0" customHeight="1">
      <c r="A417" s="39" t="s">
        <v>90</v>
      </c>
      <c r="B417" s="82" t="str">
        <f>Consultas!B417</f>
        <v/>
      </c>
      <c r="C417" s="82" t="str">
        <f>Consultas!D417</f>
        <v/>
      </c>
      <c r="D417" s="96" t="str">
        <f>Consultas!E417</f>
        <v/>
      </c>
      <c r="E417" s="104" t="str">
        <f>IF(Consultas!AB417&gt;0,YEAR('Parâmetros'!$B$1)-YEAR(Consultas!AB417),"NA")</f>
        <v>NA</v>
      </c>
      <c r="F417" s="82">
        <f>IF(Consultas!F417&gt;'Parâmetros'!$B$2,-8,0)</f>
        <v>0</v>
      </c>
      <c r="G417" s="82">
        <f>IF(Consultas!H417='Parâmetros'!$E$1,100,0)</f>
        <v>0</v>
      </c>
      <c r="H417" s="82">
        <f>IF(Consultas!I417='Parâmetros'!$E$1,-4,12)</f>
        <v>12</v>
      </c>
      <c r="I417" s="82">
        <f>IF(Consultas!J417='Parâmetros'!$E$1,1,-13)</f>
        <v>-13</v>
      </c>
      <c r="J417" s="82">
        <f>IF(Consultas!K417='Parâmetros'!$E$1,2,-5)</f>
        <v>-5</v>
      </c>
      <c r="K417" s="82" t="str">
        <f>IF(Consultas!L417='Parâmetros'!$D$1,"SOLIC CONTRATO DE ENTREGA","N/A")</f>
        <v>N/A</v>
      </c>
      <c r="L417" s="82">
        <f>IF(Consultas!R417='Parâmetros'!$E$1,1,-3)</f>
        <v>-3</v>
      </c>
      <c r="M417" s="82" t="b">
        <f>IF(Consultas!S417&gt;1,(IF(Consultas!S417='Parâmetros'!$E$1,-3,9)))</f>
        <v>0</v>
      </c>
      <c r="N417" s="82">
        <f>IF(Consultas!T417="S",23,0)</f>
        <v>0</v>
      </c>
      <c r="O417" s="82">
        <f>IF(Consultas!U417='Parâmetros'!$E$1,-3,3)</f>
        <v>3</v>
      </c>
      <c r="P417" s="82">
        <f>IF(Consultas!V417='Parâmetros'!$E$1,-100,2)</f>
        <v>2</v>
      </c>
      <c r="Q417" s="82">
        <f>IF(Consultas!M417='Parâmetros'!$D$1,2,-9)</f>
        <v>-9</v>
      </c>
      <c r="R417" s="82">
        <f>IF(Consultas!N417="RJ",-12,0)</f>
        <v>0</v>
      </c>
      <c r="S417" s="82">
        <f>IF(Consultas!O417="-",-3,IF(Consultas!O417=0,-6,IF(Consultas!O417=5,0,IF(Consultas!O417=10,6))))</f>
        <v>-6</v>
      </c>
      <c r="T417" s="82">
        <f>IF(Consultas!M417="S",0,(IF(Consultas!P417="S",6,0)))</f>
        <v>0</v>
      </c>
      <c r="U417" s="82">
        <f>IF(Consultas!Q417&gt;97,9,IF(Consultas!Q417&gt;75,0,-7))</f>
        <v>-7</v>
      </c>
      <c r="V417" s="82">
        <f>IF(Consultas!W417='Parâmetros'!$E$1,1,-5)</f>
        <v>-5</v>
      </c>
      <c r="W417" s="82">
        <f>IF(Consultas!X417="S",3,-3)</f>
        <v>-3</v>
      </c>
      <c r="X417" s="82">
        <f>IF(Consultas!Y417="S",0,-7)</f>
        <v>-7</v>
      </c>
      <c r="Y417" s="82">
        <f>IF(Consultas!Z417='Parâmetros'!$E$1,2,-8)</f>
        <v>-8</v>
      </c>
      <c r="Z417" s="82">
        <f>IF(Consultas!AA417='Parâmetros'!$E$1,-15,1)</f>
        <v>1</v>
      </c>
      <c r="AA417" s="147" t="s">
        <v>140</v>
      </c>
      <c r="AB417" s="82" t="str">
        <f>IF(E417="NA","NA",IF(E417&gt;'Parâmetros'!$A$9,8,IF(E417&gt;'Parâmetros'!$A$8,4,IF(E417&gt;'Parâmetros'!$A$7,0,-6))))</f>
        <v>NA</v>
      </c>
      <c r="AC417" s="82">
        <f>IF(Consultas!AC417='Parâmetros'!$E$1,0,5)</f>
        <v>5</v>
      </c>
      <c r="AD417" s="82">
        <f>IF(Consultas!AH417='Parâmetros'!$D$1,-10,5)</f>
        <v>5</v>
      </c>
      <c r="AE417" s="82">
        <f>IF(Consultas!AI417&gt;(Consultas!F417*2),-10,0)</f>
        <v>0</v>
      </c>
      <c r="AF417" s="82" t="b">
        <f>IF(Consultas!AD417&gt;1,(IF(Consultas!AI417&gt;(Consultas!AD417),-20,4)))</f>
        <v>0</v>
      </c>
      <c r="AG417" s="82">
        <f>IF(Consultas!AG417='Parâmetros'!$E$1,0,-6)</f>
        <v>-6</v>
      </c>
      <c r="AH417" s="82">
        <f>IF(Consultas!AF417='Parâmetros'!$E$1,1,-5)</f>
        <v>-5</v>
      </c>
      <c r="AI417" s="82">
        <f>IF(Consultas!AJ417&gt;700,8,IF(Consultas!AJ417&gt;500,4,IF(Consultas!AJ417&gt;200,-4,IF(Consultas!AJ417&gt;1,-15,-20))))</f>
        <v>-20</v>
      </c>
      <c r="AJ417" s="82">
        <f>IF(Consultas!AD417='Parâmetros'!$E$10,0,IF(Consultas!AD417&gt;'Parâmetros'!$A$30,12,IF(Consultas!AD417&gt;'Parâmetros'!$A$31,6,IF(Consultas!AD417&gt;'Parâmetros'!$A$32,0,IF(Consultas!AD417&gt;'Parâmetros'!$A$33,0,IF(Consultas!AD417&gt;'Parâmetros'!$A$34,-3,IF(Consultas!AD417&gt;'Parâmetros'!$A$35,-7,-1)))))))</f>
        <v>-1</v>
      </c>
      <c r="AK417" s="82">
        <f>IF(Consultas!AO417='Parâmetros'!$D$1,3,-3)</f>
        <v>-3</v>
      </c>
      <c r="AL417" s="82">
        <f>IF(Consultas!AP417='Parâmetros'!$D$1,5,-3)</f>
        <v>-3</v>
      </c>
      <c r="AM417" s="82">
        <f>IF(Consultas!AL417="N",-6,0)</f>
        <v>0</v>
      </c>
      <c r="AN417" s="82">
        <f>IF(Consultas!AM417="N",-10,0)</f>
        <v>0</v>
      </c>
      <c r="AO417" s="82">
        <f>IF(Consultas!AN417="S",4,-2)</f>
        <v>-2</v>
      </c>
      <c r="AP417" s="39"/>
      <c r="AQ417" s="165" t="str">
        <f>IF(Consultas!F417&gt;1,(SUM(F417:AO417)),"N/A")</f>
        <v>N/A</v>
      </c>
      <c r="AR417" s="78">
        <f>IF((Consultas!AD417&gt;'Parâmetros'!$A$31),"X",AJ417+Y417+V417+AC417)</f>
        <v>-9</v>
      </c>
      <c r="AS417" s="78">
        <f>IF((Consultas!AD417&gt;'Parâmetros'!$A$31),"X",(H417+I417+J417+Q417+T417+Y417+Z417+AJ417+AN417))</f>
        <v>-23</v>
      </c>
      <c r="AT417" s="78" t="str">
        <f>IF((Consultas!AD417&lt;'Parâmetros'!$A$31),"X",(AD417+AC417+AB417))</f>
        <v>X</v>
      </c>
      <c r="AU417" s="78">
        <f t="shared" si="1"/>
        <v>-23</v>
      </c>
      <c r="AV417" s="82" t="str">
        <f>IF(AQ417="N/A","N/A",IF(AQ417&gt;5,'Parâmetros'!$A$15,(IF(AU417=AR417,'Parâmetros'!$A$17,IF(AU417=AS417,'Parâmetros'!$A$16,'Parâmetros'!$A$14)))))</f>
        <v>N/A</v>
      </c>
      <c r="AW417" s="86" t="str">
        <f>IF(AQ417="N/A","N/A",IF(AV417='Parâmetros'!$A$15,'Parâmetros'!$C$15,(IF(AV417='Parâmetros'!$A$17,'Parâmetros'!$C$17,IF(AV417='Parâmetros'!$A$16,'Parâmetros'!$C$16,IF(AV417='Parâmetros'!$A$14,'Parâmetros'!$C$12))))))</f>
        <v>N/A</v>
      </c>
      <c r="AX417" s="82" t="b">
        <f>IF(Consultas!F417&gt;1,(IF(Consultas!F417&gt;5000,"SOLICITAR PED COMPRA","N/A")))</f>
        <v>0</v>
      </c>
      <c r="AY417" s="167" t="str">
        <f>IF(AND(Consultas!M417&lt;&gt;"S", Consultas!H417="S"), "CHECAGEM REVERSA", "N/A")</f>
        <v>N/A</v>
      </c>
      <c r="AZ417" s="167" t="str">
        <f>IF(Consultas!U417="N","PRECISA CORRIGIR END DIVERGENTE","N/A")</f>
        <v>N/A</v>
      </c>
    </row>
    <row r="418" ht="12.0" customHeight="1">
      <c r="A418" s="39" t="s">
        <v>90</v>
      </c>
      <c r="B418" s="82" t="str">
        <f>Consultas!B418</f>
        <v/>
      </c>
      <c r="C418" s="82" t="str">
        <f>Consultas!D418</f>
        <v/>
      </c>
      <c r="D418" s="96" t="str">
        <f>Consultas!E418</f>
        <v/>
      </c>
      <c r="E418" s="104" t="str">
        <f>IF(Consultas!AB418&gt;0,YEAR('Parâmetros'!$B$1)-YEAR(Consultas!AB418),"NA")</f>
        <v>NA</v>
      </c>
      <c r="F418" s="82">
        <f>IF(Consultas!F418&gt;'Parâmetros'!$B$2,-8,0)</f>
        <v>0</v>
      </c>
      <c r="G418" s="82">
        <f>IF(Consultas!H418='Parâmetros'!$E$1,100,0)</f>
        <v>0</v>
      </c>
      <c r="H418" s="82">
        <f>IF(Consultas!I418='Parâmetros'!$E$1,-4,12)</f>
        <v>12</v>
      </c>
      <c r="I418" s="82">
        <f>IF(Consultas!J418='Parâmetros'!$E$1,1,-13)</f>
        <v>-13</v>
      </c>
      <c r="J418" s="82">
        <f>IF(Consultas!K418='Parâmetros'!$E$1,2,-5)</f>
        <v>-5</v>
      </c>
      <c r="K418" s="82" t="str">
        <f>IF(Consultas!L418='Parâmetros'!$D$1,"SOLIC CONTRATO DE ENTREGA","N/A")</f>
        <v>N/A</v>
      </c>
      <c r="L418" s="82">
        <f>IF(Consultas!R418='Parâmetros'!$E$1,1,-3)</f>
        <v>-3</v>
      </c>
      <c r="M418" s="82" t="b">
        <f>IF(Consultas!S418&gt;1,(IF(Consultas!S418='Parâmetros'!$E$1,-3,9)))</f>
        <v>0</v>
      </c>
      <c r="N418" s="82">
        <f>IF(Consultas!T418="S",23,0)</f>
        <v>0</v>
      </c>
      <c r="O418" s="82">
        <f>IF(Consultas!U418='Parâmetros'!$E$1,-3,3)</f>
        <v>3</v>
      </c>
      <c r="P418" s="82">
        <f>IF(Consultas!V418='Parâmetros'!$E$1,-100,2)</f>
        <v>2</v>
      </c>
      <c r="Q418" s="82">
        <f>IF(Consultas!M418='Parâmetros'!$D$1,2,-9)</f>
        <v>-9</v>
      </c>
      <c r="R418" s="82">
        <f>IF(Consultas!N418="RJ",-12,0)</f>
        <v>0</v>
      </c>
      <c r="S418" s="82">
        <f>IF(Consultas!O418="-",-3,IF(Consultas!O418=0,-6,IF(Consultas!O418=5,0,IF(Consultas!O418=10,6))))</f>
        <v>-6</v>
      </c>
      <c r="T418" s="82">
        <f>IF(Consultas!M418="S",0,(IF(Consultas!P418="S",6,0)))</f>
        <v>0</v>
      </c>
      <c r="U418" s="82">
        <f>IF(Consultas!Q418&gt;97,9,IF(Consultas!Q418&gt;75,0,-7))</f>
        <v>-7</v>
      </c>
      <c r="V418" s="82">
        <f>IF(Consultas!W418='Parâmetros'!$E$1,1,-5)</f>
        <v>-5</v>
      </c>
      <c r="W418" s="82">
        <f>IF(Consultas!X418="S",3,-3)</f>
        <v>-3</v>
      </c>
      <c r="X418" s="82">
        <f>IF(Consultas!Y418="S",0,-7)</f>
        <v>-7</v>
      </c>
      <c r="Y418" s="82">
        <f>IF(Consultas!Z418='Parâmetros'!$E$1,2,-8)</f>
        <v>-8</v>
      </c>
      <c r="Z418" s="82">
        <f>IF(Consultas!AA418='Parâmetros'!$E$1,-15,1)</f>
        <v>1</v>
      </c>
      <c r="AA418" s="147" t="s">
        <v>140</v>
      </c>
      <c r="AB418" s="82" t="str">
        <f>IF(E418="NA","NA",IF(E418&gt;'Parâmetros'!$A$9,8,IF(E418&gt;'Parâmetros'!$A$8,4,IF(E418&gt;'Parâmetros'!$A$7,0,-6))))</f>
        <v>NA</v>
      </c>
      <c r="AC418" s="82">
        <f>IF(Consultas!AC418='Parâmetros'!$E$1,0,5)</f>
        <v>5</v>
      </c>
      <c r="AD418" s="82">
        <f>IF(Consultas!AH418='Parâmetros'!$D$1,-10,5)</f>
        <v>5</v>
      </c>
      <c r="AE418" s="82">
        <f>IF(Consultas!AI418&gt;(Consultas!F418*2),-10,0)</f>
        <v>0</v>
      </c>
      <c r="AF418" s="82" t="b">
        <f>IF(Consultas!AD418&gt;1,(IF(Consultas!AI418&gt;(Consultas!AD418),-20,4)))</f>
        <v>0</v>
      </c>
      <c r="AG418" s="82">
        <f>IF(Consultas!AG418='Parâmetros'!$E$1,0,-6)</f>
        <v>-6</v>
      </c>
      <c r="AH418" s="82">
        <f>IF(Consultas!AF418='Parâmetros'!$E$1,1,-5)</f>
        <v>-5</v>
      </c>
      <c r="AI418" s="82">
        <f>IF(Consultas!AJ418&gt;700,8,IF(Consultas!AJ418&gt;500,4,IF(Consultas!AJ418&gt;200,-4,IF(Consultas!AJ418&gt;1,-15,-20))))</f>
        <v>-20</v>
      </c>
      <c r="AJ418" s="82">
        <f>IF(Consultas!AD418='Parâmetros'!$E$10,0,IF(Consultas!AD418&gt;'Parâmetros'!$A$30,12,IF(Consultas!AD418&gt;'Parâmetros'!$A$31,6,IF(Consultas!AD418&gt;'Parâmetros'!$A$32,0,IF(Consultas!AD418&gt;'Parâmetros'!$A$33,0,IF(Consultas!AD418&gt;'Parâmetros'!$A$34,-3,IF(Consultas!AD418&gt;'Parâmetros'!$A$35,-7,-1)))))))</f>
        <v>-1</v>
      </c>
      <c r="AK418" s="82">
        <f>IF(Consultas!AO418='Parâmetros'!$D$1,3,-3)</f>
        <v>-3</v>
      </c>
      <c r="AL418" s="82">
        <f>IF(Consultas!AP418='Parâmetros'!$D$1,5,-3)</f>
        <v>-3</v>
      </c>
      <c r="AM418" s="82">
        <f>IF(Consultas!AL418="N",-6,0)</f>
        <v>0</v>
      </c>
      <c r="AN418" s="82">
        <f>IF(Consultas!AM418="N",-10,0)</f>
        <v>0</v>
      </c>
      <c r="AO418" s="82">
        <f>IF(Consultas!AN418="S",4,-2)</f>
        <v>-2</v>
      </c>
      <c r="AP418" s="39"/>
      <c r="AQ418" s="165" t="str">
        <f>IF(Consultas!F418&gt;1,(SUM(F418:AO418)),"N/A")</f>
        <v>N/A</v>
      </c>
      <c r="AR418" s="78">
        <f>IF((Consultas!AD418&gt;'Parâmetros'!$A$31),"X",AJ418+Y418+V418+AC418)</f>
        <v>-9</v>
      </c>
      <c r="AS418" s="78">
        <f>IF((Consultas!AD418&gt;'Parâmetros'!$A$31),"X",(H418+I418+J418+Q418+T418+Y418+Z418+AJ418+AN418))</f>
        <v>-23</v>
      </c>
      <c r="AT418" s="78" t="str">
        <f>IF((Consultas!AD418&lt;'Parâmetros'!$A$31),"X",(AD418+AC418+AB418))</f>
        <v>X</v>
      </c>
      <c r="AU418" s="78">
        <f t="shared" si="1"/>
        <v>-23</v>
      </c>
      <c r="AV418" s="82" t="str">
        <f>IF(AQ418="N/A","N/A",IF(AQ418&gt;5,'Parâmetros'!$A$15,(IF(AU418=AR418,'Parâmetros'!$A$17,IF(AU418=AS418,'Parâmetros'!$A$16,'Parâmetros'!$A$14)))))</f>
        <v>N/A</v>
      </c>
      <c r="AW418" s="86" t="str">
        <f>IF(AQ418="N/A","N/A",IF(AV418='Parâmetros'!$A$15,'Parâmetros'!$C$15,(IF(AV418='Parâmetros'!$A$17,'Parâmetros'!$C$17,IF(AV418='Parâmetros'!$A$16,'Parâmetros'!$C$16,IF(AV418='Parâmetros'!$A$14,'Parâmetros'!$C$12))))))</f>
        <v>N/A</v>
      </c>
      <c r="AX418" s="82" t="b">
        <f>IF(Consultas!F418&gt;1,(IF(Consultas!F418&gt;5000,"SOLICITAR PED COMPRA","N/A")))</f>
        <v>0</v>
      </c>
      <c r="AY418" s="167" t="str">
        <f>IF(AND(Consultas!M418&lt;&gt;"S", Consultas!H418="S"), "CHECAGEM REVERSA", "N/A")</f>
        <v>N/A</v>
      </c>
      <c r="AZ418" s="167" t="str">
        <f>IF(Consultas!U418="N","PRECISA CORRIGIR END DIVERGENTE","N/A")</f>
        <v>N/A</v>
      </c>
    </row>
    <row r="419" ht="12.0" customHeight="1">
      <c r="A419" s="39" t="s">
        <v>90</v>
      </c>
      <c r="B419" s="82" t="str">
        <f>Consultas!B419</f>
        <v/>
      </c>
      <c r="C419" s="82" t="str">
        <f>Consultas!D419</f>
        <v/>
      </c>
      <c r="D419" s="96" t="str">
        <f>Consultas!E419</f>
        <v/>
      </c>
      <c r="E419" s="104" t="str">
        <f>IF(Consultas!AB419&gt;0,YEAR('Parâmetros'!$B$1)-YEAR(Consultas!AB419),"NA")</f>
        <v>NA</v>
      </c>
      <c r="F419" s="82">
        <f>IF(Consultas!F419&gt;'Parâmetros'!$B$2,-8,0)</f>
        <v>0</v>
      </c>
      <c r="G419" s="82">
        <f>IF(Consultas!H419='Parâmetros'!$E$1,100,0)</f>
        <v>0</v>
      </c>
      <c r="H419" s="82">
        <f>IF(Consultas!I419='Parâmetros'!$E$1,-4,12)</f>
        <v>12</v>
      </c>
      <c r="I419" s="82">
        <f>IF(Consultas!J419='Parâmetros'!$E$1,1,-13)</f>
        <v>-13</v>
      </c>
      <c r="J419" s="82">
        <f>IF(Consultas!K419='Parâmetros'!$E$1,2,-5)</f>
        <v>-5</v>
      </c>
      <c r="K419" s="82" t="str">
        <f>IF(Consultas!L419='Parâmetros'!$D$1,"SOLIC CONTRATO DE ENTREGA","N/A")</f>
        <v>N/A</v>
      </c>
      <c r="L419" s="82">
        <f>IF(Consultas!R419='Parâmetros'!$E$1,1,-3)</f>
        <v>-3</v>
      </c>
      <c r="M419" s="82" t="b">
        <f>IF(Consultas!S419&gt;1,(IF(Consultas!S419='Parâmetros'!$E$1,-3,9)))</f>
        <v>0</v>
      </c>
      <c r="N419" s="82">
        <f>IF(Consultas!T419="S",23,0)</f>
        <v>0</v>
      </c>
      <c r="O419" s="82">
        <f>IF(Consultas!U419='Parâmetros'!$E$1,-3,3)</f>
        <v>3</v>
      </c>
      <c r="P419" s="82">
        <f>IF(Consultas!V419='Parâmetros'!$E$1,-100,2)</f>
        <v>2</v>
      </c>
      <c r="Q419" s="82">
        <f>IF(Consultas!M419='Parâmetros'!$D$1,2,-9)</f>
        <v>-9</v>
      </c>
      <c r="R419" s="82">
        <f>IF(Consultas!N419="RJ",-12,0)</f>
        <v>0</v>
      </c>
      <c r="S419" s="82">
        <f>IF(Consultas!O419="-",-3,IF(Consultas!O419=0,-6,IF(Consultas!O419=5,0,IF(Consultas!O419=10,6))))</f>
        <v>-6</v>
      </c>
      <c r="T419" s="82">
        <f>IF(Consultas!M419="S",0,(IF(Consultas!P419="S",6,0)))</f>
        <v>0</v>
      </c>
      <c r="U419" s="82">
        <f>IF(Consultas!Q419&gt;97,9,IF(Consultas!Q419&gt;75,0,-7))</f>
        <v>-7</v>
      </c>
      <c r="V419" s="82">
        <f>IF(Consultas!W419='Parâmetros'!$E$1,1,-5)</f>
        <v>-5</v>
      </c>
      <c r="W419" s="82">
        <f>IF(Consultas!X419="S",3,-3)</f>
        <v>-3</v>
      </c>
      <c r="X419" s="82">
        <f>IF(Consultas!Y419="S",0,-7)</f>
        <v>-7</v>
      </c>
      <c r="Y419" s="82">
        <f>IF(Consultas!Z419='Parâmetros'!$E$1,2,-8)</f>
        <v>-8</v>
      </c>
      <c r="Z419" s="82">
        <f>IF(Consultas!AA419='Parâmetros'!$E$1,-15,1)</f>
        <v>1</v>
      </c>
      <c r="AA419" s="147" t="s">
        <v>140</v>
      </c>
      <c r="AB419" s="82" t="str">
        <f>IF(E419="NA","NA",IF(E419&gt;'Parâmetros'!$A$9,8,IF(E419&gt;'Parâmetros'!$A$8,4,IF(E419&gt;'Parâmetros'!$A$7,0,-6))))</f>
        <v>NA</v>
      </c>
      <c r="AC419" s="82">
        <f>IF(Consultas!AC419='Parâmetros'!$E$1,0,5)</f>
        <v>5</v>
      </c>
      <c r="AD419" s="82">
        <f>IF(Consultas!AH419='Parâmetros'!$D$1,-10,5)</f>
        <v>5</v>
      </c>
      <c r="AE419" s="82">
        <f>IF(Consultas!AI419&gt;(Consultas!F419*2),-10,0)</f>
        <v>0</v>
      </c>
      <c r="AF419" s="82" t="b">
        <f>IF(Consultas!AD419&gt;1,(IF(Consultas!AI419&gt;(Consultas!AD419),-20,4)))</f>
        <v>0</v>
      </c>
      <c r="AG419" s="82">
        <f>IF(Consultas!AG419='Parâmetros'!$E$1,0,-6)</f>
        <v>-6</v>
      </c>
      <c r="AH419" s="82">
        <f>IF(Consultas!AF419='Parâmetros'!$E$1,1,-5)</f>
        <v>-5</v>
      </c>
      <c r="AI419" s="82">
        <f>IF(Consultas!AJ419&gt;700,8,IF(Consultas!AJ419&gt;500,4,IF(Consultas!AJ419&gt;200,-4,IF(Consultas!AJ419&gt;1,-15,-20))))</f>
        <v>-20</v>
      </c>
      <c r="AJ419" s="82">
        <f>IF(Consultas!AD419='Parâmetros'!$E$10,0,IF(Consultas!AD419&gt;'Parâmetros'!$A$30,12,IF(Consultas!AD419&gt;'Parâmetros'!$A$31,6,IF(Consultas!AD419&gt;'Parâmetros'!$A$32,0,IF(Consultas!AD419&gt;'Parâmetros'!$A$33,0,IF(Consultas!AD419&gt;'Parâmetros'!$A$34,-3,IF(Consultas!AD419&gt;'Parâmetros'!$A$35,-7,-1)))))))</f>
        <v>-1</v>
      </c>
      <c r="AK419" s="82">
        <f>IF(Consultas!AO419='Parâmetros'!$D$1,3,-3)</f>
        <v>-3</v>
      </c>
      <c r="AL419" s="82">
        <f>IF(Consultas!AP419='Parâmetros'!$D$1,5,-3)</f>
        <v>-3</v>
      </c>
      <c r="AM419" s="82">
        <f>IF(Consultas!AL419="N",-6,0)</f>
        <v>0</v>
      </c>
      <c r="AN419" s="82">
        <f>IF(Consultas!AM419="N",-10,0)</f>
        <v>0</v>
      </c>
      <c r="AO419" s="82">
        <f>IF(Consultas!AN419="S",4,-2)</f>
        <v>-2</v>
      </c>
      <c r="AP419" s="39"/>
      <c r="AQ419" s="165" t="str">
        <f>IF(Consultas!F419&gt;1,(SUM(F419:AO419)),"N/A")</f>
        <v>N/A</v>
      </c>
      <c r="AR419" s="78">
        <f>IF((Consultas!AD419&gt;'Parâmetros'!$A$31),"X",AJ419+Y419+V419+AC419)</f>
        <v>-9</v>
      </c>
      <c r="AS419" s="78">
        <f>IF((Consultas!AD419&gt;'Parâmetros'!$A$31),"X",(H419+I419+J419+Q419+T419+Y419+Z419+AJ419+AN419))</f>
        <v>-23</v>
      </c>
      <c r="AT419" s="78" t="str">
        <f>IF((Consultas!AD419&lt;'Parâmetros'!$A$31),"X",(AD419+AC419+AB419))</f>
        <v>X</v>
      </c>
      <c r="AU419" s="78">
        <f t="shared" si="1"/>
        <v>-23</v>
      </c>
      <c r="AV419" s="82" t="str">
        <f>IF(AQ419="N/A","N/A",IF(AQ419&gt;5,'Parâmetros'!$A$15,(IF(AU419=AR419,'Parâmetros'!$A$17,IF(AU419=AS419,'Parâmetros'!$A$16,'Parâmetros'!$A$14)))))</f>
        <v>N/A</v>
      </c>
      <c r="AW419" s="86" t="str">
        <f>IF(AQ419="N/A","N/A",IF(AV419='Parâmetros'!$A$15,'Parâmetros'!$C$15,(IF(AV419='Parâmetros'!$A$17,'Parâmetros'!$C$17,IF(AV419='Parâmetros'!$A$16,'Parâmetros'!$C$16,IF(AV419='Parâmetros'!$A$14,'Parâmetros'!$C$12))))))</f>
        <v>N/A</v>
      </c>
      <c r="AX419" s="82" t="b">
        <f>IF(Consultas!F419&gt;1,(IF(Consultas!F419&gt;5000,"SOLICITAR PED COMPRA","N/A")))</f>
        <v>0</v>
      </c>
      <c r="AY419" s="167" t="str">
        <f>IF(AND(Consultas!M419&lt;&gt;"S", Consultas!H419="S"), "CHECAGEM REVERSA", "N/A")</f>
        <v>N/A</v>
      </c>
      <c r="AZ419" s="167" t="str">
        <f>IF(Consultas!U419="N","PRECISA CORRIGIR END DIVERGENTE","N/A")</f>
        <v>N/A</v>
      </c>
    </row>
    <row r="420" ht="12.0" customHeight="1">
      <c r="A420" s="39" t="s">
        <v>90</v>
      </c>
      <c r="B420" s="82" t="str">
        <f>Consultas!B420</f>
        <v/>
      </c>
      <c r="C420" s="82" t="str">
        <f>Consultas!D420</f>
        <v/>
      </c>
      <c r="D420" s="96" t="str">
        <f>Consultas!E420</f>
        <v/>
      </c>
      <c r="E420" s="104" t="str">
        <f>IF(Consultas!AB420&gt;0,YEAR('Parâmetros'!$B$1)-YEAR(Consultas!AB420),"NA")</f>
        <v>NA</v>
      </c>
      <c r="F420" s="82">
        <f>IF(Consultas!F420&gt;'Parâmetros'!$B$2,-8,0)</f>
        <v>0</v>
      </c>
      <c r="G420" s="82">
        <f>IF(Consultas!H420='Parâmetros'!$E$1,100,0)</f>
        <v>0</v>
      </c>
      <c r="H420" s="82">
        <f>IF(Consultas!I420='Parâmetros'!$E$1,-4,12)</f>
        <v>12</v>
      </c>
      <c r="I420" s="82">
        <f>IF(Consultas!J420='Parâmetros'!$E$1,1,-13)</f>
        <v>-13</v>
      </c>
      <c r="J420" s="82">
        <f>IF(Consultas!K420='Parâmetros'!$E$1,2,-5)</f>
        <v>-5</v>
      </c>
      <c r="K420" s="82" t="str">
        <f>IF(Consultas!L420='Parâmetros'!$D$1,"SOLIC CONTRATO DE ENTREGA","N/A")</f>
        <v>N/A</v>
      </c>
      <c r="L420" s="82">
        <f>IF(Consultas!R420='Parâmetros'!$E$1,1,-3)</f>
        <v>-3</v>
      </c>
      <c r="M420" s="82" t="b">
        <f>IF(Consultas!S420&gt;1,(IF(Consultas!S420='Parâmetros'!$E$1,-3,9)))</f>
        <v>0</v>
      </c>
      <c r="N420" s="82">
        <f>IF(Consultas!T420="S",23,0)</f>
        <v>0</v>
      </c>
      <c r="O420" s="82">
        <f>IF(Consultas!U420='Parâmetros'!$E$1,-3,3)</f>
        <v>3</v>
      </c>
      <c r="P420" s="82">
        <f>IF(Consultas!V420='Parâmetros'!$E$1,-100,2)</f>
        <v>2</v>
      </c>
      <c r="Q420" s="82">
        <f>IF(Consultas!M420='Parâmetros'!$D$1,2,-9)</f>
        <v>-9</v>
      </c>
      <c r="R420" s="82">
        <f>IF(Consultas!N420="RJ",-12,0)</f>
        <v>0</v>
      </c>
      <c r="S420" s="82">
        <f>IF(Consultas!O420="-",-3,IF(Consultas!O420=0,-6,IF(Consultas!O420=5,0,IF(Consultas!O420=10,6))))</f>
        <v>-6</v>
      </c>
      <c r="T420" s="82">
        <f>IF(Consultas!M420="S",0,(IF(Consultas!P420="S",6,0)))</f>
        <v>0</v>
      </c>
      <c r="U420" s="82">
        <f>IF(Consultas!Q420&gt;97,9,IF(Consultas!Q420&gt;75,0,-7))</f>
        <v>-7</v>
      </c>
      <c r="V420" s="82">
        <f>IF(Consultas!W420='Parâmetros'!$E$1,1,-5)</f>
        <v>-5</v>
      </c>
      <c r="W420" s="82">
        <f>IF(Consultas!X420="S",3,-3)</f>
        <v>-3</v>
      </c>
      <c r="X420" s="82">
        <f>IF(Consultas!Y420="S",0,-7)</f>
        <v>-7</v>
      </c>
      <c r="Y420" s="82">
        <f>IF(Consultas!Z420='Parâmetros'!$E$1,2,-8)</f>
        <v>-8</v>
      </c>
      <c r="Z420" s="82">
        <f>IF(Consultas!AA420='Parâmetros'!$E$1,-15,1)</f>
        <v>1</v>
      </c>
      <c r="AA420" s="147" t="s">
        <v>140</v>
      </c>
      <c r="AB420" s="82" t="str">
        <f>IF(E420="NA","NA",IF(E420&gt;'Parâmetros'!$A$9,8,IF(E420&gt;'Parâmetros'!$A$8,4,IF(E420&gt;'Parâmetros'!$A$7,0,-6))))</f>
        <v>NA</v>
      </c>
      <c r="AC420" s="82">
        <f>IF(Consultas!AC420='Parâmetros'!$E$1,0,5)</f>
        <v>5</v>
      </c>
      <c r="AD420" s="82">
        <f>IF(Consultas!AH420='Parâmetros'!$D$1,-10,5)</f>
        <v>5</v>
      </c>
      <c r="AE420" s="82">
        <f>IF(Consultas!AI420&gt;(Consultas!F420*2),-10,0)</f>
        <v>0</v>
      </c>
      <c r="AF420" s="82" t="b">
        <f>IF(Consultas!AD420&gt;1,(IF(Consultas!AI420&gt;(Consultas!AD420),-20,4)))</f>
        <v>0</v>
      </c>
      <c r="AG420" s="82">
        <f>IF(Consultas!AG420='Parâmetros'!$E$1,0,-6)</f>
        <v>-6</v>
      </c>
      <c r="AH420" s="82">
        <f>IF(Consultas!AF420='Parâmetros'!$E$1,1,-5)</f>
        <v>-5</v>
      </c>
      <c r="AI420" s="82">
        <f>IF(Consultas!AJ420&gt;700,8,IF(Consultas!AJ420&gt;500,4,IF(Consultas!AJ420&gt;200,-4,IF(Consultas!AJ420&gt;1,-15,-20))))</f>
        <v>-20</v>
      </c>
      <c r="AJ420" s="82">
        <f>IF(Consultas!AD420='Parâmetros'!$E$10,0,IF(Consultas!AD420&gt;'Parâmetros'!$A$30,12,IF(Consultas!AD420&gt;'Parâmetros'!$A$31,6,IF(Consultas!AD420&gt;'Parâmetros'!$A$32,0,IF(Consultas!AD420&gt;'Parâmetros'!$A$33,0,IF(Consultas!AD420&gt;'Parâmetros'!$A$34,-3,IF(Consultas!AD420&gt;'Parâmetros'!$A$35,-7,-1)))))))</f>
        <v>-1</v>
      </c>
      <c r="AK420" s="82">
        <f>IF(Consultas!AO420='Parâmetros'!$D$1,3,-3)</f>
        <v>-3</v>
      </c>
      <c r="AL420" s="82">
        <f>IF(Consultas!AP420='Parâmetros'!$D$1,5,-3)</f>
        <v>-3</v>
      </c>
      <c r="AM420" s="82">
        <f>IF(Consultas!AL420="N",-6,0)</f>
        <v>0</v>
      </c>
      <c r="AN420" s="82">
        <f>IF(Consultas!AM420="N",-10,0)</f>
        <v>0</v>
      </c>
      <c r="AO420" s="82">
        <f>IF(Consultas!AN420="S",4,-2)</f>
        <v>-2</v>
      </c>
      <c r="AP420" s="39"/>
      <c r="AQ420" s="165" t="str">
        <f>IF(Consultas!F420&gt;1,(SUM(F420:AO420)),"N/A")</f>
        <v>N/A</v>
      </c>
      <c r="AR420" s="78">
        <f>IF((Consultas!AD420&gt;'Parâmetros'!$A$31),"X",AJ420+Y420+V420+AC420)</f>
        <v>-9</v>
      </c>
      <c r="AS420" s="78">
        <f>IF((Consultas!AD420&gt;'Parâmetros'!$A$31),"X",(H420+I420+J420+Q420+T420+Y420+Z420+AJ420+AN420))</f>
        <v>-23</v>
      </c>
      <c r="AT420" s="78" t="str">
        <f>IF((Consultas!AD420&lt;'Parâmetros'!$A$31),"X",(AD420+AC420+AB420))</f>
        <v>X</v>
      </c>
      <c r="AU420" s="78">
        <f t="shared" si="1"/>
        <v>-23</v>
      </c>
      <c r="AV420" s="82" t="str">
        <f>IF(AQ420="N/A","N/A",IF(AQ420&gt;5,'Parâmetros'!$A$15,(IF(AU420=AR420,'Parâmetros'!$A$17,IF(AU420=AS420,'Parâmetros'!$A$16,'Parâmetros'!$A$14)))))</f>
        <v>N/A</v>
      </c>
      <c r="AW420" s="86" t="str">
        <f>IF(AQ420="N/A","N/A",IF(AV420='Parâmetros'!$A$15,'Parâmetros'!$C$15,(IF(AV420='Parâmetros'!$A$17,'Parâmetros'!$C$17,IF(AV420='Parâmetros'!$A$16,'Parâmetros'!$C$16,IF(AV420='Parâmetros'!$A$14,'Parâmetros'!$C$12))))))</f>
        <v>N/A</v>
      </c>
      <c r="AX420" s="82" t="b">
        <f>IF(Consultas!F420&gt;1,(IF(Consultas!F420&gt;5000,"SOLICITAR PED COMPRA","N/A")))</f>
        <v>0</v>
      </c>
      <c r="AY420" s="167" t="str">
        <f>IF(AND(Consultas!M420&lt;&gt;"S", Consultas!H420="S"), "CHECAGEM REVERSA", "N/A")</f>
        <v>N/A</v>
      </c>
      <c r="AZ420" s="167" t="str">
        <f>IF(Consultas!U420="N","PRECISA CORRIGIR END DIVERGENTE","N/A")</f>
        <v>N/A</v>
      </c>
    </row>
    <row r="421" ht="12.0" customHeight="1">
      <c r="A421" s="39" t="s">
        <v>90</v>
      </c>
      <c r="B421" s="82" t="str">
        <f>Consultas!B421</f>
        <v/>
      </c>
      <c r="C421" s="82" t="str">
        <f>Consultas!D421</f>
        <v/>
      </c>
      <c r="D421" s="96" t="str">
        <f>Consultas!E421</f>
        <v/>
      </c>
      <c r="E421" s="104" t="str">
        <f>IF(Consultas!AB421&gt;0,YEAR('Parâmetros'!$B$1)-YEAR(Consultas!AB421),"NA")</f>
        <v>NA</v>
      </c>
      <c r="F421" s="82">
        <f>IF(Consultas!F421&gt;'Parâmetros'!$B$2,-8,0)</f>
        <v>0</v>
      </c>
      <c r="G421" s="82">
        <f>IF(Consultas!H421='Parâmetros'!$E$1,100,0)</f>
        <v>0</v>
      </c>
      <c r="H421" s="82">
        <f>IF(Consultas!I421='Parâmetros'!$E$1,-4,12)</f>
        <v>12</v>
      </c>
      <c r="I421" s="82">
        <f>IF(Consultas!J421='Parâmetros'!$E$1,1,-13)</f>
        <v>-13</v>
      </c>
      <c r="J421" s="82">
        <f>IF(Consultas!K421='Parâmetros'!$E$1,2,-5)</f>
        <v>-5</v>
      </c>
      <c r="K421" s="82" t="str">
        <f>IF(Consultas!L421='Parâmetros'!$D$1,"SOLIC CONTRATO DE ENTREGA","N/A")</f>
        <v>N/A</v>
      </c>
      <c r="L421" s="82">
        <f>IF(Consultas!R421='Parâmetros'!$E$1,1,-3)</f>
        <v>-3</v>
      </c>
      <c r="M421" s="82" t="b">
        <f>IF(Consultas!S421&gt;1,(IF(Consultas!S421='Parâmetros'!$E$1,-3,9)))</f>
        <v>0</v>
      </c>
      <c r="N421" s="82">
        <f>IF(Consultas!T421="S",23,0)</f>
        <v>0</v>
      </c>
      <c r="O421" s="82">
        <f>IF(Consultas!U421='Parâmetros'!$E$1,-3,3)</f>
        <v>3</v>
      </c>
      <c r="P421" s="82">
        <f>IF(Consultas!V421='Parâmetros'!$E$1,-100,2)</f>
        <v>2</v>
      </c>
      <c r="Q421" s="82">
        <f>IF(Consultas!M421='Parâmetros'!$D$1,2,-9)</f>
        <v>-9</v>
      </c>
      <c r="R421" s="82">
        <f>IF(Consultas!N421="RJ",-12,0)</f>
        <v>0</v>
      </c>
      <c r="S421" s="82">
        <f>IF(Consultas!O421="-",-3,IF(Consultas!O421=0,-6,IF(Consultas!O421=5,0,IF(Consultas!O421=10,6))))</f>
        <v>-6</v>
      </c>
      <c r="T421" s="82">
        <f>IF(Consultas!M421="S",0,(IF(Consultas!P421="S",6,0)))</f>
        <v>0</v>
      </c>
      <c r="U421" s="82">
        <f>IF(Consultas!Q421&gt;97,9,IF(Consultas!Q421&gt;75,0,-7))</f>
        <v>-7</v>
      </c>
      <c r="V421" s="82">
        <f>IF(Consultas!W421='Parâmetros'!$E$1,1,-5)</f>
        <v>-5</v>
      </c>
      <c r="W421" s="82">
        <f>IF(Consultas!X421="S",3,-3)</f>
        <v>-3</v>
      </c>
      <c r="X421" s="82">
        <f>IF(Consultas!Y421="S",0,-7)</f>
        <v>-7</v>
      </c>
      <c r="Y421" s="82">
        <f>IF(Consultas!Z421='Parâmetros'!$E$1,2,-8)</f>
        <v>-8</v>
      </c>
      <c r="Z421" s="82">
        <f>IF(Consultas!AA421='Parâmetros'!$E$1,-15,1)</f>
        <v>1</v>
      </c>
      <c r="AA421" s="147" t="s">
        <v>140</v>
      </c>
      <c r="AB421" s="82" t="str">
        <f>IF(E421="NA","NA",IF(E421&gt;'Parâmetros'!$A$9,8,IF(E421&gt;'Parâmetros'!$A$8,4,IF(E421&gt;'Parâmetros'!$A$7,0,-6))))</f>
        <v>NA</v>
      </c>
      <c r="AC421" s="82">
        <f>IF(Consultas!AC421='Parâmetros'!$E$1,0,5)</f>
        <v>5</v>
      </c>
      <c r="AD421" s="82">
        <f>IF(Consultas!AH421='Parâmetros'!$D$1,-10,5)</f>
        <v>5</v>
      </c>
      <c r="AE421" s="82">
        <f>IF(Consultas!AI421&gt;(Consultas!F421*2),-10,0)</f>
        <v>0</v>
      </c>
      <c r="AF421" s="82" t="b">
        <f>IF(Consultas!AD421&gt;1,(IF(Consultas!AI421&gt;(Consultas!AD421),-20,4)))</f>
        <v>0</v>
      </c>
      <c r="AG421" s="82">
        <f>IF(Consultas!AG421='Parâmetros'!$E$1,0,-6)</f>
        <v>-6</v>
      </c>
      <c r="AH421" s="82">
        <f>IF(Consultas!AF421='Parâmetros'!$E$1,1,-5)</f>
        <v>-5</v>
      </c>
      <c r="AI421" s="82">
        <f>IF(Consultas!AJ421&gt;700,8,IF(Consultas!AJ421&gt;500,4,IF(Consultas!AJ421&gt;200,-4,IF(Consultas!AJ421&gt;1,-15,-20))))</f>
        <v>-20</v>
      </c>
      <c r="AJ421" s="82">
        <f>IF(Consultas!AD421='Parâmetros'!$E$10,0,IF(Consultas!AD421&gt;'Parâmetros'!$A$30,12,IF(Consultas!AD421&gt;'Parâmetros'!$A$31,6,IF(Consultas!AD421&gt;'Parâmetros'!$A$32,0,IF(Consultas!AD421&gt;'Parâmetros'!$A$33,0,IF(Consultas!AD421&gt;'Parâmetros'!$A$34,-3,IF(Consultas!AD421&gt;'Parâmetros'!$A$35,-7,-1)))))))</f>
        <v>-1</v>
      </c>
      <c r="AK421" s="82">
        <f>IF(Consultas!AO421='Parâmetros'!$D$1,3,-3)</f>
        <v>-3</v>
      </c>
      <c r="AL421" s="82">
        <f>IF(Consultas!AP421='Parâmetros'!$D$1,5,-3)</f>
        <v>-3</v>
      </c>
      <c r="AM421" s="82">
        <f>IF(Consultas!AL421="N",-6,0)</f>
        <v>0</v>
      </c>
      <c r="AN421" s="82">
        <f>IF(Consultas!AM421="N",-10,0)</f>
        <v>0</v>
      </c>
      <c r="AO421" s="82">
        <f>IF(Consultas!AN421="S",4,-2)</f>
        <v>-2</v>
      </c>
      <c r="AP421" s="39"/>
      <c r="AQ421" s="165" t="str">
        <f>IF(Consultas!F421&gt;1,(SUM(F421:AO421)),"N/A")</f>
        <v>N/A</v>
      </c>
      <c r="AR421" s="78">
        <f>IF((Consultas!AD421&gt;'Parâmetros'!$A$31),"X",AJ421+Y421+V421+AC421)</f>
        <v>-9</v>
      </c>
      <c r="AS421" s="78">
        <f>IF((Consultas!AD421&gt;'Parâmetros'!$A$31),"X",(H421+I421+J421+Q421+T421+Y421+Z421+AJ421+AN421))</f>
        <v>-23</v>
      </c>
      <c r="AT421" s="78" t="str">
        <f>IF((Consultas!AD421&lt;'Parâmetros'!$A$31),"X",(AD421+AC421+AB421))</f>
        <v>X</v>
      </c>
      <c r="AU421" s="78">
        <f t="shared" si="1"/>
        <v>-23</v>
      </c>
      <c r="AV421" s="82" t="str">
        <f>IF(AQ421="N/A","N/A",IF(AQ421&gt;5,'Parâmetros'!$A$15,(IF(AU421=AR421,'Parâmetros'!$A$17,IF(AU421=AS421,'Parâmetros'!$A$16,'Parâmetros'!$A$14)))))</f>
        <v>N/A</v>
      </c>
      <c r="AW421" s="86" t="str">
        <f>IF(AQ421="N/A","N/A",IF(AV421='Parâmetros'!$A$15,'Parâmetros'!$C$15,(IF(AV421='Parâmetros'!$A$17,'Parâmetros'!$C$17,IF(AV421='Parâmetros'!$A$16,'Parâmetros'!$C$16,IF(AV421='Parâmetros'!$A$14,'Parâmetros'!$C$12))))))</f>
        <v>N/A</v>
      </c>
      <c r="AX421" s="82" t="b">
        <f>IF(Consultas!F421&gt;1,(IF(Consultas!F421&gt;5000,"SOLICITAR PED COMPRA","N/A")))</f>
        <v>0</v>
      </c>
      <c r="AY421" s="167" t="str">
        <f>IF(AND(Consultas!M421&lt;&gt;"S", Consultas!H421="S"), "CHECAGEM REVERSA", "N/A")</f>
        <v>N/A</v>
      </c>
      <c r="AZ421" s="167" t="str">
        <f>IF(Consultas!U421="N","PRECISA CORRIGIR END DIVERGENTE","N/A")</f>
        <v>N/A</v>
      </c>
    </row>
    <row r="422" ht="12.0" customHeight="1">
      <c r="A422" s="39" t="s">
        <v>90</v>
      </c>
      <c r="B422" s="82" t="str">
        <f>Consultas!B422</f>
        <v/>
      </c>
      <c r="C422" s="82" t="str">
        <f>Consultas!D422</f>
        <v/>
      </c>
      <c r="D422" s="96" t="str">
        <f>Consultas!E422</f>
        <v/>
      </c>
      <c r="E422" s="104" t="str">
        <f>IF(Consultas!AB422&gt;0,YEAR('Parâmetros'!$B$1)-YEAR(Consultas!AB422),"NA")</f>
        <v>NA</v>
      </c>
      <c r="F422" s="82">
        <f>IF(Consultas!F422&gt;'Parâmetros'!$B$2,-8,0)</f>
        <v>0</v>
      </c>
      <c r="G422" s="82">
        <f>IF(Consultas!H422='Parâmetros'!$E$1,100,0)</f>
        <v>0</v>
      </c>
      <c r="H422" s="82">
        <f>IF(Consultas!I422='Parâmetros'!$E$1,-4,12)</f>
        <v>12</v>
      </c>
      <c r="I422" s="82">
        <f>IF(Consultas!J422='Parâmetros'!$E$1,1,-13)</f>
        <v>-13</v>
      </c>
      <c r="J422" s="82">
        <f>IF(Consultas!K422='Parâmetros'!$E$1,2,-5)</f>
        <v>-5</v>
      </c>
      <c r="K422" s="82" t="str">
        <f>IF(Consultas!L422='Parâmetros'!$D$1,"SOLIC CONTRATO DE ENTREGA","N/A")</f>
        <v>N/A</v>
      </c>
      <c r="L422" s="82">
        <f>IF(Consultas!R422='Parâmetros'!$E$1,1,-3)</f>
        <v>-3</v>
      </c>
      <c r="M422" s="82" t="b">
        <f>IF(Consultas!S422&gt;1,(IF(Consultas!S422='Parâmetros'!$E$1,-3,9)))</f>
        <v>0</v>
      </c>
      <c r="N422" s="82">
        <f>IF(Consultas!T422="S",23,0)</f>
        <v>0</v>
      </c>
      <c r="O422" s="82">
        <f>IF(Consultas!U422='Parâmetros'!$E$1,-3,3)</f>
        <v>3</v>
      </c>
      <c r="P422" s="82">
        <f>IF(Consultas!V422='Parâmetros'!$E$1,-100,2)</f>
        <v>2</v>
      </c>
      <c r="Q422" s="82">
        <f>IF(Consultas!M422='Parâmetros'!$D$1,2,-9)</f>
        <v>-9</v>
      </c>
      <c r="R422" s="82">
        <f>IF(Consultas!N422="RJ",-12,0)</f>
        <v>0</v>
      </c>
      <c r="S422" s="82">
        <f>IF(Consultas!O422="-",-3,IF(Consultas!O422=0,-6,IF(Consultas!O422=5,0,IF(Consultas!O422=10,6))))</f>
        <v>-6</v>
      </c>
      <c r="T422" s="82">
        <f>IF(Consultas!M422="S",0,(IF(Consultas!P422="S",6,0)))</f>
        <v>0</v>
      </c>
      <c r="U422" s="82">
        <f>IF(Consultas!Q422&gt;97,9,IF(Consultas!Q422&gt;75,0,-7))</f>
        <v>-7</v>
      </c>
      <c r="V422" s="82">
        <f>IF(Consultas!W422='Parâmetros'!$E$1,1,-5)</f>
        <v>-5</v>
      </c>
      <c r="W422" s="82">
        <f>IF(Consultas!X422="S",3,-3)</f>
        <v>-3</v>
      </c>
      <c r="X422" s="82">
        <f>IF(Consultas!Y422="S",0,-7)</f>
        <v>-7</v>
      </c>
      <c r="Y422" s="82">
        <f>IF(Consultas!Z422='Parâmetros'!$E$1,2,-8)</f>
        <v>-8</v>
      </c>
      <c r="Z422" s="82">
        <f>IF(Consultas!AA422='Parâmetros'!$E$1,-15,1)</f>
        <v>1</v>
      </c>
      <c r="AA422" s="147" t="s">
        <v>140</v>
      </c>
      <c r="AB422" s="82" t="str">
        <f>IF(E422="NA","NA",IF(E422&gt;'Parâmetros'!$A$9,8,IF(E422&gt;'Parâmetros'!$A$8,4,IF(E422&gt;'Parâmetros'!$A$7,0,-6))))</f>
        <v>NA</v>
      </c>
      <c r="AC422" s="82">
        <f>IF(Consultas!AC422='Parâmetros'!$E$1,0,5)</f>
        <v>5</v>
      </c>
      <c r="AD422" s="82">
        <f>IF(Consultas!AH422='Parâmetros'!$D$1,-10,5)</f>
        <v>5</v>
      </c>
      <c r="AE422" s="82">
        <f>IF(Consultas!AI422&gt;(Consultas!F422*2),-10,0)</f>
        <v>0</v>
      </c>
      <c r="AF422" s="82" t="b">
        <f>IF(Consultas!AD422&gt;1,(IF(Consultas!AI422&gt;(Consultas!AD422),-20,4)))</f>
        <v>0</v>
      </c>
      <c r="AG422" s="82">
        <f>IF(Consultas!AG422='Parâmetros'!$E$1,0,-6)</f>
        <v>-6</v>
      </c>
      <c r="AH422" s="82">
        <f>IF(Consultas!AF422='Parâmetros'!$E$1,1,-5)</f>
        <v>-5</v>
      </c>
      <c r="AI422" s="82">
        <f>IF(Consultas!AJ422&gt;700,8,IF(Consultas!AJ422&gt;500,4,IF(Consultas!AJ422&gt;200,-4,IF(Consultas!AJ422&gt;1,-15,-20))))</f>
        <v>-20</v>
      </c>
      <c r="AJ422" s="82">
        <f>IF(Consultas!AD422='Parâmetros'!$E$10,0,IF(Consultas!AD422&gt;'Parâmetros'!$A$30,12,IF(Consultas!AD422&gt;'Parâmetros'!$A$31,6,IF(Consultas!AD422&gt;'Parâmetros'!$A$32,0,IF(Consultas!AD422&gt;'Parâmetros'!$A$33,0,IF(Consultas!AD422&gt;'Parâmetros'!$A$34,-3,IF(Consultas!AD422&gt;'Parâmetros'!$A$35,-7,-1)))))))</f>
        <v>-1</v>
      </c>
      <c r="AK422" s="82">
        <f>IF(Consultas!AO422='Parâmetros'!$D$1,3,-3)</f>
        <v>-3</v>
      </c>
      <c r="AL422" s="82">
        <f>IF(Consultas!AP422='Parâmetros'!$D$1,5,-3)</f>
        <v>-3</v>
      </c>
      <c r="AM422" s="82">
        <f>IF(Consultas!AL422="N",-6,0)</f>
        <v>0</v>
      </c>
      <c r="AN422" s="82">
        <f>IF(Consultas!AM422="N",-10,0)</f>
        <v>0</v>
      </c>
      <c r="AO422" s="82">
        <f>IF(Consultas!AN422="S",4,-2)</f>
        <v>-2</v>
      </c>
      <c r="AP422" s="39"/>
      <c r="AQ422" s="165" t="str">
        <f>IF(Consultas!F422&gt;1,(SUM(F422:AO422)),"N/A")</f>
        <v>N/A</v>
      </c>
      <c r="AR422" s="78">
        <f>IF((Consultas!AD422&gt;'Parâmetros'!$A$31),"X",AJ422+Y422+V422+AC422)</f>
        <v>-9</v>
      </c>
      <c r="AS422" s="78">
        <f>IF((Consultas!AD422&gt;'Parâmetros'!$A$31),"X",(H422+I422+J422+Q422+T422+Y422+Z422+AJ422+AN422))</f>
        <v>-23</v>
      </c>
      <c r="AT422" s="78" t="str">
        <f>IF((Consultas!AD422&lt;'Parâmetros'!$A$31),"X",(AD422+AC422+AB422))</f>
        <v>X</v>
      </c>
      <c r="AU422" s="78">
        <f t="shared" si="1"/>
        <v>-23</v>
      </c>
      <c r="AV422" s="82" t="str">
        <f>IF(AQ422="N/A","N/A",IF(AQ422&gt;5,'Parâmetros'!$A$15,(IF(AU422=AR422,'Parâmetros'!$A$17,IF(AU422=AS422,'Parâmetros'!$A$16,'Parâmetros'!$A$14)))))</f>
        <v>N/A</v>
      </c>
      <c r="AW422" s="86" t="str">
        <f>IF(AQ422="N/A","N/A",IF(AV422='Parâmetros'!$A$15,'Parâmetros'!$C$15,(IF(AV422='Parâmetros'!$A$17,'Parâmetros'!$C$17,IF(AV422='Parâmetros'!$A$16,'Parâmetros'!$C$16,IF(AV422='Parâmetros'!$A$14,'Parâmetros'!$C$12))))))</f>
        <v>N/A</v>
      </c>
      <c r="AX422" s="82" t="b">
        <f>IF(Consultas!F422&gt;1,(IF(Consultas!F422&gt;5000,"SOLICITAR PED COMPRA","N/A")))</f>
        <v>0</v>
      </c>
      <c r="AY422" s="167" t="str">
        <f>IF(AND(Consultas!M422&lt;&gt;"S", Consultas!H422="S"), "CHECAGEM REVERSA", "N/A")</f>
        <v>N/A</v>
      </c>
      <c r="AZ422" s="167" t="str">
        <f>IF(Consultas!U422="N","PRECISA CORRIGIR END DIVERGENTE","N/A")</f>
        <v>N/A</v>
      </c>
    </row>
    <row r="423" ht="12.0" customHeight="1">
      <c r="A423" s="39" t="s">
        <v>90</v>
      </c>
      <c r="B423" s="82" t="str">
        <f>Consultas!B423</f>
        <v/>
      </c>
      <c r="C423" s="82" t="str">
        <f>Consultas!D423</f>
        <v/>
      </c>
      <c r="D423" s="96" t="str">
        <f>Consultas!E423</f>
        <v/>
      </c>
      <c r="E423" s="104" t="str">
        <f>IF(Consultas!AB423&gt;0,YEAR('Parâmetros'!$B$1)-YEAR(Consultas!AB423),"NA")</f>
        <v>NA</v>
      </c>
      <c r="F423" s="82">
        <f>IF(Consultas!F423&gt;'Parâmetros'!$B$2,-8,0)</f>
        <v>0</v>
      </c>
      <c r="G423" s="82">
        <f>IF(Consultas!H423='Parâmetros'!$E$1,100,0)</f>
        <v>0</v>
      </c>
      <c r="H423" s="82">
        <f>IF(Consultas!I423='Parâmetros'!$E$1,-4,12)</f>
        <v>12</v>
      </c>
      <c r="I423" s="82">
        <f>IF(Consultas!J423='Parâmetros'!$E$1,1,-13)</f>
        <v>-13</v>
      </c>
      <c r="J423" s="82">
        <f>IF(Consultas!K423='Parâmetros'!$E$1,2,-5)</f>
        <v>-5</v>
      </c>
      <c r="K423" s="82" t="str">
        <f>IF(Consultas!L423='Parâmetros'!$D$1,"SOLIC CONTRATO DE ENTREGA","N/A")</f>
        <v>N/A</v>
      </c>
      <c r="L423" s="82">
        <f>IF(Consultas!R423='Parâmetros'!$E$1,1,-3)</f>
        <v>-3</v>
      </c>
      <c r="M423" s="82" t="b">
        <f>IF(Consultas!S423&gt;1,(IF(Consultas!S423='Parâmetros'!$E$1,-3,9)))</f>
        <v>0</v>
      </c>
      <c r="N423" s="82">
        <f>IF(Consultas!T423="S",23,0)</f>
        <v>0</v>
      </c>
      <c r="O423" s="82">
        <f>IF(Consultas!U423='Parâmetros'!$E$1,-3,3)</f>
        <v>3</v>
      </c>
      <c r="P423" s="82">
        <f>IF(Consultas!V423='Parâmetros'!$E$1,-100,2)</f>
        <v>2</v>
      </c>
      <c r="Q423" s="82">
        <f>IF(Consultas!M423='Parâmetros'!$D$1,2,-9)</f>
        <v>-9</v>
      </c>
      <c r="R423" s="82">
        <f>IF(Consultas!N423="RJ",-12,0)</f>
        <v>0</v>
      </c>
      <c r="S423" s="82">
        <f>IF(Consultas!O423="-",-3,IF(Consultas!O423=0,-6,IF(Consultas!O423=5,0,IF(Consultas!O423=10,6))))</f>
        <v>-6</v>
      </c>
      <c r="T423" s="82">
        <f>IF(Consultas!M423="S",0,(IF(Consultas!P423="S",6,0)))</f>
        <v>0</v>
      </c>
      <c r="U423" s="82">
        <f>IF(Consultas!Q423&gt;97,9,IF(Consultas!Q423&gt;75,0,-7))</f>
        <v>-7</v>
      </c>
      <c r="V423" s="82">
        <f>IF(Consultas!W423='Parâmetros'!$E$1,1,-5)</f>
        <v>-5</v>
      </c>
      <c r="W423" s="82">
        <f>IF(Consultas!X423="S",3,-3)</f>
        <v>-3</v>
      </c>
      <c r="X423" s="82">
        <f>IF(Consultas!Y423="S",0,-7)</f>
        <v>-7</v>
      </c>
      <c r="Y423" s="82">
        <f>IF(Consultas!Z423='Parâmetros'!$E$1,2,-8)</f>
        <v>-8</v>
      </c>
      <c r="Z423" s="82">
        <f>IF(Consultas!AA423='Parâmetros'!$E$1,-15,1)</f>
        <v>1</v>
      </c>
      <c r="AA423" s="147" t="s">
        <v>140</v>
      </c>
      <c r="AB423" s="82" t="str">
        <f>IF(E423="NA","NA",IF(E423&gt;'Parâmetros'!$A$9,8,IF(E423&gt;'Parâmetros'!$A$8,4,IF(E423&gt;'Parâmetros'!$A$7,0,-6))))</f>
        <v>NA</v>
      </c>
      <c r="AC423" s="82">
        <f>IF(Consultas!AC423='Parâmetros'!$E$1,0,5)</f>
        <v>5</v>
      </c>
      <c r="AD423" s="82">
        <f>IF(Consultas!AH423='Parâmetros'!$D$1,-10,5)</f>
        <v>5</v>
      </c>
      <c r="AE423" s="82">
        <f>IF(Consultas!AI423&gt;(Consultas!F423*2),-10,0)</f>
        <v>0</v>
      </c>
      <c r="AF423" s="82" t="b">
        <f>IF(Consultas!AD423&gt;1,(IF(Consultas!AI423&gt;(Consultas!AD423),-20,4)))</f>
        <v>0</v>
      </c>
      <c r="AG423" s="82">
        <f>IF(Consultas!AG423='Parâmetros'!$E$1,0,-6)</f>
        <v>-6</v>
      </c>
      <c r="AH423" s="82">
        <f>IF(Consultas!AF423='Parâmetros'!$E$1,1,-5)</f>
        <v>-5</v>
      </c>
      <c r="AI423" s="82">
        <f>IF(Consultas!AJ423&gt;700,8,IF(Consultas!AJ423&gt;500,4,IF(Consultas!AJ423&gt;200,-4,IF(Consultas!AJ423&gt;1,-15,-20))))</f>
        <v>-20</v>
      </c>
      <c r="AJ423" s="82">
        <f>IF(Consultas!AD423='Parâmetros'!$E$10,0,IF(Consultas!AD423&gt;'Parâmetros'!$A$30,12,IF(Consultas!AD423&gt;'Parâmetros'!$A$31,6,IF(Consultas!AD423&gt;'Parâmetros'!$A$32,0,IF(Consultas!AD423&gt;'Parâmetros'!$A$33,0,IF(Consultas!AD423&gt;'Parâmetros'!$A$34,-3,IF(Consultas!AD423&gt;'Parâmetros'!$A$35,-7,-1)))))))</f>
        <v>-1</v>
      </c>
      <c r="AK423" s="82">
        <f>IF(Consultas!AO423='Parâmetros'!$D$1,3,-3)</f>
        <v>-3</v>
      </c>
      <c r="AL423" s="82">
        <f>IF(Consultas!AP423='Parâmetros'!$D$1,5,-3)</f>
        <v>-3</v>
      </c>
      <c r="AM423" s="82">
        <f>IF(Consultas!AL423="N",-6,0)</f>
        <v>0</v>
      </c>
      <c r="AN423" s="82">
        <f>IF(Consultas!AM423="N",-10,0)</f>
        <v>0</v>
      </c>
      <c r="AO423" s="82">
        <f>IF(Consultas!AN423="S",4,-2)</f>
        <v>-2</v>
      </c>
      <c r="AP423" s="39"/>
      <c r="AQ423" s="165" t="str">
        <f>IF(Consultas!F423&gt;1,(SUM(F423:AO423)),"N/A")</f>
        <v>N/A</v>
      </c>
      <c r="AR423" s="78">
        <f>IF((Consultas!AD423&gt;'Parâmetros'!$A$31),"X",AJ423+Y423+V423+AC423)</f>
        <v>-9</v>
      </c>
      <c r="AS423" s="78">
        <f>IF((Consultas!AD423&gt;'Parâmetros'!$A$31),"X",(H423+I423+J423+Q423+T423+Y423+Z423+AJ423+AN423))</f>
        <v>-23</v>
      </c>
      <c r="AT423" s="78" t="str">
        <f>IF((Consultas!AD423&lt;'Parâmetros'!$A$31),"X",(AD423+AC423+AB423))</f>
        <v>X</v>
      </c>
      <c r="AU423" s="78">
        <f t="shared" si="1"/>
        <v>-23</v>
      </c>
      <c r="AV423" s="82" t="str">
        <f>IF(AQ423="N/A","N/A",IF(AQ423&gt;5,'Parâmetros'!$A$15,(IF(AU423=AR423,'Parâmetros'!$A$17,IF(AU423=AS423,'Parâmetros'!$A$16,'Parâmetros'!$A$14)))))</f>
        <v>N/A</v>
      </c>
      <c r="AW423" s="86" t="str">
        <f>IF(AQ423="N/A","N/A",IF(AV423='Parâmetros'!$A$15,'Parâmetros'!$C$15,(IF(AV423='Parâmetros'!$A$17,'Parâmetros'!$C$17,IF(AV423='Parâmetros'!$A$16,'Parâmetros'!$C$16,IF(AV423='Parâmetros'!$A$14,'Parâmetros'!$C$12))))))</f>
        <v>N/A</v>
      </c>
      <c r="AX423" s="82" t="b">
        <f>IF(Consultas!F423&gt;1,(IF(Consultas!F423&gt;5000,"SOLICITAR PED COMPRA","N/A")))</f>
        <v>0</v>
      </c>
      <c r="AY423" s="167" t="str">
        <f>IF(AND(Consultas!M423&lt;&gt;"S", Consultas!H423="S"), "CHECAGEM REVERSA", "N/A")</f>
        <v>N/A</v>
      </c>
      <c r="AZ423" s="167" t="str">
        <f>IF(Consultas!U423="N","PRECISA CORRIGIR END DIVERGENTE","N/A")</f>
        <v>N/A</v>
      </c>
    </row>
    <row r="424" ht="12.0" customHeight="1">
      <c r="A424" s="39" t="s">
        <v>90</v>
      </c>
      <c r="B424" s="82" t="str">
        <f>Consultas!B424</f>
        <v/>
      </c>
      <c r="C424" s="82" t="str">
        <f>Consultas!D424</f>
        <v/>
      </c>
      <c r="D424" s="96" t="str">
        <f>Consultas!E424</f>
        <v/>
      </c>
      <c r="E424" s="104" t="str">
        <f>IF(Consultas!AB424&gt;0,YEAR('Parâmetros'!$B$1)-YEAR(Consultas!AB424),"NA")</f>
        <v>NA</v>
      </c>
      <c r="F424" s="82">
        <f>IF(Consultas!F424&gt;'Parâmetros'!$B$2,-8,0)</f>
        <v>0</v>
      </c>
      <c r="G424" s="82">
        <f>IF(Consultas!H424='Parâmetros'!$E$1,100,0)</f>
        <v>0</v>
      </c>
      <c r="H424" s="82">
        <f>IF(Consultas!I424='Parâmetros'!$E$1,-4,12)</f>
        <v>12</v>
      </c>
      <c r="I424" s="82">
        <f>IF(Consultas!J424='Parâmetros'!$E$1,1,-13)</f>
        <v>-13</v>
      </c>
      <c r="J424" s="82">
        <f>IF(Consultas!K424='Parâmetros'!$E$1,2,-5)</f>
        <v>-5</v>
      </c>
      <c r="K424" s="82" t="str">
        <f>IF(Consultas!L424='Parâmetros'!$D$1,"SOLIC CONTRATO DE ENTREGA","N/A")</f>
        <v>N/A</v>
      </c>
      <c r="L424" s="82">
        <f>IF(Consultas!R424='Parâmetros'!$E$1,1,-3)</f>
        <v>-3</v>
      </c>
      <c r="M424" s="82" t="b">
        <f>IF(Consultas!S424&gt;1,(IF(Consultas!S424='Parâmetros'!$E$1,-3,9)))</f>
        <v>0</v>
      </c>
      <c r="N424" s="82">
        <f>IF(Consultas!T424="S",23,0)</f>
        <v>0</v>
      </c>
      <c r="O424" s="82">
        <f>IF(Consultas!U424='Parâmetros'!$E$1,-3,3)</f>
        <v>3</v>
      </c>
      <c r="P424" s="82">
        <f>IF(Consultas!V424='Parâmetros'!$E$1,-100,2)</f>
        <v>2</v>
      </c>
      <c r="Q424" s="82">
        <f>IF(Consultas!M424='Parâmetros'!$D$1,2,-9)</f>
        <v>-9</v>
      </c>
      <c r="R424" s="82">
        <f>IF(Consultas!N424="RJ",-12,0)</f>
        <v>0</v>
      </c>
      <c r="S424" s="82">
        <f>IF(Consultas!O424="-",-3,IF(Consultas!O424=0,-6,IF(Consultas!O424=5,0,IF(Consultas!O424=10,6))))</f>
        <v>-6</v>
      </c>
      <c r="T424" s="82">
        <f>IF(Consultas!M424="S",0,(IF(Consultas!P424="S",6,0)))</f>
        <v>0</v>
      </c>
      <c r="U424" s="82">
        <f>IF(Consultas!Q424&gt;97,9,IF(Consultas!Q424&gt;75,0,-7))</f>
        <v>-7</v>
      </c>
      <c r="V424" s="82">
        <f>IF(Consultas!W424='Parâmetros'!$E$1,1,-5)</f>
        <v>-5</v>
      </c>
      <c r="W424" s="82">
        <f>IF(Consultas!X424="S",3,-3)</f>
        <v>-3</v>
      </c>
      <c r="X424" s="82">
        <f>IF(Consultas!Y424="S",0,-7)</f>
        <v>-7</v>
      </c>
      <c r="Y424" s="82">
        <f>IF(Consultas!Z424='Parâmetros'!$E$1,2,-8)</f>
        <v>-8</v>
      </c>
      <c r="Z424" s="82">
        <f>IF(Consultas!AA424='Parâmetros'!$E$1,-15,1)</f>
        <v>1</v>
      </c>
      <c r="AA424" s="147" t="s">
        <v>140</v>
      </c>
      <c r="AB424" s="82" t="str">
        <f>IF(E424="NA","NA",IF(E424&gt;'Parâmetros'!$A$9,8,IF(E424&gt;'Parâmetros'!$A$8,4,IF(E424&gt;'Parâmetros'!$A$7,0,-6))))</f>
        <v>NA</v>
      </c>
      <c r="AC424" s="82">
        <f>IF(Consultas!AC424='Parâmetros'!$E$1,0,5)</f>
        <v>5</v>
      </c>
      <c r="AD424" s="82">
        <f>IF(Consultas!AH424='Parâmetros'!$D$1,-10,5)</f>
        <v>5</v>
      </c>
      <c r="AE424" s="82">
        <f>IF(Consultas!AI424&gt;(Consultas!F424*2),-10,0)</f>
        <v>0</v>
      </c>
      <c r="AF424" s="82" t="b">
        <f>IF(Consultas!AD424&gt;1,(IF(Consultas!AI424&gt;(Consultas!AD424),-20,4)))</f>
        <v>0</v>
      </c>
      <c r="AG424" s="82">
        <f>IF(Consultas!AG424='Parâmetros'!$E$1,0,-6)</f>
        <v>-6</v>
      </c>
      <c r="AH424" s="82">
        <f>IF(Consultas!AF424='Parâmetros'!$E$1,1,-5)</f>
        <v>-5</v>
      </c>
      <c r="AI424" s="82">
        <f>IF(Consultas!AJ424&gt;700,8,IF(Consultas!AJ424&gt;500,4,IF(Consultas!AJ424&gt;200,-4,IF(Consultas!AJ424&gt;1,-15,-20))))</f>
        <v>-20</v>
      </c>
      <c r="AJ424" s="82">
        <f>IF(Consultas!AD424='Parâmetros'!$E$10,0,IF(Consultas!AD424&gt;'Parâmetros'!$A$30,12,IF(Consultas!AD424&gt;'Parâmetros'!$A$31,6,IF(Consultas!AD424&gt;'Parâmetros'!$A$32,0,IF(Consultas!AD424&gt;'Parâmetros'!$A$33,0,IF(Consultas!AD424&gt;'Parâmetros'!$A$34,-3,IF(Consultas!AD424&gt;'Parâmetros'!$A$35,-7,-1)))))))</f>
        <v>-1</v>
      </c>
      <c r="AK424" s="82">
        <f>IF(Consultas!AO424='Parâmetros'!$D$1,3,-3)</f>
        <v>-3</v>
      </c>
      <c r="AL424" s="82">
        <f>IF(Consultas!AP424='Parâmetros'!$D$1,5,-3)</f>
        <v>-3</v>
      </c>
      <c r="AM424" s="82">
        <f>IF(Consultas!AL424="N",-6,0)</f>
        <v>0</v>
      </c>
      <c r="AN424" s="82">
        <f>IF(Consultas!AM424="N",-10,0)</f>
        <v>0</v>
      </c>
      <c r="AO424" s="82">
        <f>IF(Consultas!AN424="S",4,-2)</f>
        <v>-2</v>
      </c>
      <c r="AP424" s="39"/>
      <c r="AQ424" s="165" t="str">
        <f>IF(Consultas!F424&gt;1,(SUM(F424:AO424)),"N/A")</f>
        <v>N/A</v>
      </c>
      <c r="AR424" s="78">
        <f>IF((Consultas!AD424&gt;'Parâmetros'!$A$31),"X",AJ424+Y424+V424+AC424)</f>
        <v>-9</v>
      </c>
      <c r="AS424" s="78">
        <f>IF((Consultas!AD424&gt;'Parâmetros'!$A$31),"X",(H424+I424+J424+Q424+T424+Y424+Z424+AJ424+AN424))</f>
        <v>-23</v>
      </c>
      <c r="AT424" s="78" t="str">
        <f>IF((Consultas!AD424&lt;'Parâmetros'!$A$31),"X",(AD424+AC424+AB424))</f>
        <v>X</v>
      </c>
      <c r="AU424" s="78">
        <f t="shared" si="1"/>
        <v>-23</v>
      </c>
      <c r="AV424" s="82" t="str">
        <f>IF(AQ424="N/A","N/A",IF(AQ424&gt;5,'Parâmetros'!$A$15,(IF(AU424=AR424,'Parâmetros'!$A$17,IF(AU424=AS424,'Parâmetros'!$A$16,'Parâmetros'!$A$14)))))</f>
        <v>N/A</v>
      </c>
      <c r="AW424" s="86" t="str">
        <f>IF(AQ424="N/A","N/A",IF(AV424='Parâmetros'!$A$15,'Parâmetros'!$C$15,(IF(AV424='Parâmetros'!$A$17,'Parâmetros'!$C$17,IF(AV424='Parâmetros'!$A$16,'Parâmetros'!$C$16,IF(AV424='Parâmetros'!$A$14,'Parâmetros'!$C$12))))))</f>
        <v>N/A</v>
      </c>
      <c r="AX424" s="82" t="b">
        <f>IF(Consultas!F424&gt;1,(IF(Consultas!F424&gt;5000,"SOLICITAR PED COMPRA","N/A")))</f>
        <v>0</v>
      </c>
      <c r="AY424" s="167" t="str">
        <f>IF(AND(Consultas!M424&lt;&gt;"S", Consultas!H424="S"), "CHECAGEM REVERSA", "N/A")</f>
        <v>N/A</v>
      </c>
      <c r="AZ424" s="167" t="str">
        <f>IF(Consultas!U424="N","PRECISA CORRIGIR END DIVERGENTE","N/A")</f>
        <v>N/A</v>
      </c>
    </row>
    <row r="425" ht="12.0" customHeight="1">
      <c r="A425" s="39" t="s">
        <v>90</v>
      </c>
      <c r="B425" s="82" t="str">
        <f>Consultas!B425</f>
        <v/>
      </c>
      <c r="C425" s="82" t="str">
        <f>Consultas!D425</f>
        <v/>
      </c>
      <c r="D425" s="96" t="str">
        <f>Consultas!E425</f>
        <v/>
      </c>
      <c r="E425" s="104" t="str">
        <f>IF(Consultas!AB425&gt;0,YEAR('Parâmetros'!$B$1)-YEAR(Consultas!AB425),"NA")</f>
        <v>NA</v>
      </c>
      <c r="F425" s="82">
        <f>IF(Consultas!F425&gt;'Parâmetros'!$B$2,-8,0)</f>
        <v>0</v>
      </c>
      <c r="G425" s="82">
        <f>IF(Consultas!H425='Parâmetros'!$E$1,100,0)</f>
        <v>0</v>
      </c>
      <c r="H425" s="82">
        <f>IF(Consultas!I425='Parâmetros'!$E$1,-4,12)</f>
        <v>12</v>
      </c>
      <c r="I425" s="82">
        <f>IF(Consultas!J425='Parâmetros'!$E$1,1,-13)</f>
        <v>-13</v>
      </c>
      <c r="J425" s="82">
        <f>IF(Consultas!K425='Parâmetros'!$E$1,2,-5)</f>
        <v>-5</v>
      </c>
      <c r="K425" s="82" t="str">
        <f>IF(Consultas!L425='Parâmetros'!$D$1,"SOLIC CONTRATO DE ENTREGA","N/A")</f>
        <v>N/A</v>
      </c>
      <c r="L425" s="82">
        <f>IF(Consultas!R425='Parâmetros'!$E$1,1,-3)</f>
        <v>-3</v>
      </c>
      <c r="M425" s="82" t="b">
        <f>IF(Consultas!S425&gt;1,(IF(Consultas!S425='Parâmetros'!$E$1,-3,9)))</f>
        <v>0</v>
      </c>
      <c r="N425" s="82">
        <f>IF(Consultas!T425="S",23,0)</f>
        <v>0</v>
      </c>
      <c r="O425" s="82">
        <f>IF(Consultas!U425='Parâmetros'!$E$1,-3,3)</f>
        <v>3</v>
      </c>
      <c r="P425" s="82">
        <f>IF(Consultas!V425='Parâmetros'!$E$1,-100,2)</f>
        <v>2</v>
      </c>
      <c r="Q425" s="82">
        <f>IF(Consultas!M425='Parâmetros'!$D$1,2,-9)</f>
        <v>-9</v>
      </c>
      <c r="R425" s="82">
        <f>IF(Consultas!N425="RJ",-12,0)</f>
        <v>0</v>
      </c>
      <c r="S425" s="82">
        <f>IF(Consultas!O425="-",-3,IF(Consultas!O425=0,-6,IF(Consultas!O425=5,0,IF(Consultas!O425=10,6))))</f>
        <v>-6</v>
      </c>
      <c r="T425" s="82">
        <f>IF(Consultas!M425="S",0,(IF(Consultas!P425="S",6,0)))</f>
        <v>0</v>
      </c>
      <c r="U425" s="82">
        <f>IF(Consultas!Q425&gt;97,9,IF(Consultas!Q425&gt;75,0,-7))</f>
        <v>-7</v>
      </c>
      <c r="V425" s="82">
        <f>IF(Consultas!W425='Parâmetros'!$E$1,1,-5)</f>
        <v>-5</v>
      </c>
      <c r="W425" s="82">
        <f>IF(Consultas!X425="S",3,-3)</f>
        <v>-3</v>
      </c>
      <c r="X425" s="82">
        <f>IF(Consultas!Y425="S",0,-7)</f>
        <v>-7</v>
      </c>
      <c r="Y425" s="82">
        <f>IF(Consultas!Z425='Parâmetros'!$E$1,2,-8)</f>
        <v>-8</v>
      </c>
      <c r="Z425" s="82">
        <f>IF(Consultas!AA425='Parâmetros'!$E$1,-15,1)</f>
        <v>1</v>
      </c>
      <c r="AA425" s="147" t="s">
        <v>140</v>
      </c>
      <c r="AB425" s="82" t="str">
        <f>IF(E425="NA","NA",IF(E425&gt;'Parâmetros'!$A$9,8,IF(E425&gt;'Parâmetros'!$A$8,4,IF(E425&gt;'Parâmetros'!$A$7,0,-6))))</f>
        <v>NA</v>
      </c>
      <c r="AC425" s="82">
        <f>IF(Consultas!AC425='Parâmetros'!$E$1,0,5)</f>
        <v>5</v>
      </c>
      <c r="AD425" s="82">
        <f>IF(Consultas!AH425='Parâmetros'!$D$1,-10,5)</f>
        <v>5</v>
      </c>
      <c r="AE425" s="82">
        <f>IF(Consultas!AI425&gt;(Consultas!F425*2),-10,0)</f>
        <v>0</v>
      </c>
      <c r="AF425" s="82" t="b">
        <f>IF(Consultas!AD425&gt;1,(IF(Consultas!AI425&gt;(Consultas!AD425),-20,4)))</f>
        <v>0</v>
      </c>
      <c r="AG425" s="82">
        <f>IF(Consultas!AG425='Parâmetros'!$E$1,0,-6)</f>
        <v>-6</v>
      </c>
      <c r="AH425" s="82">
        <f>IF(Consultas!AF425='Parâmetros'!$E$1,1,-5)</f>
        <v>-5</v>
      </c>
      <c r="AI425" s="82">
        <f>IF(Consultas!AJ425&gt;700,8,IF(Consultas!AJ425&gt;500,4,IF(Consultas!AJ425&gt;200,-4,IF(Consultas!AJ425&gt;1,-15,-20))))</f>
        <v>-20</v>
      </c>
      <c r="AJ425" s="82">
        <f>IF(Consultas!AD425='Parâmetros'!$E$10,0,IF(Consultas!AD425&gt;'Parâmetros'!$A$30,12,IF(Consultas!AD425&gt;'Parâmetros'!$A$31,6,IF(Consultas!AD425&gt;'Parâmetros'!$A$32,0,IF(Consultas!AD425&gt;'Parâmetros'!$A$33,0,IF(Consultas!AD425&gt;'Parâmetros'!$A$34,-3,IF(Consultas!AD425&gt;'Parâmetros'!$A$35,-7,-1)))))))</f>
        <v>-1</v>
      </c>
      <c r="AK425" s="82">
        <f>IF(Consultas!AO425='Parâmetros'!$D$1,3,-3)</f>
        <v>-3</v>
      </c>
      <c r="AL425" s="82">
        <f>IF(Consultas!AP425='Parâmetros'!$D$1,5,-3)</f>
        <v>-3</v>
      </c>
      <c r="AM425" s="82">
        <f>IF(Consultas!AL425="N",-6,0)</f>
        <v>0</v>
      </c>
      <c r="AN425" s="82">
        <f>IF(Consultas!AM425="N",-10,0)</f>
        <v>0</v>
      </c>
      <c r="AO425" s="82">
        <f>IF(Consultas!AN425="S",4,-2)</f>
        <v>-2</v>
      </c>
      <c r="AP425" s="39"/>
      <c r="AQ425" s="165" t="str">
        <f>IF(Consultas!F425&gt;1,(SUM(F425:AO425)),"N/A")</f>
        <v>N/A</v>
      </c>
      <c r="AR425" s="78">
        <f>IF((Consultas!AD425&gt;'Parâmetros'!$A$31),"X",AJ425+Y425+V425+AC425)</f>
        <v>-9</v>
      </c>
      <c r="AS425" s="78">
        <f>IF((Consultas!AD425&gt;'Parâmetros'!$A$31),"X",(H425+I425+J425+Q425+T425+Y425+Z425+AJ425+AN425))</f>
        <v>-23</v>
      </c>
      <c r="AT425" s="78" t="str">
        <f>IF((Consultas!AD425&lt;'Parâmetros'!$A$31),"X",(AD425+AC425+AB425))</f>
        <v>X</v>
      </c>
      <c r="AU425" s="78">
        <f t="shared" si="1"/>
        <v>-23</v>
      </c>
      <c r="AV425" s="82" t="str">
        <f>IF(AQ425="N/A","N/A",IF(AQ425&gt;5,'Parâmetros'!$A$15,(IF(AU425=AR425,'Parâmetros'!$A$17,IF(AU425=AS425,'Parâmetros'!$A$16,'Parâmetros'!$A$14)))))</f>
        <v>N/A</v>
      </c>
      <c r="AW425" s="86" t="str">
        <f>IF(AQ425="N/A","N/A",IF(AV425='Parâmetros'!$A$15,'Parâmetros'!$C$15,(IF(AV425='Parâmetros'!$A$17,'Parâmetros'!$C$17,IF(AV425='Parâmetros'!$A$16,'Parâmetros'!$C$16,IF(AV425='Parâmetros'!$A$14,'Parâmetros'!$C$12))))))</f>
        <v>N/A</v>
      </c>
      <c r="AX425" s="82" t="b">
        <f>IF(Consultas!F425&gt;1,(IF(Consultas!F425&gt;5000,"SOLICITAR PED COMPRA","N/A")))</f>
        <v>0</v>
      </c>
      <c r="AY425" s="167" t="str">
        <f>IF(AND(Consultas!M425&lt;&gt;"S", Consultas!H425="S"), "CHECAGEM REVERSA", "N/A")</f>
        <v>N/A</v>
      </c>
      <c r="AZ425" s="167" t="str">
        <f>IF(Consultas!U425="N","PRECISA CORRIGIR END DIVERGENTE","N/A")</f>
        <v>N/A</v>
      </c>
    </row>
    <row r="426" ht="12.0" customHeight="1">
      <c r="A426" s="39" t="s">
        <v>90</v>
      </c>
      <c r="B426" s="82" t="str">
        <f>Consultas!B426</f>
        <v/>
      </c>
      <c r="C426" s="82" t="str">
        <f>Consultas!D426</f>
        <v/>
      </c>
      <c r="D426" s="96" t="str">
        <f>Consultas!E426</f>
        <v/>
      </c>
      <c r="E426" s="104" t="str">
        <f>IF(Consultas!AB426&gt;0,YEAR('Parâmetros'!$B$1)-YEAR(Consultas!AB426),"NA")</f>
        <v>NA</v>
      </c>
      <c r="F426" s="82">
        <f>IF(Consultas!F426&gt;'Parâmetros'!$B$2,-8,0)</f>
        <v>0</v>
      </c>
      <c r="G426" s="82">
        <f>IF(Consultas!H426='Parâmetros'!$E$1,100,0)</f>
        <v>0</v>
      </c>
      <c r="H426" s="82">
        <f>IF(Consultas!I426='Parâmetros'!$E$1,-4,12)</f>
        <v>12</v>
      </c>
      <c r="I426" s="82">
        <f>IF(Consultas!J426='Parâmetros'!$E$1,1,-13)</f>
        <v>-13</v>
      </c>
      <c r="J426" s="82">
        <f>IF(Consultas!K426='Parâmetros'!$E$1,2,-5)</f>
        <v>-5</v>
      </c>
      <c r="K426" s="82" t="str">
        <f>IF(Consultas!L426='Parâmetros'!$D$1,"SOLIC CONTRATO DE ENTREGA","N/A")</f>
        <v>N/A</v>
      </c>
      <c r="L426" s="82">
        <f>IF(Consultas!R426='Parâmetros'!$E$1,1,-3)</f>
        <v>-3</v>
      </c>
      <c r="M426" s="82" t="b">
        <f>IF(Consultas!S426&gt;1,(IF(Consultas!S426='Parâmetros'!$E$1,-3,9)))</f>
        <v>0</v>
      </c>
      <c r="N426" s="82">
        <f>IF(Consultas!T426="S",23,0)</f>
        <v>0</v>
      </c>
      <c r="O426" s="82">
        <f>IF(Consultas!U426='Parâmetros'!$E$1,-3,3)</f>
        <v>3</v>
      </c>
      <c r="P426" s="82">
        <f>IF(Consultas!V426='Parâmetros'!$E$1,-100,2)</f>
        <v>2</v>
      </c>
      <c r="Q426" s="82">
        <f>IF(Consultas!M426='Parâmetros'!$D$1,2,-9)</f>
        <v>-9</v>
      </c>
      <c r="R426" s="82">
        <f>IF(Consultas!N426="RJ",-12,0)</f>
        <v>0</v>
      </c>
      <c r="S426" s="82">
        <f>IF(Consultas!O426="-",-3,IF(Consultas!O426=0,-6,IF(Consultas!O426=5,0,IF(Consultas!O426=10,6))))</f>
        <v>-6</v>
      </c>
      <c r="T426" s="82">
        <f>IF(Consultas!M426="S",0,(IF(Consultas!P426="S",6,0)))</f>
        <v>0</v>
      </c>
      <c r="U426" s="82">
        <f>IF(Consultas!Q426&gt;97,9,IF(Consultas!Q426&gt;75,0,-7))</f>
        <v>-7</v>
      </c>
      <c r="V426" s="82">
        <f>IF(Consultas!W426='Parâmetros'!$E$1,1,-5)</f>
        <v>-5</v>
      </c>
      <c r="W426" s="82">
        <f>IF(Consultas!X426="S",3,-3)</f>
        <v>-3</v>
      </c>
      <c r="X426" s="82">
        <f>IF(Consultas!Y426="S",0,-7)</f>
        <v>-7</v>
      </c>
      <c r="Y426" s="82">
        <f>IF(Consultas!Z426='Parâmetros'!$E$1,2,-8)</f>
        <v>-8</v>
      </c>
      <c r="Z426" s="82">
        <f>IF(Consultas!AA426='Parâmetros'!$E$1,-15,1)</f>
        <v>1</v>
      </c>
      <c r="AA426" s="147" t="s">
        <v>140</v>
      </c>
      <c r="AB426" s="82" t="str">
        <f>IF(E426="NA","NA",IF(E426&gt;'Parâmetros'!$A$9,8,IF(E426&gt;'Parâmetros'!$A$8,4,IF(E426&gt;'Parâmetros'!$A$7,0,-6))))</f>
        <v>NA</v>
      </c>
      <c r="AC426" s="82">
        <f>IF(Consultas!AC426='Parâmetros'!$E$1,0,5)</f>
        <v>5</v>
      </c>
      <c r="AD426" s="82">
        <f>IF(Consultas!AH426='Parâmetros'!$D$1,-10,5)</f>
        <v>5</v>
      </c>
      <c r="AE426" s="82">
        <f>IF(Consultas!AI426&gt;(Consultas!F426*2),-10,0)</f>
        <v>0</v>
      </c>
      <c r="AF426" s="82" t="b">
        <f>IF(Consultas!AD426&gt;1,(IF(Consultas!AI426&gt;(Consultas!AD426),-20,4)))</f>
        <v>0</v>
      </c>
      <c r="AG426" s="82">
        <f>IF(Consultas!AG426='Parâmetros'!$E$1,0,-6)</f>
        <v>-6</v>
      </c>
      <c r="AH426" s="82">
        <f>IF(Consultas!AF426='Parâmetros'!$E$1,1,-5)</f>
        <v>-5</v>
      </c>
      <c r="AI426" s="82">
        <f>IF(Consultas!AJ426&gt;700,8,IF(Consultas!AJ426&gt;500,4,IF(Consultas!AJ426&gt;200,-4,IF(Consultas!AJ426&gt;1,-15,-20))))</f>
        <v>-20</v>
      </c>
      <c r="AJ426" s="82">
        <f>IF(Consultas!AD426='Parâmetros'!$E$10,0,IF(Consultas!AD426&gt;'Parâmetros'!$A$30,12,IF(Consultas!AD426&gt;'Parâmetros'!$A$31,6,IF(Consultas!AD426&gt;'Parâmetros'!$A$32,0,IF(Consultas!AD426&gt;'Parâmetros'!$A$33,0,IF(Consultas!AD426&gt;'Parâmetros'!$A$34,-3,IF(Consultas!AD426&gt;'Parâmetros'!$A$35,-7,-1)))))))</f>
        <v>-1</v>
      </c>
      <c r="AK426" s="82">
        <f>IF(Consultas!AO426='Parâmetros'!$D$1,3,-3)</f>
        <v>-3</v>
      </c>
      <c r="AL426" s="82">
        <f>IF(Consultas!AP426='Parâmetros'!$D$1,5,-3)</f>
        <v>-3</v>
      </c>
      <c r="AM426" s="82">
        <f>IF(Consultas!AL426="N",-6,0)</f>
        <v>0</v>
      </c>
      <c r="AN426" s="82">
        <f>IF(Consultas!AM426="N",-10,0)</f>
        <v>0</v>
      </c>
      <c r="AO426" s="82">
        <f>IF(Consultas!AN426="S",4,-2)</f>
        <v>-2</v>
      </c>
      <c r="AP426" s="39"/>
      <c r="AQ426" s="165" t="str">
        <f>IF(Consultas!F426&gt;1,(SUM(F426:AO426)),"N/A")</f>
        <v>N/A</v>
      </c>
      <c r="AR426" s="78">
        <f>IF((Consultas!AD426&gt;'Parâmetros'!$A$31),"X",AJ426+Y426+V426+AC426)</f>
        <v>-9</v>
      </c>
      <c r="AS426" s="78">
        <f>IF((Consultas!AD426&gt;'Parâmetros'!$A$31),"X",(H426+I426+J426+Q426+T426+Y426+Z426+AJ426+AN426))</f>
        <v>-23</v>
      </c>
      <c r="AT426" s="78" t="str">
        <f>IF((Consultas!AD426&lt;'Parâmetros'!$A$31),"X",(AD426+AC426+AB426))</f>
        <v>X</v>
      </c>
      <c r="AU426" s="78">
        <f t="shared" si="1"/>
        <v>-23</v>
      </c>
      <c r="AV426" s="82" t="str">
        <f>IF(AQ426="N/A","N/A",IF(AQ426&gt;5,'Parâmetros'!$A$15,(IF(AU426=AR426,'Parâmetros'!$A$17,IF(AU426=AS426,'Parâmetros'!$A$16,'Parâmetros'!$A$14)))))</f>
        <v>N/A</v>
      </c>
      <c r="AW426" s="86" t="str">
        <f>IF(AQ426="N/A","N/A",IF(AV426='Parâmetros'!$A$15,'Parâmetros'!$C$15,(IF(AV426='Parâmetros'!$A$17,'Parâmetros'!$C$17,IF(AV426='Parâmetros'!$A$16,'Parâmetros'!$C$16,IF(AV426='Parâmetros'!$A$14,'Parâmetros'!$C$12))))))</f>
        <v>N/A</v>
      </c>
      <c r="AX426" s="82" t="b">
        <f>IF(Consultas!F426&gt;1,(IF(Consultas!F426&gt;5000,"SOLICITAR PED COMPRA","N/A")))</f>
        <v>0</v>
      </c>
      <c r="AY426" s="167" t="str">
        <f>IF(AND(Consultas!M426&lt;&gt;"S", Consultas!H426="S"), "CHECAGEM REVERSA", "N/A")</f>
        <v>N/A</v>
      </c>
      <c r="AZ426" s="167" t="str">
        <f>IF(Consultas!U426="N","PRECISA CORRIGIR END DIVERGENTE","N/A")</f>
        <v>N/A</v>
      </c>
    </row>
    <row r="427" ht="12.0" customHeight="1">
      <c r="A427" s="39" t="s">
        <v>90</v>
      </c>
      <c r="B427" s="82" t="str">
        <f>Consultas!B427</f>
        <v/>
      </c>
      <c r="C427" s="82" t="str">
        <f>Consultas!D427</f>
        <v/>
      </c>
      <c r="D427" s="96" t="str">
        <f>Consultas!E427</f>
        <v/>
      </c>
      <c r="E427" s="104" t="str">
        <f>IF(Consultas!AB427&gt;0,YEAR('Parâmetros'!$B$1)-YEAR(Consultas!AB427),"NA")</f>
        <v>NA</v>
      </c>
      <c r="F427" s="82">
        <f>IF(Consultas!F427&gt;'Parâmetros'!$B$2,-8,0)</f>
        <v>0</v>
      </c>
      <c r="G427" s="82">
        <f>IF(Consultas!H427='Parâmetros'!$E$1,100,0)</f>
        <v>0</v>
      </c>
      <c r="H427" s="82">
        <f>IF(Consultas!I427='Parâmetros'!$E$1,-4,12)</f>
        <v>12</v>
      </c>
      <c r="I427" s="82">
        <f>IF(Consultas!J427='Parâmetros'!$E$1,1,-13)</f>
        <v>-13</v>
      </c>
      <c r="J427" s="82">
        <f>IF(Consultas!K427='Parâmetros'!$E$1,2,-5)</f>
        <v>-5</v>
      </c>
      <c r="K427" s="82" t="str">
        <f>IF(Consultas!L427='Parâmetros'!$D$1,"SOLIC CONTRATO DE ENTREGA","N/A")</f>
        <v>N/A</v>
      </c>
      <c r="L427" s="82">
        <f>IF(Consultas!R427='Parâmetros'!$E$1,1,-3)</f>
        <v>-3</v>
      </c>
      <c r="M427" s="82" t="b">
        <f>IF(Consultas!S427&gt;1,(IF(Consultas!S427='Parâmetros'!$E$1,-3,9)))</f>
        <v>0</v>
      </c>
      <c r="N427" s="82">
        <f>IF(Consultas!T427="S",23,0)</f>
        <v>0</v>
      </c>
      <c r="O427" s="82">
        <f>IF(Consultas!U427='Parâmetros'!$E$1,-3,3)</f>
        <v>3</v>
      </c>
      <c r="P427" s="82">
        <f>IF(Consultas!V427='Parâmetros'!$E$1,-100,2)</f>
        <v>2</v>
      </c>
      <c r="Q427" s="82">
        <f>IF(Consultas!M427='Parâmetros'!$D$1,2,-9)</f>
        <v>-9</v>
      </c>
      <c r="R427" s="82">
        <f>IF(Consultas!N427="RJ",-12,0)</f>
        <v>0</v>
      </c>
      <c r="S427" s="82">
        <f>IF(Consultas!O427="-",-3,IF(Consultas!O427=0,-6,IF(Consultas!O427=5,0,IF(Consultas!O427=10,6))))</f>
        <v>-6</v>
      </c>
      <c r="T427" s="82">
        <f>IF(Consultas!M427="S",0,(IF(Consultas!P427="S",6,0)))</f>
        <v>0</v>
      </c>
      <c r="U427" s="82">
        <f>IF(Consultas!Q427&gt;97,9,IF(Consultas!Q427&gt;75,0,-7))</f>
        <v>-7</v>
      </c>
      <c r="V427" s="82">
        <f>IF(Consultas!W427='Parâmetros'!$E$1,1,-5)</f>
        <v>-5</v>
      </c>
      <c r="W427" s="82">
        <f>IF(Consultas!X427="S",3,-3)</f>
        <v>-3</v>
      </c>
      <c r="X427" s="82">
        <f>IF(Consultas!Y427="S",0,-7)</f>
        <v>-7</v>
      </c>
      <c r="Y427" s="82">
        <f>IF(Consultas!Z427='Parâmetros'!$E$1,2,-8)</f>
        <v>-8</v>
      </c>
      <c r="Z427" s="82">
        <f>IF(Consultas!AA427='Parâmetros'!$E$1,-15,1)</f>
        <v>1</v>
      </c>
      <c r="AA427" s="147" t="s">
        <v>140</v>
      </c>
      <c r="AB427" s="82" t="str">
        <f>IF(E427="NA","NA",IF(E427&gt;'Parâmetros'!$A$9,8,IF(E427&gt;'Parâmetros'!$A$8,4,IF(E427&gt;'Parâmetros'!$A$7,0,-6))))</f>
        <v>NA</v>
      </c>
      <c r="AC427" s="82">
        <f>IF(Consultas!AC427='Parâmetros'!$E$1,0,5)</f>
        <v>5</v>
      </c>
      <c r="AD427" s="82">
        <f>IF(Consultas!AH427='Parâmetros'!$D$1,-10,5)</f>
        <v>5</v>
      </c>
      <c r="AE427" s="82">
        <f>IF(Consultas!AI427&gt;(Consultas!F427*2),-10,0)</f>
        <v>0</v>
      </c>
      <c r="AF427" s="82" t="b">
        <f>IF(Consultas!AD427&gt;1,(IF(Consultas!AI427&gt;(Consultas!AD427),-20,4)))</f>
        <v>0</v>
      </c>
      <c r="AG427" s="82">
        <f>IF(Consultas!AG427='Parâmetros'!$E$1,0,-6)</f>
        <v>-6</v>
      </c>
      <c r="AH427" s="82">
        <f>IF(Consultas!AF427='Parâmetros'!$E$1,1,-5)</f>
        <v>-5</v>
      </c>
      <c r="AI427" s="82">
        <f>IF(Consultas!AJ427&gt;700,8,IF(Consultas!AJ427&gt;500,4,IF(Consultas!AJ427&gt;200,-4,IF(Consultas!AJ427&gt;1,-15,-20))))</f>
        <v>-20</v>
      </c>
      <c r="AJ427" s="82">
        <f>IF(Consultas!AD427='Parâmetros'!$E$10,0,IF(Consultas!AD427&gt;'Parâmetros'!$A$30,12,IF(Consultas!AD427&gt;'Parâmetros'!$A$31,6,IF(Consultas!AD427&gt;'Parâmetros'!$A$32,0,IF(Consultas!AD427&gt;'Parâmetros'!$A$33,0,IF(Consultas!AD427&gt;'Parâmetros'!$A$34,-3,IF(Consultas!AD427&gt;'Parâmetros'!$A$35,-7,-1)))))))</f>
        <v>-1</v>
      </c>
      <c r="AK427" s="82">
        <f>IF(Consultas!AO427='Parâmetros'!$D$1,3,-3)</f>
        <v>-3</v>
      </c>
      <c r="AL427" s="82">
        <f>IF(Consultas!AP427='Parâmetros'!$D$1,5,-3)</f>
        <v>-3</v>
      </c>
      <c r="AM427" s="82">
        <f>IF(Consultas!AL427="N",-6,0)</f>
        <v>0</v>
      </c>
      <c r="AN427" s="82">
        <f>IF(Consultas!AM427="N",-10,0)</f>
        <v>0</v>
      </c>
      <c r="AO427" s="82">
        <f>IF(Consultas!AN427="S",4,-2)</f>
        <v>-2</v>
      </c>
      <c r="AP427" s="39"/>
      <c r="AQ427" s="165" t="str">
        <f>IF(Consultas!F427&gt;1,(SUM(F427:AO427)),"N/A")</f>
        <v>N/A</v>
      </c>
      <c r="AR427" s="78">
        <f>IF((Consultas!AD427&gt;'Parâmetros'!$A$31),"X",AJ427+Y427+V427+AC427)</f>
        <v>-9</v>
      </c>
      <c r="AS427" s="78">
        <f>IF((Consultas!AD427&gt;'Parâmetros'!$A$31),"X",(H427+I427+J427+Q427+T427+Y427+Z427+AJ427+AN427))</f>
        <v>-23</v>
      </c>
      <c r="AT427" s="78" t="str">
        <f>IF((Consultas!AD427&lt;'Parâmetros'!$A$31),"X",(AD427+AC427+AB427))</f>
        <v>X</v>
      </c>
      <c r="AU427" s="78">
        <f t="shared" si="1"/>
        <v>-23</v>
      </c>
      <c r="AV427" s="82" t="str">
        <f>IF(AQ427="N/A","N/A",IF(AQ427&gt;5,'Parâmetros'!$A$15,(IF(AU427=AR427,'Parâmetros'!$A$17,IF(AU427=AS427,'Parâmetros'!$A$16,'Parâmetros'!$A$14)))))</f>
        <v>N/A</v>
      </c>
      <c r="AW427" s="86" t="str">
        <f>IF(AQ427="N/A","N/A",IF(AV427='Parâmetros'!$A$15,'Parâmetros'!$C$15,(IF(AV427='Parâmetros'!$A$17,'Parâmetros'!$C$17,IF(AV427='Parâmetros'!$A$16,'Parâmetros'!$C$16,IF(AV427='Parâmetros'!$A$14,'Parâmetros'!$C$12))))))</f>
        <v>N/A</v>
      </c>
      <c r="AX427" s="82" t="b">
        <f>IF(Consultas!F427&gt;1,(IF(Consultas!F427&gt;5000,"SOLICITAR PED COMPRA","N/A")))</f>
        <v>0</v>
      </c>
      <c r="AY427" s="167" t="str">
        <f>IF(AND(Consultas!M427&lt;&gt;"S", Consultas!H427="S"), "CHECAGEM REVERSA", "N/A")</f>
        <v>N/A</v>
      </c>
      <c r="AZ427" s="167" t="str">
        <f>IF(Consultas!U427="N","PRECISA CORRIGIR END DIVERGENTE","N/A")</f>
        <v>N/A</v>
      </c>
    </row>
    <row r="428" ht="12.0" customHeight="1">
      <c r="A428" s="39" t="s">
        <v>90</v>
      </c>
      <c r="B428" s="82" t="str">
        <f>Consultas!B428</f>
        <v/>
      </c>
      <c r="C428" s="82" t="str">
        <f>Consultas!D428</f>
        <v/>
      </c>
      <c r="D428" s="96" t="str">
        <f>Consultas!E428</f>
        <v/>
      </c>
      <c r="E428" s="104" t="str">
        <f>IF(Consultas!AB428&gt;0,YEAR('Parâmetros'!$B$1)-YEAR(Consultas!AB428),"NA")</f>
        <v>NA</v>
      </c>
      <c r="F428" s="82">
        <f>IF(Consultas!F428&gt;'Parâmetros'!$B$2,-8,0)</f>
        <v>0</v>
      </c>
      <c r="G428" s="82">
        <f>IF(Consultas!H428='Parâmetros'!$E$1,100,0)</f>
        <v>0</v>
      </c>
      <c r="H428" s="82">
        <f>IF(Consultas!I428='Parâmetros'!$E$1,-4,12)</f>
        <v>12</v>
      </c>
      <c r="I428" s="82">
        <f>IF(Consultas!J428='Parâmetros'!$E$1,1,-13)</f>
        <v>-13</v>
      </c>
      <c r="J428" s="82">
        <f>IF(Consultas!K428='Parâmetros'!$E$1,2,-5)</f>
        <v>-5</v>
      </c>
      <c r="K428" s="82" t="str">
        <f>IF(Consultas!L428='Parâmetros'!$D$1,"SOLIC CONTRATO DE ENTREGA","N/A")</f>
        <v>N/A</v>
      </c>
      <c r="L428" s="82">
        <f>IF(Consultas!R428='Parâmetros'!$E$1,1,-3)</f>
        <v>-3</v>
      </c>
      <c r="M428" s="82" t="b">
        <f>IF(Consultas!S428&gt;1,(IF(Consultas!S428='Parâmetros'!$E$1,-3,9)))</f>
        <v>0</v>
      </c>
      <c r="N428" s="82">
        <f>IF(Consultas!T428="S",23,0)</f>
        <v>0</v>
      </c>
      <c r="O428" s="82">
        <f>IF(Consultas!U428='Parâmetros'!$E$1,-3,3)</f>
        <v>3</v>
      </c>
      <c r="P428" s="82">
        <f>IF(Consultas!V428='Parâmetros'!$E$1,-100,2)</f>
        <v>2</v>
      </c>
      <c r="Q428" s="82">
        <f>IF(Consultas!M428='Parâmetros'!$D$1,2,-9)</f>
        <v>-9</v>
      </c>
      <c r="R428" s="82">
        <f>IF(Consultas!N428="RJ",-12,0)</f>
        <v>0</v>
      </c>
      <c r="S428" s="82">
        <f>IF(Consultas!O428="-",-3,IF(Consultas!O428=0,-6,IF(Consultas!O428=5,0,IF(Consultas!O428=10,6))))</f>
        <v>-6</v>
      </c>
      <c r="T428" s="82">
        <f>IF(Consultas!M428="S",0,(IF(Consultas!P428="S",6,0)))</f>
        <v>0</v>
      </c>
      <c r="U428" s="82">
        <f>IF(Consultas!Q428&gt;97,9,IF(Consultas!Q428&gt;75,0,-7))</f>
        <v>-7</v>
      </c>
      <c r="V428" s="82">
        <f>IF(Consultas!W428='Parâmetros'!$E$1,1,-5)</f>
        <v>-5</v>
      </c>
      <c r="W428" s="82">
        <f>IF(Consultas!X428="S",3,-3)</f>
        <v>-3</v>
      </c>
      <c r="X428" s="82">
        <f>IF(Consultas!Y428="S",0,-7)</f>
        <v>-7</v>
      </c>
      <c r="Y428" s="82">
        <f>IF(Consultas!Z428='Parâmetros'!$E$1,2,-8)</f>
        <v>-8</v>
      </c>
      <c r="Z428" s="82">
        <f>IF(Consultas!AA428='Parâmetros'!$E$1,-15,1)</f>
        <v>1</v>
      </c>
      <c r="AA428" s="147" t="s">
        <v>140</v>
      </c>
      <c r="AB428" s="82" t="str">
        <f>IF(E428="NA","NA",IF(E428&gt;'Parâmetros'!$A$9,8,IF(E428&gt;'Parâmetros'!$A$8,4,IF(E428&gt;'Parâmetros'!$A$7,0,-6))))</f>
        <v>NA</v>
      </c>
      <c r="AC428" s="82">
        <f>IF(Consultas!AC428='Parâmetros'!$E$1,0,5)</f>
        <v>5</v>
      </c>
      <c r="AD428" s="82">
        <f>IF(Consultas!AH428='Parâmetros'!$D$1,-10,5)</f>
        <v>5</v>
      </c>
      <c r="AE428" s="82">
        <f>IF(Consultas!AI428&gt;(Consultas!F428*2),-10,0)</f>
        <v>0</v>
      </c>
      <c r="AF428" s="82" t="b">
        <f>IF(Consultas!AD428&gt;1,(IF(Consultas!AI428&gt;(Consultas!AD428),-20,4)))</f>
        <v>0</v>
      </c>
      <c r="AG428" s="82">
        <f>IF(Consultas!AG428='Parâmetros'!$E$1,0,-6)</f>
        <v>-6</v>
      </c>
      <c r="AH428" s="82">
        <f>IF(Consultas!AF428='Parâmetros'!$E$1,1,-5)</f>
        <v>-5</v>
      </c>
      <c r="AI428" s="82">
        <f>IF(Consultas!AJ428&gt;700,8,IF(Consultas!AJ428&gt;500,4,IF(Consultas!AJ428&gt;200,-4,IF(Consultas!AJ428&gt;1,-15,-20))))</f>
        <v>-20</v>
      </c>
      <c r="AJ428" s="82">
        <f>IF(Consultas!AD428='Parâmetros'!$E$10,0,IF(Consultas!AD428&gt;'Parâmetros'!$A$30,12,IF(Consultas!AD428&gt;'Parâmetros'!$A$31,6,IF(Consultas!AD428&gt;'Parâmetros'!$A$32,0,IF(Consultas!AD428&gt;'Parâmetros'!$A$33,0,IF(Consultas!AD428&gt;'Parâmetros'!$A$34,-3,IF(Consultas!AD428&gt;'Parâmetros'!$A$35,-7,-1)))))))</f>
        <v>-1</v>
      </c>
      <c r="AK428" s="82">
        <f>IF(Consultas!AO428='Parâmetros'!$D$1,3,-3)</f>
        <v>-3</v>
      </c>
      <c r="AL428" s="82">
        <f>IF(Consultas!AP428='Parâmetros'!$D$1,5,-3)</f>
        <v>-3</v>
      </c>
      <c r="AM428" s="82">
        <f>IF(Consultas!AL428="N",-6,0)</f>
        <v>0</v>
      </c>
      <c r="AN428" s="82">
        <f>IF(Consultas!AM428="N",-10,0)</f>
        <v>0</v>
      </c>
      <c r="AO428" s="82">
        <f>IF(Consultas!AN428="S",4,-2)</f>
        <v>-2</v>
      </c>
      <c r="AP428" s="39"/>
      <c r="AQ428" s="165" t="str">
        <f>IF(Consultas!F428&gt;1,(SUM(F428:AO428)),"N/A")</f>
        <v>N/A</v>
      </c>
      <c r="AR428" s="78">
        <f>IF((Consultas!AD428&gt;'Parâmetros'!$A$31),"X",AJ428+Y428+V428+AC428)</f>
        <v>-9</v>
      </c>
      <c r="AS428" s="78">
        <f>IF((Consultas!AD428&gt;'Parâmetros'!$A$31),"X",(H428+I428+J428+Q428+T428+Y428+Z428+AJ428+AN428))</f>
        <v>-23</v>
      </c>
      <c r="AT428" s="78" t="str">
        <f>IF((Consultas!AD428&lt;'Parâmetros'!$A$31),"X",(AD428+AC428+AB428))</f>
        <v>X</v>
      </c>
      <c r="AU428" s="78">
        <f t="shared" si="1"/>
        <v>-23</v>
      </c>
      <c r="AV428" s="82" t="str">
        <f>IF(AQ428="N/A","N/A",IF(AQ428&gt;5,'Parâmetros'!$A$15,(IF(AU428=AR428,'Parâmetros'!$A$17,IF(AU428=AS428,'Parâmetros'!$A$16,'Parâmetros'!$A$14)))))</f>
        <v>N/A</v>
      </c>
      <c r="AW428" s="86" t="str">
        <f>IF(AQ428="N/A","N/A",IF(AV428='Parâmetros'!$A$15,'Parâmetros'!$C$15,(IF(AV428='Parâmetros'!$A$17,'Parâmetros'!$C$17,IF(AV428='Parâmetros'!$A$16,'Parâmetros'!$C$16,IF(AV428='Parâmetros'!$A$14,'Parâmetros'!$C$12))))))</f>
        <v>N/A</v>
      </c>
      <c r="AX428" s="82" t="b">
        <f>IF(Consultas!F428&gt;1,(IF(Consultas!F428&gt;5000,"SOLICITAR PED COMPRA","N/A")))</f>
        <v>0</v>
      </c>
      <c r="AY428" s="167" t="str">
        <f>IF(AND(Consultas!M428&lt;&gt;"S", Consultas!H428="S"), "CHECAGEM REVERSA", "N/A")</f>
        <v>N/A</v>
      </c>
      <c r="AZ428" s="167" t="str">
        <f>IF(Consultas!U428="N","PRECISA CORRIGIR END DIVERGENTE","N/A")</f>
        <v>N/A</v>
      </c>
    </row>
    <row r="429" ht="12.0" customHeight="1">
      <c r="A429" s="39" t="s">
        <v>90</v>
      </c>
      <c r="B429" s="82" t="str">
        <f>Consultas!B429</f>
        <v/>
      </c>
      <c r="C429" s="82" t="str">
        <f>Consultas!D429</f>
        <v/>
      </c>
      <c r="D429" s="96" t="str">
        <f>Consultas!E429</f>
        <v/>
      </c>
      <c r="E429" s="104" t="str">
        <f>IF(Consultas!AB429&gt;0,YEAR('Parâmetros'!$B$1)-YEAR(Consultas!AB429),"NA")</f>
        <v>NA</v>
      </c>
      <c r="F429" s="82">
        <f>IF(Consultas!F429&gt;'Parâmetros'!$B$2,-8,0)</f>
        <v>0</v>
      </c>
      <c r="G429" s="82">
        <f>IF(Consultas!H429='Parâmetros'!$E$1,100,0)</f>
        <v>0</v>
      </c>
      <c r="H429" s="82">
        <f>IF(Consultas!I429='Parâmetros'!$E$1,-4,12)</f>
        <v>12</v>
      </c>
      <c r="I429" s="82">
        <f>IF(Consultas!J429='Parâmetros'!$E$1,1,-13)</f>
        <v>-13</v>
      </c>
      <c r="J429" s="82">
        <f>IF(Consultas!K429='Parâmetros'!$E$1,2,-5)</f>
        <v>-5</v>
      </c>
      <c r="K429" s="82" t="str">
        <f>IF(Consultas!L429='Parâmetros'!$D$1,"SOLIC CONTRATO DE ENTREGA","N/A")</f>
        <v>N/A</v>
      </c>
      <c r="L429" s="82">
        <f>IF(Consultas!R429='Parâmetros'!$E$1,1,-3)</f>
        <v>-3</v>
      </c>
      <c r="M429" s="82" t="b">
        <f>IF(Consultas!S429&gt;1,(IF(Consultas!S429='Parâmetros'!$E$1,-3,9)))</f>
        <v>0</v>
      </c>
      <c r="N429" s="82">
        <f>IF(Consultas!T429="S",23,0)</f>
        <v>0</v>
      </c>
      <c r="O429" s="82">
        <f>IF(Consultas!U429='Parâmetros'!$E$1,-3,3)</f>
        <v>3</v>
      </c>
      <c r="P429" s="82">
        <f>IF(Consultas!V429='Parâmetros'!$E$1,-100,2)</f>
        <v>2</v>
      </c>
      <c r="Q429" s="82">
        <f>IF(Consultas!M429='Parâmetros'!$D$1,2,-9)</f>
        <v>-9</v>
      </c>
      <c r="R429" s="82">
        <f>IF(Consultas!N429="RJ",-12,0)</f>
        <v>0</v>
      </c>
      <c r="S429" s="82">
        <f>IF(Consultas!O429="-",-3,IF(Consultas!O429=0,-6,IF(Consultas!O429=5,0,IF(Consultas!O429=10,6))))</f>
        <v>-6</v>
      </c>
      <c r="T429" s="82">
        <f>IF(Consultas!M429="S",0,(IF(Consultas!P429="S",6,0)))</f>
        <v>0</v>
      </c>
      <c r="U429" s="82">
        <f>IF(Consultas!Q429&gt;97,9,IF(Consultas!Q429&gt;75,0,-7))</f>
        <v>-7</v>
      </c>
      <c r="V429" s="82">
        <f>IF(Consultas!W429='Parâmetros'!$E$1,1,-5)</f>
        <v>-5</v>
      </c>
      <c r="W429" s="82">
        <f>IF(Consultas!X429="S",3,-3)</f>
        <v>-3</v>
      </c>
      <c r="X429" s="82">
        <f>IF(Consultas!Y429="S",0,-7)</f>
        <v>-7</v>
      </c>
      <c r="Y429" s="82">
        <f>IF(Consultas!Z429='Parâmetros'!$E$1,2,-8)</f>
        <v>-8</v>
      </c>
      <c r="Z429" s="82">
        <f>IF(Consultas!AA429='Parâmetros'!$E$1,-15,1)</f>
        <v>1</v>
      </c>
      <c r="AA429" s="147" t="s">
        <v>140</v>
      </c>
      <c r="AB429" s="82" t="str">
        <f>IF(E429="NA","NA",IF(E429&gt;'Parâmetros'!$A$9,8,IF(E429&gt;'Parâmetros'!$A$8,4,IF(E429&gt;'Parâmetros'!$A$7,0,-6))))</f>
        <v>NA</v>
      </c>
      <c r="AC429" s="82">
        <f>IF(Consultas!AC429='Parâmetros'!$E$1,0,5)</f>
        <v>5</v>
      </c>
      <c r="AD429" s="82">
        <f>IF(Consultas!AH429='Parâmetros'!$D$1,-10,5)</f>
        <v>5</v>
      </c>
      <c r="AE429" s="82">
        <f>IF(Consultas!AI429&gt;(Consultas!F429*2),-10,0)</f>
        <v>0</v>
      </c>
      <c r="AF429" s="82" t="b">
        <f>IF(Consultas!AD429&gt;1,(IF(Consultas!AI429&gt;(Consultas!AD429),-20,4)))</f>
        <v>0</v>
      </c>
      <c r="AG429" s="82">
        <f>IF(Consultas!AG429='Parâmetros'!$E$1,0,-6)</f>
        <v>-6</v>
      </c>
      <c r="AH429" s="82">
        <f>IF(Consultas!AF429='Parâmetros'!$E$1,1,-5)</f>
        <v>-5</v>
      </c>
      <c r="AI429" s="82">
        <f>IF(Consultas!AJ429&gt;700,8,IF(Consultas!AJ429&gt;500,4,IF(Consultas!AJ429&gt;200,-4,IF(Consultas!AJ429&gt;1,-15,-20))))</f>
        <v>-20</v>
      </c>
      <c r="AJ429" s="82">
        <f>IF(Consultas!AD429='Parâmetros'!$E$10,0,IF(Consultas!AD429&gt;'Parâmetros'!$A$30,12,IF(Consultas!AD429&gt;'Parâmetros'!$A$31,6,IF(Consultas!AD429&gt;'Parâmetros'!$A$32,0,IF(Consultas!AD429&gt;'Parâmetros'!$A$33,0,IF(Consultas!AD429&gt;'Parâmetros'!$A$34,-3,IF(Consultas!AD429&gt;'Parâmetros'!$A$35,-7,-1)))))))</f>
        <v>-1</v>
      </c>
      <c r="AK429" s="82">
        <f>IF(Consultas!AO429='Parâmetros'!$D$1,3,-3)</f>
        <v>-3</v>
      </c>
      <c r="AL429" s="82">
        <f>IF(Consultas!AP429='Parâmetros'!$D$1,5,-3)</f>
        <v>-3</v>
      </c>
      <c r="AM429" s="82">
        <f>IF(Consultas!AL429="N",-6,0)</f>
        <v>0</v>
      </c>
      <c r="AN429" s="82">
        <f>IF(Consultas!AM429="N",-10,0)</f>
        <v>0</v>
      </c>
      <c r="AO429" s="82">
        <f>IF(Consultas!AN429="S",4,-2)</f>
        <v>-2</v>
      </c>
      <c r="AP429" s="39"/>
      <c r="AQ429" s="165" t="str">
        <f>IF(Consultas!F429&gt;1,(SUM(F429:AO429)),"N/A")</f>
        <v>N/A</v>
      </c>
      <c r="AR429" s="78">
        <f>IF((Consultas!AD429&gt;'Parâmetros'!$A$31),"X",AJ429+Y429+V429+AC429)</f>
        <v>-9</v>
      </c>
      <c r="AS429" s="78">
        <f>IF((Consultas!AD429&gt;'Parâmetros'!$A$31),"X",(H429+I429+J429+Q429+T429+Y429+Z429+AJ429+AN429))</f>
        <v>-23</v>
      </c>
      <c r="AT429" s="78" t="str">
        <f>IF((Consultas!AD429&lt;'Parâmetros'!$A$31),"X",(AD429+AC429+AB429))</f>
        <v>X</v>
      </c>
      <c r="AU429" s="78">
        <f t="shared" si="1"/>
        <v>-23</v>
      </c>
      <c r="AV429" s="82" t="str">
        <f>IF(AQ429="N/A","N/A",IF(AQ429&gt;5,'Parâmetros'!$A$15,(IF(AU429=AR429,'Parâmetros'!$A$17,IF(AU429=AS429,'Parâmetros'!$A$16,'Parâmetros'!$A$14)))))</f>
        <v>N/A</v>
      </c>
      <c r="AW429" s="86" t="str">
        <f>IF(AQ429="N/A","N/A",IF(AV429='Parâmetros'!$A$15,'Parâmetros'!$C$15,(IF(AV429='Parâmetros'!$A$17,'Parâmetros'!$C$17,IF(AV429='Parâmetros'!$A$16,'Parâmetros'!$C$16,IF(AV429='Parâmetros'!$A$14,'Parâmetros'!$C$12))))))</f>
        <v>N/A</v>
      </c>
      <c r="AX429" s="82" t="b">
        <f>IF(Consultas!F429&gt;1,(IF(Consultas!F429&gt;5000,"SOLICITAR PED COMPRA","N/A")))</f>
        <v>0</v>
      </c>
      <c r="AY429" s="167" t="str">
        <f>IF(AND(Consultas!M429&lt;&gt;"S", Consultas!H429="S"), "CHECAGEM REVERSA", "N/A")</f>
        <v>N/A</v>
      </c>
      <c r="AZ429" s="167" t="str">
        <f>IF(Consultas!U429="N","PRECISA CORRIGIR END DIVERGENTE","N/A")</f>
        <v>N/A</v>
      </c>
    </row>
    <row r="430" ht="12.0" customHeight="1">
      <c r="A430" s="39" t="s">
        <v>90</v>
      </c>
      <c r="B430" s="82" t="str">
        <f>Consultas!B430</f>
        <v/>
      </c>
      <c r="C430" s="82" t="str">
        <f>Consultas!D430</f>
        <v/>
      </c>
      <c r="D430" s="96" t="str">
        <f>Consultas!E430</f>
        <v/>
      </c>
      <c r="E430" s="104" t="str">
        <f>IF(Consultas!AB430&gt;0,YEAR('Parâmetros'!$B$1)-YEAR(Consultas!AB430),"NA")</f>
        <v>NA</v>
      </c>
      <c r="F430" s="82">
        <f>IF(Consultas!F430&gt;'Parâmetros'!$B$2,-8,0)</f>
        <v>0</v>
      </c>
      <c r="G430" s="82">
        <f>IF(Consultas!H430='Parâmetros'!$E$1,100,0)</f>
        <v>0</v>
      </c>
      <c r="H430" s="82">
        <f>IF(Consultas!I430='Parâmetros'!$E$1,-4,12)</f>
        <v>12</v>
      </c>
      <c r="I430" s="82">
        <f>IF(Consultas!J430='Parâmetros'!$E$1,1,-13)</f>
        <v>-13</v>
      </c>
      <c r="J430" s="82">
        <f>IF(Consultas!K430='Parâmetros'!$E$1,2,-5)</f>
        <v>-5</v>
      </c>
      <c r="K430" s="82" t="str">
        <f>IF(Consultas!L430='Parâmetros'!$D$1,"SOLIC CONTRATO DE ENTREGA","N/A")</f>
        <v>N/A</v>
      </c>
      <c r="L430" s="82">
        <f>IF(Consultas!R430='Parâmetros'!$E$1,1,-3)</f>
        <v>-3</v>
      </c>
      <c r="M430" s="82" t="b">
        <f>IF(Consultas!S430&gt;1,(IF(Consultas!S430='Parâmetros'!$E$1,-3,9)))</f>
        <v>0</v>
      </c>
      <c r="N430" s="82">
        <f>IF(Consultas!T430="S",23,0)</f>
        <v>0</v>
      </c>
      <c r="O430" s="82">
        <f>IF(Consultas!U430='Parâmetros'!$E$1,-3,3)</f>
        <v>3</v>
      </c>
      <c r="P430" s="82">
        <f>IF(Consultas!V430='Parâmetros'!$E$1,-100,2)</f>
        <v>2</v>
      </c>
      <c r="Q430" s="82">
        <f>IF(Consultas!M430='Parâmetros'!$D$1,2,-9)</f>
        <v>-9</v>
      </c>
      <c r="R430" s="82">
        <f>IF(Consultas!N430="RJ",-12,0)</f>
        <v>0</v>
      </c>
      <c r="S430" s="82">
        <f>IF(Consultas!O430="-",-3,IF(Consultas!O430=0,-6,IF(Consultas!O430=5,0,IF(Consultas!O430=10,6))))</f>
        <v>-6</v>
      </c>
      <c r="T430" s="82">
        <f>IF(Consultas!M430="S",0,(IF(Consultas!P430="S",6,0)))</f>
        <v>0</v>
      </c>
      <c r="U430" s="82">
        <f>IF(Consultas!Q430&gt;97,9,IF(Consultas!Q430&gt;75,0,-7))</f>
        <v>-7</v>
      </c>
      <c r="V430" s="82">
        <f>IF(Consultas!W430='Parâmetros'!$E$1,1,-5)</f>
        <v>-5</v>
      </c>
      <c r="W430" s="82">
        <f>IF(Consultas!X430="S",3,-3)</f>
        <v>-3</v>
      </c>
      <c r="X430" s="82">
        <f>IF(Consultas!Y430="S",0,-7)</f>
        <v>-7</v>
      </c>
      <c r="Y430" s="82">
        <f>IF(Consultas!Z430='Parâmetros'!$E$1,2,-8)</f>
        <v>-8</v>
      </c>
      <c r="Z430" s="82">
        <f>IF(Consultas!AA430='Parâmetros'!$E$1,-15,1)</f>
        <v>1</v>
      </c>
      <c r="AA430" s="147" t="s">
        <v>140</v>
      </c>
      <c r="AB430" s="82" t="str">
        <f>IF(E430="NA","NA",IF(E430&gt;'Parâmetros'!$A$9,8,IF(E430&gt;'Parâmetros'!$A$8,4,IF(E430&gt;'Parâmetros'!$A$7,0,-6))))</f>
        <v>NA</v>
      </c>
      <c r="AC430" s="82">
        <f>IF(Consultas!AC430='Parâmetros'!$E$1,0,5)</f>
        <v>5</v>
      </c>
      <c r="AD430" s="82">
        <f>IF(Consultas!AH430='Parâmetros'!$D$1,-10,5)</f>
        <v>5</v>
      </c>
      <c r="AE430" s="82">
        <f>IF(Consultas!AI430&gt;(Consultas!F430*2),-10,0)</f>
        <v>0</v>
      </c>
      <c r="AF430" s="82" t="b">
        <f>IF(Consultas!AD430&gt;1,(IF(Consultas!AI430&gt;(Consultas!AD430),-20,4)))</f>
        <v>0</v>
      </c>
      <c r="AG430" s="82">
        <f>IF(Consultas!AG430='Parâmetros'!$E$1,0,-6)</f>
        <v>-6</v>
      </c>
      <c r="AH430" s="82">
        <f>IF(Consultas!AF430='Parâmetros'!$E$1,1,-5)</f>
        <v>-5</v>
      </c>
      <c r="AI430" s="82">
        <f>IF(Consultas!AJ430&gt;700,8,IF(Consultas!AJ430&gt;500,4,IF(Consultas!AJ430&gt;200,-4,IF(Consultas!AJ430&gt;1,-15,-20))))</f>
        <v>-20</v>
      </c>
      <c r="AJ430" s="82">
        <f>IF(Consultas!AD430='Parâmetros'!$E$10,0,IF(Consultas!AD430&gt;'Parâmetros'!$A$30,12,IF(Consultas!AD430&gt;'Parâmetros'!$A$31,6,IF(Consultas!AD430&gt;'Parâmetros'!$A$32,0,IF(Consultas!AD430&gt;'Parâmetros'!$A$33,0,IF(Consultas!AD430&gt;'Parâmetros'!$A$34,-3,IF(Consultas!AD430&gt;'Parâmetros'!$A$35,-7,-1)))))))</f>
        <v>-1</v>
      </c>
      <c r="AK430" s="82">
        <f>IF(Consultas!AO430='Parâmetros'!$D$1,3,-3)</f>
        <v>-3</v>
      </c>
      <c r="AL430" s="82">
        <f>IF(Consultas!AP430='Parâmetros'!$D$1,5,-3)</f>
        <v>-3</v>
      </c>
      <c r="AM430" s="82">
        <f>IF(Consultas!AL430="N",-6,0)</f>
        <v>0</v>
      </c>
      <c r="AN430" s="82">
        <f>IF(Consultas!AM430="N",-10,0)</f>
        <v>0</v>
      </c>
      <c r="AO430" s="82">
        <f>IF(Consultas!AN430="S",4,-2)</f>
        <v>-2</v>
      </c>
      <c r="AP430" s="39"/>
      <c r="AQ430" s="165" t="str">
        <f>IF(Consultas!F430&gt;1,(SUM(F430:AO430)),"N/A")</f>
        <v>N/A</v>
      </c>
      <c r="AR430" s="78">
        <f>IF((Consultas!AD430&gt;'Parâmetros'!$A$31),"X",AJ430+Y430+V430+AC430)</f>
        <v>-9</v>
      </c>
      <c r="AS430" s="78">
        <f>IF((Consultas!AD430&gt;'Parâmetros'!$A$31),"X",(H430+I430+J430+Q430+T430+Y430+Z430+AJ430+AN430))</f>
        <v>-23</v>
      </c>
      <c r="AT430" s="78" t="str">
        <f>IF((Consultas!AD430&lt;'Parâmetros'!$A$31),"X",(AD430+AC430+AB430))</f>
        <v>X</v>
      </c>
      <c r="AU430" s="78">
        <f t="shared" si="1"/>
        <v>-23</v>
      </c>
      <c r="AV430" s="82" t="str">
        <f>IF(AQ430="N/A","N/A",IF(AQ430&gt;5,'Parâmetros'!$A$15,(IF(AU430=AR430,'Parâmetros'!$A$17,IF(AU430=AS430,'Parâmetros'!$A$16,'Parâmetros'!$A$14)))))</f>
        <v>N/A</v>
      </c>
      <c r="AW430" s="86" t="str">
        <f>IF(AQ430="N/A","N/A",IF(AV430='Parâmetros'!$A$15,'Parâmetros'!$C$15,(IF(AV430='Parâmetros'!$A$17,'Parâmetros'!$C$17,IF(AV430='Parâmetros'!$A$16,'Parâmetros'!$C$16,IF(AV430='Parâmetros'!$A$14,'Parâmetros'!$C$12))))))</f>
        <v>N/A</v>
      </c>
      <c r="AX430" s="82" t="b">
        <f>IF(Consultas!F430&gt;1,(IF(Consultas!F430&gt;5000,"SOLICITAR PED COMPRA","N/A")))</f>
        <v>0</v>
      </c>
      <c r="AY430" s="167" t="str">
        <f>IF(AND(Consultas!M430&lt;&gt;"S", Consultas!H430="S"), "CHECAGEM REVERSA", "N/A")</f>
        <v>N/A</v>
      </c>
      <c r="AZ430" s="167" t="str">
        <f>IF(Consultas!U430="N","PRECISA CORRIGIR END DIVERGENTE","N/A")</f>
        <v>N/A</v>
      </c>
    </row>
    <row r="431" ht="12.0" customHeight="1">
      <c r="A431" s="39" t="s">
        <v>90</v>
      </c>
      <c r="B431" s="82" t="str">
        <f>Consultas!B431</f>
        <v/>
      </c>
      <c r="C431" s="82" t="str">
        <f>Consultas!D431</f>
        <v/>
      </c>
      <c r="D431" s="96" t="str">
        <f>Consultas!E431</f>
        <v/>
      </c>
      <c r="E431" s="104" t="str">
        <f>IF(Consultas!AB431&gt;0,YEAR('Parâmetros'!$B$1)-YEAR(Consultas!AB431),"NA")</f>
        <v>NA</v>
      </c>
      <c r="F431" s="82">
        <f>IF(Consultas!F431&gt;'Parâmetros'!$B$2,-8,0)</f>
        <v>0</v>
      </c>
      <c r="G431" s="82">
        <f>IF(Consultas!H431='Parâmetros'!$E$1,100,0)</f>
        <v>0</v>
      </c>
      <c r="H431" s="82">
        <f>IF(Consultas!I431='Parâmetros'!$E$1,-4,12)</f>
        <v>12</v>
      </c>
      <c r="I431" s="82">
        <f>IF(Consultas!J431='Parâmetros'!$E$1,1,-13)</f>
        <v>-13</v>
      </c>
      <c r="J431" s="82">
        <f>IF(Consultas!K431='Parâmetros'!$E$1,2,-5)</f>
        <v>-5</v>
      </c>
      <c r="K431" s="82" t="str">
        <f>IF(Consultas!L431='Parâmetros'!$D$1,"SOLIC CONTRATO DE ENTREGA","N/A")</f>
        <v>N/A</v>
      </c>
      <c r="L431" s="82">
        <f>IF(Consultas!R431='Parâmetros'!$E$1,1,-3)</f>
        <v>-3</v>
      </c>
      <c r="M431" s="82" t="b">
        <f>IF(Consultas!S431&gt;1,(IF(Consultas!S431='Parâmetros'!$E$1,-3,9)))</f>
        <v>0</v>
      </c>
      <c r="N431" s="82">
        <f>IF(Consultas!T431="S",23,0)</f>
        <v>0</v>
      </c>
      <c r="O431" s="82">
        <f>IF(Consultas!U431='Parâmetros'!$E$1,-3,3)</f>
        <v>3</v>
      </c>
      <c r="P431" s="82">
        <f>IF(Consultas!V431='Parâmetros'!$E$1,-100,2)</f>
        <v>2</v>
      </c>
      <c r="Q431" s="82">
        <f>IF(Consultas!M431='Parâmetros'!$D$1,2,-9)</f>
        <v>-9</v>
      </c>
      <c r="R431" s="82">
        <f>IF(Consultas!N431="RJ",-12,0)</f>
        <v>0</v>
      </c>
      <c r="S431" s="82">
        <f>IF(Consultas!O431="-",-3,IF(Consultas!O431=0,-6,IF(Consultas!O431=5,0,IF(Consultas!O431=10,6))))</f>
        <v>-6</v>
      </c>
      <c r="T431" s="82">
        <f>IF(Consultas!M431="S",0,(IF(Consultas!P431="S",6,0)))</f>
        <v>0</v>
      </c>
      <c r="U431" s="82">
        <f>IF(Consultas!Q431&gt;97,9,IF(Consultas!Q431&gt;75,0,-7))</f>
        <v>-7</v>
      </c>
      <c r="V431" s="82">
        <f>IF(Consultas!W431='Parâmetros'!$E$1,1,-5)</f>
        <v>-5</v>
      </c>
      <c r="W431" s="82">
        <f>IF(Consultas!X431="S",3,-3)</f>
        <v>-3</v>
      </c>
      <c r="X431" s="82">
        <f>IF(Consultas!Y431="S",0,-7)</f>
        <v>-7</v>
      </c>
      <c r="Y431" s="82">
        <f>IF(Consultas!Z431='Parâmetros'!$E$1,2,-8)</f>
        <v>-8</v>
      </c>
      <c r="Z431" s="82">
        <f>IF(Consultas!AA431='Parâmetros'!$E$1,-15,1)</f>
        <v>1</v>
      </c>
      <c r="AA431" s="147" t="s">
        <v>140</v>
      </c>
      <c r="AB431" s="82" t="str">
        <f>IF(E431="NA","NA",IF(E431&gt;'Parâmetros'!$A$9,8,IF(E431&gt;'Parâmetros'!$A$8,4,IF(E431&gt;'Parâmetros'!$A$7,0,-6))))</f>
        <v>NA</v>
      </c>
      <c r="AC431" s="82">
        <f>IF(Consultas!AC431='Parâmetros'!$E$1,0,5)</f>
        <v>5</v>
      </c>
      <c r="AD431" s="82">
        <f>IF(Consultas!AH431='Parâmetros'!$D$1,-10,5)</f>
        <v>5</v>
      </c>
      <c r="AE431" s="82">
        <f>IF(Consultas!AI431&gt;(Consultas!F431*2),-10,0)</f>
        <v>0</v>
      </c>
      <c r="AF431" s="82" t="b">
        <f>IF(Consultas!AD431&gt;1,(IF(Consultas!AI431&gt;(Consultas!AD431),-20,4)))</f>
        <v>0</v>
      </c>
      <c r="AG431" s="82">
        <f>IF(Consultas!AG431='Parâmetros'!$E$1,0,-6)</f>
        <v>-6</v>
      </c>
      <c r="AH431" s="82">
        <f>IF(Consultas!AF431='Parâmetros'!$E$1,1,-5)</f>
        <v>-5</v>
      </c>
      <c r="AI431" s="82">
        <f>IF(Consultas!AJ431&gt;700,8,IF(Consultas!AJ431&gt;500,4,IF(Consultas!AJ431&gt;200,-4,IF(Consultas!AJ431&gt;1,-15,-20))))</f>
        <v>-20</v>
      </c>
      <c r="AJ431" s="82">
        <f>IF(Consultas!AD431='Parâmetros'!$E$10,0,IF(Consultas!AD431&gt;'Parâmetros'!$A$30,12,IF(Consultas!AD431&gt;'Parâmetros'!$A$31,6,IF(Consultas!AD431&gt;'Parâmetros'!$A$32,0,IF(Consultas!AD431&gt;'Parâmetros'!$A$33,0,IF(Consultas!AD431&gt;'Parâmetros'!$A$34,-3,IF(Consultas!AD431&gt;'Parâmetros'!$A$35,-7,-1)))))))</f>
        <v>-1</v>
      </c>
      <c r="AK431" s="82">
        <f>IF(Consultas!AO431='Parâmetros'!$D$1,3,-3)</f>
        <v>-3</v>
      </c>
      <c r="AL431" s="82">
        <f>IF(Consultas!AP431='Parâmetros'!$D$1,5,-3)</f>
        <v>-3</v>
      </c>
      <c r="AM431" s="82">
        <f>IF(Consultas!AL431="N",-6,0)</f>
        <v>0</v>
      </c>
      <c r="AN431" s="82">
        <f>IF(Consultas!AM431="N",-10,0)</f>
        <v>0</v>
      </c>
      <c r="AO431" s="82">
        <f>IF(Consultas!AN431="S",4,-2)</f>
        <v>-2</v>
      </c>
      <c r="AP431" s="39"/>
      <c r="AQ431" s="165" t="str">
        <f>IF(Consultas!F431&gt;1,(SUM(F431:AO431)),"N/A")</f>
        <v>N/A</v>
      </c>
      <c r="AR431" s="78">
        <f>IF((Consultas!AD431&gt;'Parâmetros'!$A$31),"X",AJ431+Y431+V431+AC431)</f>
        <v>-9</v>
      </c>
      <c r="AS431" s="78">
        <f>IF((Consultas!AD431&gt;'Parâmetros'!$A$31),"X",(H431+I431+J431+Q431+T431+Y431+Z431+AJ431+AN431))</f>
        <v>-23</v>
      </c>
      <c r="AT431" s="78" t="str">
        <f>IF((Consultas!AD431&lt;'Parâmetros'!$A$31),"X",(AD431+AC431+AB431))</f>
        <v>X</v>
      </c>
      <c r="AU431" s="78">
        <f t="shared" si="1"/>
        <v>-23</v>
      </c>
      <c r="AV431" s="82" t="str">
        <f>IF(AQ431="N/A","N/A",IF(AQ431&gt;5,'Parâmetros'!$A$15,(IF(AU431=AR431,'Parâmetros'!$A$17,IF(AU431=AS431,'Parâmetros'!$A$16,'Parâmetros'!$A$14)))))</f>
        <v>N/A</v>
      </c>
      <c r="AW431" s="86" t="str">
        <f>IF(AQ431="N/A","N/A",IF(AV431='Parâmetros'!$A$15,'Parâmetros'!$C$15,(IF(AV431='Parâmetros'!$A$17,'Parâmetros'!$C$17,IF(AV431='Parâmetros'!$A$16,'Parâmetros'!$C$16,IF(AV431='Parâmetros'!$A$14,'Parâmetros'!$C$12))))))</f>
        <v>N/A</v>
      </c>
      <c r="AX431" s="82" t="b">
        <f>IF(Consultas!F431&gt;1,(IF(Consultas!F431&gt;5000,"SOLICITAR PED COMPRA","N/A")))</f>
        <v>0</v>
      </c>
      <c r="AY431" s="167" t="str">
        <f>IF(AND(Consultas!M431&lt;&gt;"S", Consultas!H431="S"), "CHECAGEM REVERSA", "N/A")</f>
        <v>N/A</v>
      </c>
      <c r="AZ431" s="167" t="str">
        <f>IF(Consultas!U431="N","PRECISA CORRIGIR END DIVERGENTE","N/A")</f>
        <v>N/A</v>
      </c>
    </row>
    <row r="432" ht="12.0" customHeight="1">
      <c r="A432" s="39" t="s">
        <v>90</v>
      </c>
      <c r="B432" s="82" t="str">
        <f>Consultas!B432</f>
        <v/>
      </c>
      <c r="C432" s="82" t="str">
        <f>Consultas!D432</f>
        <v/>
      </c>
      <c r="D432" s="96" t="str">
        <f>Consultas!E432</f>
        <v/>
      </c>
      <c r="E432" s="104" t="str">
        <f>IF(Consultas!AB432&gt;0,YEAR('Parâmetros'!$B$1)-YEAR(Consultas!AB432),"NA")</f>
        <v>NA</v>
      </c>
      <c r="F432" s="82">
        <f>IF(Consultas!F432&gt;'Parâmetros'!$B$2,-8,0)</f>
        <v>0</v>
      </c>
      <c r="G432" s="82">
        <f>IF(Consultas!H432='Parâmetros'!$E$1,100,0)</f>
        <v>0</v>
      </c>
      <c r="H432" s="82">
        <f>IF(Consultas!I432='Parâmetros'!$E$1,-4,12)</f>
        <v>12</v>
      </c>
      <c r="I432" s="82">
        <f>IF(Consultas!J432='Parâmetros'!$E$1,1,-13)</f>
        <v>-13</v>
      </c>
      <c r="J432" s="82">
        <f>IF(Consultas!K432='Parâmetros'!$E$1,2,-5)</f>
        <v>-5</v>
      </c>
      <c r="K432" s="82" t="str">
        <f>IF(Consultas!L432='Parâmetros'!$D$1,"SOLIC CONTRATO DE ENTREGA","N/A")</f>
        <v>N/A</v>
      </c>
      <c r="L432" s="82">
        <f>IF(Consultas!R432='Parâmetros'!$E$1,1,-3)</f>
        <v>-3</v>
      </c>
      <c r="M432" s="82" t="b">
        <f>IF(Consultas!S432&gt;1,(IF(Consultas!S432='Parâmetros'!$E$1,-3,9)))</f>
        <v>0</v>
      </c>
      <c r="N432" s="82">
        <f>IF(Consultas!T432="S",23,0)</f>
        <v>0</v>
      </c>
      <c r="O432" s="82">
        <f>IF(Consultas!U432='Parâmetros'!$E$1,-3,3)</f>
        <v>3</v>
      </c>
      <c r="P432" s="82">
        <f>IF(Consultas!V432='Parâmetros'!$E$1,-100,2)</f>
        <v>2</v>
      </c>
      <c r="Q432" s="82">
        <f>IF(Consultas!M432='Parâmetros'!$D$1,2,-9)</f>
        <v>-9</v>
      </c>
      <c r="R432" s="82">
        <f>IF(Consultas!N432="RJ",-12,0)</f>
        <v>0</v>
      </c>
      <c r="S432" s="82">
        <f>IF(Consultas!O432="-",-3,IF(Consultas!O432=0,-6,IF(Consultas!O432=5,0,IF(Consultas!O432=10,6))))</f>
        <v>-6</v>
      </c>
      <c r="T432" s="82">
        <f>IF(Consultas!M432="S",0,(IF(Consultas!P432="S",6,0)))</f>
        <v>0</v>
      </c>
      <c r="U432" s="82">
        <f>IF(Consultas!Q432&gt;97,9,IF(Consultas!Q432&gt;75,0,-7))</f>
        <v>-7</v>
      </c>
      <c r="V432" s="82">
        <f>IF(Consultas!W432='Parâmetros'!$E$1,1,-5)</f>
        <v>-5</v>
      </c>
      <c r="W432" s="82">
        <f>IF(Consultas!X432="S",3,-3)</f>
        <v>-3</v>
      </c>
      <c r="X432" s="82">
        <f>IF(Consultas!Y432="S",0,-7)</f>
        <v>-7</v>
      </c>
      <c r="Y432" s="82">
        <f>IF(Consultas!Z432='Parâmetros'!$E$1,2,-8)</f>
        <v>-8</v>
      </c>
      <c r="Z432" s="82">
        <f>IF(Consultas!AA432='Parâmetros'!$E$1,-15,1)</f>
        <v>1</v>
      </c>
      <c r="AA432" s="147" t="s">
        <v>140</v>
      </c>
      <c r="AB432" s="82" t="str">
        <f>IF(E432="NA","NA",IF(E432&gt;'Parâmetros'!$A$9,8,IF(E432&gt;'Parâmetros'!$A$8,4,IF(E432&gt;'Parâmetros'!$A$7,0,-6))))</f>
        <v>NA</v>
      </c>
      <c r="AC432" s="82">
        <f>IF(Consultas!AC432='Parâmetros'!$E$1,0,5)</f>
        <v>5</v>
      </c>
      <c r="AD432" s="82">
        <f>IF(Consultas!AH432='Parâmetros'!$D$1,-10,5)</f>
        <v>5</v>
      </c>
      <c r="AE432" s="82">
        <f>IF(Consultas!AI432&gt;(Consultas!F432*2),-10,0)</f>
        <v>0</v>
      </c>
      <c r="AF432" s="82" t="b">
        <f>IF(Consultas!AD432&gt;1,(IF(Consultas!AI432&gt;(Consultas!AD432),-20,4)))</f>
        <v>0</v>
      </c>
      <c r="AG432" s="82">
        <f>IF(Consultas!AG432='Parâmetros'!$E$1,0,-6)</f>
        <v>-6</v>
      </c>
      <c r="AH432" s="82">
        <f>IF(Consultas!AF432='Parâmetros'!$E$1,1,-5)</f>
        <v>-5</v>
      </c>
      <c r="AI432" s="82">
        <f>IF(Consultas!AJ432&gt;700,8,IF(Consultas!AJ432&gt;500,4,IF(Consultas!AJ432&gt;200,-4,IF(Consultas!AJ432&gt;1,-15,-20))))</f>
        <v>-20</v>
      </c>
      <c r="AJ432" s="82">
        <f>IF(Consultas!AD432='Parâmetros'!$E$10,0,IF(Consultas!AD432&gt;'Parâmetros'!$A$30,12,IF(Consultas!AD432&gt;'Parâmetros'!$A$31,6,IF(Consultas!AD432&gt;'Parâmetros'!$A$32,0,IF(Consultas!AD432&gt;'Parâmetros'!$A$33,0,IF(Consultas!AD432&gt;'Parâmetros'!$A$34,-3,IF(Consultas!AD432&gt;'Parâmetros'!$A$35,-7,-1)))))))</f>
        <v>-1</v>
      </c>
      <c r="AK432" s="82">
        <f>IF(Consultas!AO432='Parâmetros'!$D$1,3,-3)</f>
        <v>-3</v>
      </c>
      <c r="AL432" s="82">
        <f>IF(Consultas!AP432='Parâmetros'!$D$1,5,-3)</f>
        <v>-3</v>
      </c>
      <c r="AM432" s="82">
        <f>IF(Consultas!AL432="N",-6,0)</f>
        <v>0</v>
      </c>
      <c r="AN432" s="82">
        <f>IF(Consultas!AM432="N",-10,0)</f>
        <v>0</v>
      </c>
      <c r="AO432" s="82">
        <f>IF(Consultas!AN432="S",4,-2)</f>
        <v>-2</v>
      </c>
      <c r="AP432" s="39"/>
      <c r="AQ432" s="165" t="str">
        <f>IF(Consultas!F432&gt;1,(SUM(F432:AO432)),"N/A")</f>
        <v>N/A</v>
      </c>
      <c r="AR432" s="78">
        <f>IF((Consultas!AD432&gt;'Parâmetros'!$A$31),"X",AJ432+Y432+V432+AC432)</f>
        <v>-9</v>
      </c>
      <c r="AS432" s="78">
        <f>IF((Consultas!AD432&gt;'Parâmetros'!$A$31),"X",(H432+I432+J432+Q432+T432+Y432+Z432+AJ432+AN432))</f>
        <v>-23</v>
      </c>
      <c r="AT432" s="78" t="str">
        <f>IF((Consultas!AD432&lt;'Parâmetros'!$A$31),"X",(AD432+AC432+AB432))</f>
        <v>X</v>
      </c>
      <c r="AU432" s="78">
        <f t="shared" si="1"/>
        <v>-23</v>
      </c>
      <c r="AV432" s="82" t="str">
        <f>IF(AQ432="N/A","N/A",IF(AQ432&gt;5,'Parâmetros'!$A$15,(IF(AU432=AR432,'Parâmetros'!$A$17,IF(AU432=AS432,'Parâmetros'!$A$16,'Parâmetros'!$A$14)))))</f>
        <v>N/A</v>
      </c>
      <c r="AW432" s="86" t="str">
        <f>IF(AQ432="N/A","N/A",IF(AV432='Parâmetros'!$A$15,'Parâmetros'!$C$15,(IF(AV432='Parâmetros'!$A$17,'Parâmetros'!$C$17,IF(AV432='Parâmetros'!$A$16,'Parâmetros'!$C$16,IF(AV432='Parâmetros'!$A$14,'Parâmetros'!$C$12))))))</f>
        <v>N/A</v>
      </c>
      <c r="AX432" s="82" t="b">
        <f>IF(Consultas!F432&gt;1,(IF(Consultas!F432&gt;5000,"SOLICITAR PED COMPRA","N/A")))</f>
        <v>0</v>
      </c>
      <c r="AY432" s="167" t="str">
        <f>IF(AND(Consultas!M432&lt;&gt;"S", Consultas!H432="S"), "CHECAGEM REVERSA", "N/A")</f>
        <v>N/A</v>
      </c>
      <c r="AZ432" s="167" t="str">
        <f>IF(Consultas!U432="N","PRECISA CORRIGIR END DIVERGENTE","N/A")</f>
        <v>N/A</v>
      </c>
    </row>
    <row r="433" ht="12.0" customHeight="1">
      <c r="A433" s="39" t="s">
        <v>90</v>
      </c>
      <c r="B433" s="82" t="str">
        <f>Consultas!B433</f>
        <v/>
      </c>
      <c r="C433" s="82" t="str">
        <f>Consultas!D433</f>
        <v/>
      </c>
      <c r="D433" s="96" t="str">
        <f>Consultas!E433</f>
        <v/>
      </c>
      <c r="E433" s="104" t="str">
        <f>IF(Consultas!AB433&gt;0,YEAR('Parâmetros'!$B$1)-YEAR(Consultas!AB433),"NA")</f>
        <v>NA</v>
      </c>
      <c r="F433" s="82">
        <f>IF(Consultas!F433&gt;'Parâmetros'!$B$2,-8,0)</f>
        <v>0</v>
      </c>
      <c r="G433" s="82">
        <f>IF(Consultas!H433='Parâmetros'!$E$1,100,0)</f>
        <v>0</v>
      </c>
      <c r="H433" s="82">
        <f>IF(Consultas!I433='Parâmetros'!$E$1,-4,12)</f>
        <v>12</v>
      </c>
      <c r="I433" s="82">
        <f>IF(Consultas!J433='Parâmetros'!$E$1,1,-13)</f>
        <v>-13</v>
      </c>
      <c r="J433" s="82">
        <f>IF(Consultas!K433='Parâmetros'!$E$1,2,-5)</f>
        <v>-5</v>
      </c>
      <c r="K433" s="82" t="str">
        <f>IF(Consultas!L433='Parâmetros'!$D$1,"SOLIC CONTRATO DE ENTREGA","N/A")</f>
        <v>N/A</v>
      </c>
      <c r="L433" s="82">
        <f>IF(Consultas!R433='Parâmetros'!$E$1,1,-3)</f>
        <v>-3</v>
      </c>
      <c r="M433" s="82" t="b">
        <f>IF(Consultas!S433&gt;1,(IF(Consultas!S433='Parâmetros'!$E$1,-3,9)))</f>
        <v>0</v>
      </c>
      <c r="N433" s="82">
        <f>IF(Consultas!T433="S",23,0)</f>
        <v>0</v>
      </c>
      <c r="O433" s="82">
        <f>IF(Consultas!U433='Parâmetros'!$E$1,-3,3)</f>
        <v>3</v>
      </c>
      <c r="P433" s="82">
        <f>IF(Consultas!V433='Parâmetros'!$E$1,-100,2)</f>
        <v>2</v>
      </c>
      <c r="Q433" s="82">
        <f>IF(Consultas!M433='Parâmetros'!$D$1,2,-9)</f>
        <v>-9</v>
      </c>
      <c r="R433" s="82">
        <f>IF(Consultas!N433="RJ",-12,0)</f>
        <v>0</v>
      </c>
      <c r="S433" s="82">
        <f>IF(Consultas!O433="-",-3,IF(Consultas!O433=0,-6,IF(Consultas!O433=5,0,IF(Consultas!O433=10,6))))</f>
        <v>-6</v>
      </c>
      <c r="T433" s="82">
        <f>IF(Consultas!M433="S",0,(IF(Consultas!P433="S",6,0)))</f>
        <v>0</v>
      </c>
      <c r="U433" s="82">
        <f>IF(Consultas!Q433&gt;97,9,IF(Consultas!Q433&gt;75,0,-7))</f>
        <v>-7</v>
      </c>
      <c r="V433" s="82">
        <f>IF(Consultas!W433='Parâmetros'!$E$1,1,-5)</f>
        <v>-5</v>
      </c>
      <c r="W433" s="82">
        <f>IF(Consultas!X433="S",3,-3)</f>
        <v>-3</v>
      </c>
      <c r="X433" s="82">
        <f>IF(Consultas!Y433="S",0,-7)</f>
        <v>-7</v>
      </c>
      <c r="Y433" s="82">
        <f>IF(Consultas!Z433='Parâmetros'!$E$1,2,-8)</f>
        <v>-8</v>
      </c>
      <c r="Z433" s="82">
        <f>IF(Consultas!AA433='Parâmetros'!$E$1,-15,1)</f>
        <v>1</v>
      </c>
      <c r="AA433" s="147" t="s">
        <v>140</v>
      </c>
      <c r="AB433" s="82" t="str">
        <f>IF(E433="NA","NA",IF(E433&gt;'Parâmetros'!$A$9,8,IF(E433&gt;'Parâmetros'!$A$8,4,IF(E433&gt;'Parâmetros'!$A$7,0,-6))))</f>
        <v>NA</v>
      </c>
      <c r="AC433" s="82">
        <f>IF(Consultas!AC433='Parâmetros'!$E$1,0,5)</f>
        <v>5</v>
      </c>
      <c r="AD433" s="82">
        <f>IF(Consultas!AH433='Parâmetros'!$D$1,-10,5)</f>
        <v>5</v>
      </c>
      <c r="AE433" s="82">
        <f>IF(Consultas!AI433&gt;(Consultas!F433*2),-10,0)</f>
        <v>0</v>
      </c>
      <c r="AF433" s="82" t="b">
        <f>IF(Consultas!AD433&gt;1,(IF(Consultas!AI433&gt;(Consultas!AD433),-20,4)))</f>
        <v>0</v>
      </c>
      <c r="AG433" s="82">
        <f>IF(Consultas!AG433='Parâmetros'!$E$1,0,-6)</f>
        <v>-6</v>
      </c>
      <c r="AH433" s="82">
        <f>IF(Consultas!AF433='Parâmetros'!$E$1,1,-5)</f>
        <v>-5</v>
      </c>
      <c r="AI433" s="82">
        <f>IF(Consultas!AJ433&gt;700,8,IF(Consultas!AJ433&gt;500,4,IF(Consultas!AJ433&gt;200,-4,IF(Consultas!AJ433&gt;1,-15,-20))))</f>
        <v>-20</v>
      </c>
      <c r="AJ433" s="82">
        <f>IF(Consultas!AD433='Parâmetros'!$E$10,0,IF(Consultas!AD433&gt;'Parâmetros'!$A$30,12,IF(Consultas!AD433&gt;'Parâmetros'!$A$31,6,IF(Consultas!AD433&gt;'Parâmetros'!$A$32,0,IF(Consultas!AD433&gt;'Parâmetros'!$A$33,0,IF(Consultas!AD433&gt;'Parâmetros'!$A$34,-3,IF(Consultas!AD433&gt;'Parâmetros'!$A$35,-7,-1)))))))</f>
        <v>-1</v>
      </c>
      <c r="AK433" s="82">
        <f>IF(Consultas!AO433='Parâmetros'!$D$1,3,-3)</f>
        <v>-3</v>
      </c>
      <c r="AL433" s="82">
        <f>IF(Consultas!AP433='Parâmetros'!$D$1,5,-3)</f>
        <v>-3</v>
      </c>
      <c r="AM433" s="82">
        <f>IF(Consultas!AL433="N",-6,0)</f>
        <v>0</v>
      </c>
      <c r="AN433" s="82">
        <f>IF(Consultas!AM433="N",-10,0)</f>
        <v>0</v>
      </c>
      <c r="AO433" s="82">
        <f>IF(Consultas!AN433="S",4,-2)</f>
        <v>-2</v>
      </c>
      <c r="AP433" s="39"/>
      <c r="AQ433" s="165" t="str">
        <f>IF(Consultas!F433&gt;1,(SUM(F433:AO433)),"N/A")</f>
        <v>N/A</v>
      </c>
      <c r="AR433" s="78">
        <f>IF((Consultas!AD433&gt;'Parâmetros'!$A$31),"X",AJ433+Y433+V433+AC433)</f>
        <v>-9</v>
      </c>
      <c r="AS433" s="78">
        <f>IF((Consultas!AD433&gt;'Parâmetros'!$A$31),"X",(H433+I433+J433+Q433+T433+Y433+Z433+AJ433+AN433))</f>
        <v>-23</v>
      </c>
      <c r="AT433" s="78" t="str">
        <f>IF((Consultas!AD433&lt;'Parâmetros'!$A$31),"X",(AD433+AC433+AB433))</f>
        <v>X</v>
      </c>
      <c r="AU433" s="78">
        <f t="shared" si="1"/>
        <v>-23</v>
      </c>
      <c r="AV433" s="82" t="str">
        <f>IF(AQ433="N/A","N/A",IF(AQ433&gt;5,'Parâmetros'!$A$15,(IF(AU433=AR433,'Parâmetros'!$A$17,IF(AU433=AS433,'Parâmetros'!$A$16,'Parâmetros'!$A$14)))))</f>
        <v>N/A</v>
      </c>
      <c r="AW433" s="86" t="str">
        <f>IF(AQ433="N/A","N/A",IF(AV433='Parâmetros'!$A$15,'Parâmetros'!$C$15,(IF(AV433='Parâmetros'!$A$17,'Parâmetros'!$C$17,IF(AV433='Parâmetros'!$A$16,'Parâmetros'!$C$16,IF(AV433='Parâmetros'!$A$14,'Parâmetros'!$C$12))))))</f>
        <v>N/A</v>
      </c>
      <c r="AX433" s="82" t="b">
        <f>IF(Consultas!F433&gt;1,(IF(Consultas!F433&gt;5000,"SOLICITAR PED COMPRA","N/A")))</f>
        <v>0</v>
      </c>
      <c r="AY433" s="167" t="str">
        <f>IF(AND(Consultas!M433&lt;&gt;"S", Consultas!H433="S"), "CHECAGEM REVERSA", "N/A")</f>
        <v>N/A</v>
      </c>
      <c r="AZ433" s="167" t="str">
        <f>IF(Consultas!U433="N","PRECISA CORRIGIR END DIVERGENTE","N/A")</f>
        <v>N/A</v>
      </c>
    </row>
    <row r="434" ht="12.0" customHeight="1">
      <c r="A434" s="39" t="s">
        <v>90</v>
      </c>
      <c r="B434" s="82" t="str">
        <f>Consultas!B434</f>
        <v/>
      </c>
      <c r="C434" s="82" t="str">
        <f>Consultas!D434</f>
        <v/>
      </c>
      <c r="D434" s="96" t="str">
        <f>Consultas!E434</f>
        <v/>
      </c>
      <c r="E434" s="104" t="str">
        <f>IF(Consultas!AB434&gt;0,YEAR('Parâmetros'!$B$1)-YEAR(Consultas!AB434),"NA")</f>
        <v>NA</v>
      </c>
      <c r="F434" s="82">
        <f>IF(Consultas!F434&gt;'Parâmetros'!$B$2,-8,0)</f>
        <v>0</v>
      </c>
      <c r="G434" s="82">
        <f>IF(Consultas!H434='Parâmetros'!$E$1,100,0)</f>
        <v>0</v>
      </c>
      <c r="H434" s="82">
        <f>IF(Consultas!I434='Parâmetros'!$E$1,-4,12)</f>
        <v>12</v>
      </c>
      <c r="I434" s="82">
        <f>IF(Consultas!J434='Parâmetros'!$E$1,1,-13)</f>
        <v>-13</v>
      </c>
      <c r="J434" s="82">
        <f>IF(Consultas!K434='Parâmetros'!$E$1,2,-5)</f>
        <v>-5</v>
      </c>
      <c r="K434" s="82" t="str">
        <f>IF(Consultas!L434='Parâmetros'!$D$1,"SOLIC CONTRATO DE ENTREGA","N/A")</f>
        <v>N/A</v>
      </c>
      <c r="L434" s="82">
        <f>IF(Consultas!R434='Parâmetros'!$E$1,1,-3)</f>
        <v>-3</v>
      </c>
      <c r="M434" s="82" t="b">
        <f>IF(Consultas!S434&gt;1,(IF(Consultas!S434='Parâmetros'!$E$1,-3,9)))</f>
        <v>0</v>
      </c>
      <c r="N434" s="82">
        <f>IF(Consultas!T434="S",23,0)</f>
        <v>0</v>
      </c>
      <c r="O434" s="82">
        <f>IF(Consultas!U434='Parâmetros'!$E$1,-3,3)</f>
        <v>3</v>
      </c>
      <c r="P434" s="82">
        <f>IF(Consultas!V434='Parâmetros'!$E$1,-100,2)</f>
        <v>2</v>
      </c>
      <c r="Q434" s="82">
        <f>IF(Consultas!M434='Parâmetros'!$D$1,2,-9)</f>
        <v>-9</v>
      </c>
      <c r="R434" s="82">
        <f>IF(Consultas!N434="RJ",-12,0)</f>
        <v>0</v>
      </c>
      <c r="S434" s="82">
        <f>IF(Consultas!O434="-",-3,IF(Consultas!O434=0,-6,IF(Consultas!O434=5,0,IF(Consultas!O434=10,6))))</f>
        <v>-6</v>
      </c>
      <c r="T434" s="82">
        <f>IF(Consultas!M434="S",0,(IF(Consultas!P434="S",6,0)))</f>
        <v>0</v>
      </c>
      <c r="U434" s="82">
        <f>IF(Consultas!Q434&gt;97,9,IF(Consultas!Q434&gt;75,0,-7))</f>
        <v>-7</v>
      </c>
      <c r="V434" s="82">
        <f>IF(Consultas!W434='Parâmetros'!$E$1,1,-5)</f>
        <v>-5</v>
      </c>
      <c r="W434" s="82">
        <f>IF(Consultas!X434="S",3,-3)</f>
        <v>-3</v>
      </c>
      <c r="X434" s="82">
        <f>IF(Consultas!Y434="S",0,-7)</f>
        <v>-7</v>
      </c>
      <c r="Y434" s="82">
        <f>IF(Consultas!Z434='Parâmetros'!$E$1,2,-8)</f>
        <v>-8</v>
      </c>
      <c r="Z434" s="82">
        <f>IF(Consultas!AA434='Parâmetros'!$E$1,-15,1)</f>
        <v>1</v>
      </c>
      <c r="AA434" s="147" t="s">
        <v>140</v>
      </c>
      <c r="AB434" s="82" t="str">
        <f>IF(E434="NA","NA",IF(E434&gt;'Parâmetros'!$A$9,8,IF(E434&gt;'Parâmetros'!$A$8,4,IF(E434&gt;'Parâmetros'!$A$7,0,-6))))</f>
        <v>NA</v>
      </c>
      <c r="AC434" s="82">
        <f>IF(Consultas!AC434='Parâmetros'!$E$1,0,5)</f>
        <v>5</v>
      </c>
      <c r="AD434" s="82">
        <f>IF(Consultas!AH434='Parâmetros'!$D$1,-10,5)</f>
        <v>5</v>
      </c>
      <c r="AE434" s="82">
        <f>IF(Consultas!AI434&gt;(Consultas!F434*2),-10,0)</f>
        <v>0</v>
      </c>
      <c r="AF434" s="82" t="b">
        <f>IF(Consultas!AD434&gt;1,(IF(Consultas!AI434&gt;(Consultas!AD434),-20,4)))</f>
        <v>0</v>
      </c>
      <c r="AG434" s="82">
        <f>IF(Consultas!AG434='Parâmetros'!$E$1,0,-6)</f>
        <v>-6</v>
      </c>
      <c r="AH434" s="82">
        <f>IF(Consultas!AF434='Parâmetros'!$E$1,1,-5)</f>
        <v>-5</v>
      </c>
      <c r="AI434" s="82">
        <f>IF(Consultas!AJ434&gt;700,8,IF(Consultas!AJ434&gt;500,4,IF(Consultas!AJ434&gt;200,-4,IF(Consultas!AJ434&gt;1,-15,-20))))</f>
        <v>-20</v>
      </c>
      <c r="AJ434" s="82">
        <f>IF(Consultas!AD434='Parâmetros'!$E$10,0,IF(Consultas!AD434&gt;'Parâmetros'!$A$30,12,IF(Consultas!AD434&gt;'Parâmetros'!$A$31,6,IF(Consultas!AD434&gt;'Parâmetros'!$A$32,0,IF(Consultas!AD434&gt;'Parâmetros'!$A$33,0,IF(Consultas!AD434&gt;'Parâmetros'!$A$34,-3,IF(Consultas!AD434&gt;'Parâmetros'!$A$35,-7,-1)))))))</f>
        <v>-1</v>
      </c>
      <c r="AK434" s="82">
        <f>IF(Consultas!AO434='Parâmetros'!$D$1,3,-3)</f>
        <v>-3</v>
      </c>
      <c r="AL434" s="82">
        <f>IF(Consultas!AP434='Parâmetros'!$D$1,5,-3)</f>
        <v>-3</v>
      </c>
      <c r="AM434" s="82">
        <f>IF(Consultas!AL434="N",-6,0)</f>
        <v>0</v>
      </c>
      <c r="AN434" s="82">
        <f>IF(Consultas!AM434="N",-10,0)</f>
        <v>0</v>
      </c>
      <c r="AO434" s="82">
        <f>IF(Consultas!AN434="S",4,-2)</f>
        <v>-2</v>
      </c>
      <c r="AP434" s="39"/>
      <c r="AQ434" s="165" t="str">
        <f>IF(Consultas!F434&gt;1,(SUM(F434:AO434)),"N/A")</f>
        <v>N/A</v>
      </c>
      <c r="AR434" s="78">
        <f>IF((Consultas!AD434&gt;'Parâmetros'!$A$31),"X",AJ434+Y434+V434+AC434)</f>
        <v>-9</v>
      </c>
      <c r="AS434" s="78">
        <f>IF((Consultas!AD434&gt;'Parâmetros'!$A$31),"X",(H434+I434+J434+Q434+T434+Y434+Z434+AJ434+AN434))</f>
        <v>-23</v>
      </c>
      <c r="AT434" s="78" t="str">
        <f>IF((Consultas!AD434&lt;'Parâmetros'!$A$31),"X",(AD434+AC434+AB434))</f>
        <v>X</v>
      </c>
      <c r="AU434" s="78">
        <f t="shared" si="1"/>
        <v>-23</v>
      </c>
      <c r="AV434" s="82" t="str">
        <f>IF(AQ434="N/A","N/A",IF(AQ434&gt;5,'Parâmetros'!$A$15,(IF(AU434=AR434,'Parâmetros'!$A$17,IF(AU434=AS434,'Parâmetros'!$A$16,'Parâmetros'!$A$14)))))</f>
        <v>N/A</v>
      </c>
      <c r="AW434" s="86" t="str">
        <f>IF(AQ434="N/A","N/A",IF(AV434='Parâmetros'!$A$15,'Parâmetros'!$C$15,(IF(AV434='Parâmetros'!$A$17,'Parâmetros'!$C$17,IF(AV434='Parâmetros'!$A$16,'Parâmetros'!$C$16,IF(AV434='Parâmetros'!$A$14,'Parâmetros'!$C$12))))))</f>
        <v>N/A</v>
      </c>
      <c r="AX434" s="82" t="b">
        <f>IF(Consultas!F434&gt;1,(IF(Consultas!F434&gt;5000,"SOLICITAR PED COMPRA","N/A")))</f>
        <v>0</v>
      </c>
      <c r="AY434" s="167" t="str">
        <f>IF(AND(Consultas!M434&lt;&gt;"S", Consultas!H434="S"), "CHECAGEM REVERSA", "N/A")</f>
        <v>N/A</v>
      </c>
      <c r="AZ434" s="167" t="str">
        <f>IF(Consultas!U434="N","PRECISA CORRIGIR END DIVERGENTE","N/A")</f>
        <v>N/A</v>
      </c>
    </row>
    <row r="435" ht="12.0" customHeight="1">
      <c r="A435" s="39" t="s">
        <v>90</v>
      </c>
      <c r="B435" s="82" t="str">
        <f>Consultas!B435</f>
        <v/>
      </c>
      <c r="C435" s="82" t="str">
        <f>Consultas!D435</f>
        <v/>
      </c>
      <c r="D435" s="96" t="str">
        <f>Consultas!E435</f>
        <v/>
      </c>
      <c r="E435" s="104" t="str">
        <f>IF(Consultas!AB435&gt;0,YEAR('Parâmetros'!$B$1)-YEAR(Consultas!AB435),"NA")</f>
        <v>NA</v>
      </c>
      <c r="F435" s="82">
        <f>IF(Consultas!F435&gt;'Parâmetros'!$B$2,-8,0)</f>
        <v>0</v>
      </c>
      <c r="G435" s="82">
        <f>IF(Consultas!H435='Parâmetros'!$E$1,100,0)</f>
        <v>0</v>
      </c>
      <c r="H435" s="82">
        <f>IF(Consultas!I435='Parâmetros'!$E$1,-4,12)</f>
        <v>12</v>
      </c>
      <c r="I435" s="82">
        <f>IF(Consultas!J435='Parâmetros'!$E$1,1,-13)</f>
        <v>-13</v>
      </c>
      <c r="J435" s="82">
        <f>IF(Consultas!K435='Parâmetros'!$E$1,2,-5)</f>
        <v>-5</v>
      </c>
      <c r="K435" s="82" t="str">
        <f>IF(Consultas!L435='Parâmetros'!$D$1,"SOLIC CONTRATO DE ENTREGA","N/A")</f>
        <v>N/A</v>
      </c>
      <c r="L435" s="82">
        <f>IF(Consultas!R435='Parâmetros'!$E$1,1,-3)</f>
        <v>-3</v>
      </c>
      <c r="M435" s="82" t="b">
        <f>IF(Consultas!S435&gt;1,(IF(Consultas!S435='Parâmetros'!$E$1,-3,9)))</f>
        <v>0</v>
      </c>
      <c r="N435" s="82">
        <f>IF(Consultas!T435="S",23,0)</f>
        <v>0</v>
      </c>
      <c r="O435" s="82">
        <f>IF(Consultas!U435='Parâmetros'!$E$1,-3,3)</f>
        <v>3</v>
      </c>
      <c r="P435" s="82">
        <f>IF(Consultas!V435='Parâmetros'!$E$1,-100,2)</f>
        <v>2</v>
      </c>
      <c r="Q435" s="82">
        <f>IF(Consultas!M435='Parâmetros'!$D$1,2,-9)</f>
        <v>-9</v>
      </c>
      <c r="R435" s="82">
        <f>IF(Consultas!N435="RJ",-12,0)</f>
        <v>0</v>
      </c>
      <c r="S435" s="82">
        <f>IF(Consultas!O435="-",-3,IF(Consultas!O435=0,-6,IF(Consultas!O435=5,0,IF(Consultas!O435=10,6))))</f>
        <v>-6</v>
      </c>
      <c r="T435" s="82">
        <f>IF(Consultas!M435="S",0,(IF(Consultas!P435="S",6,0)))</f>
        <v>0</v>
      </c>
      <c r="U435" s="82">
        <f>IF(Consultas!Q435&gt;97,9,IF(Consultas!Q435&gt;75,0,-7))</f>
        <v>-7</v>
      </c>
      <c r="V435" s="82">
        <f>IF(Consultas!W435='Parâmetros'!$E$1,1,-5)</f>
        <v>-5</v>
      </c>
      <c r="W435" s="82">
        <f>IF(Consultas!X435="S",3,-3)</f>
        <v>-3</v>
      </c>
      <c r="X435" s="82">
        <f>IF(Consultas!Y435="S",0,-7)</f>
        <v>-7</v>
      </c>
      <c r="Y435" s="82">
        <f>IF(Consultas!Z435='Parâmetros'!$E$1,2,-8)</f>
        <v>-8</v>
      </c>
      <c r="Z435" s="82">
        <f>IF(Consultas!AA435='Parâmetros'!$E$1,-15,1)</f>
        <v>1</v>
      </c>
      <c r="AA435" s="147" t="s">
        <v>140</v>
      </c>
      <c r="AB435" s="82" t="str">
        <f>IF(E435="NA","NA",IF(E435&gt;'Parâmetros'!$A$9,8,IF(E435&gt;'Parâmetros'!$A$8,4,IF(E435&gt;'Parâmetros'!$A$7,0,-6))))</f>
        <v>NA</v>
      </c>
      <c r="AC435" s="82">
        <f>IF(Consultas!AC435='Parâmetros'!$E$1,0,5)</f>
        <v>5</v>
      </c>
      <c r="AD435" s="82">
        <f>IF(Consultas!AH435='Parâmetros'!$D$1,-10,5)</f>
        <v>5</v>
      </c>
      <c r="AE435" s="82">
        <f>IF(Consultas!AI435&gt;(Consultas!F435*2),-10,0)</f>
        <v>0</v>
      </c>
      <c r="AF435" s="82" t="b">
        <f>IF(Consultas!AD435&gt;1,(IF(Consultas!AI435&gt;(Consultas!AD435),-20,4)))</f>
        <v>0</v>
      </c>
      <c r="AG435" s="82">
        <f>IF(Consultas!AG435='Parâmetros'!$E$1,0,-6)</f>
        <v>-6</v>
      </c>
      <c r="AH435" s="82">
        <f>IF(Consultas!AF435='Parâmetros'!$E$1,1,-5)</f>
        <v>-5</v>
      </c>
      <c r="AI435" s="82">
        <f>IF(Consultas!AJ435&gt;700,8,IF(Consultas!AJ435&gt;500,4,IF(Consultas!AJ435&gt;200,-4,IF(Consultas!AJ435&gt;1,-15,-20))))</f>
        <v>-20</v>
      </c>
      <c r="AJ435" s="82">
        <f>IF(Consultas!AD435='Parâmetros'!$E$10,0,IF(Consultas!AD435&gt;'Parâmetros'!$A$30,12,IF(Consultas!AD435&gt;'Parâmetros'!$A$31,6,IF(Consultas!AD435&gt;'Parâmetros'!$A$32,0,IF(Consultas!AD435&gt;'Parâmetros'!$A$33,0,IF(Consultas!AD435&gt;'Parâmetros'!$A$34,-3,IF(Consultas!AD435&gt;'Parâmetros'!$A$35,-7,-1)))))))</f>
        <v>-1</v>
      </c>
      <c r="AK435" s="82">
        <f>IF(Consultas!AO435='Parâmetros'!$D$1,3,-3)</f>
        <v>-3</v>
      </c>
      <c r="AL435" s="82">
        <f>IF(Consultas!AP435='Parâmetros'!$D$1,5,-3)</f>
        <v>-3</v>
      </c>
      <c r="AM435" s="82">
        <f>IF(Consultas!AL435="N",-6,0)</f>
        <v>0</v>
      </c>
      <c r="AN435" s="82">
        <f>IF(Consultas!AM435="N",-10,0)</f>
        <v>0</v>
      </c>
      <c r="AO435" s="82">
        <f>IF(Consultas!AN435="S",4,-2)</f>
        <v>-2</v>
      </c>
      <c r="AP435" s="39"/>
      <c r="AQ435" s="165" t="str">
        <f>IF(Consultas!F435&gt;1,(SUM(F435:AO435)),"N/A")</f>
        <v>N/A</v>
      </c>
      <c r="AR435" s="78">
        <f>IF((Consultas!AD435&gt;'Parâmetros'!$A$31),"X",AJ435+Y435+V435+AC435)</f>
        <v>-9</v>
      </c>
      <c r="AS435" s="78">
        <f>IF((Consultas!AD435&gt;'Parâmetros'!$A$31),"X",(H435+I435+J435+Q435+T435+Y435+Z435+AJ435+AN435))</f>
        <v>-23</v>
      </c>
      <c r="AT435" s="78" t="str">
        <f>IF((Consultas!AD435&lt;'Parâmetros'!$A$31),"X",(AD435+AC435+AB435))</f>
        <v>X</v>
      </c>
      <c r="AU435" s="78">
        <f t="shared" si="1"/>
        <v>-23</v>
      </c>
      <c r="AV435" s="82" t="str">
        <f>IF(AQ435="N/A","N/A",IF(AQ435&gt;5,'Parâmetros'!$A$15,(IF(AU435=AR435,'Parâmetros'!$A$17,IF(AU435=AS435,'Parâmetros'!$A$16,'Parâmetros'!$A$14)))))</f>
        <v>N/A</v>
      </c>
      <c r="AW435" s="86" t="str">
        <f>IF(AQ435="N/A","N/A",IF(AV435='Parâmetros'!$A$15,'Parâmetros'!$C$15,(IF(AV435='Parâmetros'!$A$17,'Parâmetros'!$C$17,IF(AV435='Parâmetros'!$A$16,'Parâmetros'!$C$16,IF(AV435='Parâmetros'!$A$14,'Parâmetros'!$C$12))))))</f>
        <v>N/A</v>
      </c>
      <c r="AX435" s="82" t="b">
        <f>IF(Consultas!F435&gt;1,(IF(Consultas!F435&gt;5000,"SOLICITAR PED COMPRA","N/A")))</f>
        <v>0</v>
      </c>
      <c r="AY435" s="167" t="str">
        <f>IF(AND(Consultas!M435&lt;&gt;"S", Consultas!H435="S"), "CHECAGEM REVERSA", "N/A")</f>
        <v>N/A</v>
      </c>
      <c r="AZ435" s="167" t="str">
        <f>IF(Consultas!U435="N","PRECISA CORRIGIR END DIVERGENTE","N/A")</f>
        <v>N/A</v>
      </c>
    </row>
    <row r="436" ht="12.0" customHeight="1">
      <c r="A436" s="39" t="s">
        <v>90</v>
      </c>
      <c r="B436" s="82" t="str">
        <f>Consultas!B436</f>
        <v/>
      </c>
      <c r="C436" s="82" t="str">
        <f>Consultas!D436</f>
        <v/>
      </c>
      <c r="D436" s="96" t="str">
        <f>Consultas!E436</f>
        <v/>
      </c>
      <c r="E436" s="104" t="str">
        <f>IF(Consultas!AB436&gt;0,YEAR('Parâmetros'!$B$1)-YEAR(Consultas!AB436),"NA")</f>
        <v>NA</v>
      </c>
      <c r="F436" s="82">
        <f>IF(Consultas!F436&gt;'Parâmetros'!$B$2,-8,0)</f>
        <v>0</v>
      </c>
      <c r="G436" s="82">
        <f>IF(Consultas!H436='Parâmetros'!$E$1,100,0)</f>
        <v>0</v>
      </c>
      <c r="H436" s="82">
        <f>IF(Consultas!I436='Parâmetros'!$E$1,-4,12)</f>
        <v>12</v>
      </c>
      <c r="I436" s="82">
        <f>IF(Consultas!J436='Parâmetros'!$E$1,1,-13)</f>
        <v>-13</v>
      </c>
      <c r="J436" s="82">
        <f>IF(Consultas!K436='Parâmetros'!$E$1,2,-5)</f>
        <v>-5</v>
      </c>
      <c r="K436" s="82" t="str">
        <f>IF(Consultas!L436='Parâmetros'!$D$1,"SOLIC CONTRATO DE ENTREGA","N/A")</f>
        <v>N/A</v>
      </c>
      <c r="L436" s="82">
        <f>IF(Consultas!R436='Parâmetros'!$E$1,1,-3)</f>
        <v>-3</v>
      </c>
      <c r="M436" s="82" t="b">
        <f>IF(Consultas!S436&gt;1,(IF(Consultas!S436='Parâmetros'!$E$1,-3,9)))</f>
        <v>0</v>
      </c>
      <c r="N436" s="82">
        <f>IF(Consultas!T436="S",23,0)</f>
        <v>0</v>
      </c>
      <c r="O436" s="82">
        <f>IF(Consultas!U436='Parâmetros'!$E$1,-3,3)</f>
        <v>3</v>
      </c>
      <c r="P436" s="82">
        <f>IF(Consultas!V436='Parâmetros'!$E$1,-100,2)</f>
        <v>2</v>
      </c>
      <c r="Q436" s="82">
        <f>IF(Consultas!M436='Parâmetros'!$D$1,2,-9)</f>
        <v>-9</v>
      </c>
      <c r="R436" s="82">
        <f>IF(Consultas!N436="RJ",-12,0)</f>
        <v>0</v>
      </c>
      <c r="S436" s="82">
        <f>IF(Consultas!O436="-",-3,IF(Consultas!O436=0,-6,IF(Consultas!O436=5,0,IF(Consultas!O436=10,6))))</f>
        <v>-6</v>
      </c>
      <c r="T436" s="82">
        <f>IF(Consultas!M436="S",0,(IF(Consultas!P436="S",6,0)))</f>
        <v>0</v>
      </c>
      <c r="U436" s="82">
        <f>IF(Consultas!Q436&gt;97,9,IF(Consultas!Q436&gt;75,0,-7))</f>
        <v>-7</v>
      </c>
      <c r="V436" s="82">
        <f>IF(Consultas!W436='Parâmetros'!$E$1,1,-5)</f>
        <v>-5</v>
      </c>
      <c r="W436" s="82">
        <f>IF(Consultas!X436="S",3,-3)</f>
        <v>-3</v>
      </c>
      <c r="X436" s="82">
        <f>IF(Consultas!Y436="S",0,-7)</f>
        <v>-7</v>
      </c>
      <c r="Y436" s="82">
        <f>IF(Consultas!Z436='Parâmetros'!$E$1,2,-8)</f>
        <v>-8</v>
      </c>
      <c r="Z436" s="82">
        <f>IF(Consultas!AA436='Parâmetros'!$E$1,-15,1)</f>
        <v>1</v>
      </c>
      <c r="AA436" s="147" t="s">
        <v>140</v>
      </c>
      <c r="AB436" s="82" t="str">
        <f>IF(E436="NA","NA",IF(E436&gt;'Parâmetros'!$A$9,8,IF(E436&gt;'Parâmetros'!$A$8,4,IF(E436&gt;'Parâmetros'!$A$7,0,-6))))</f>
        <v>NA</v>
      </c>
      <c r="AC436" s="82">
        <f>IF(Consultas!AC436='Parâmetros'!$E$1,0,5)</f>
        <v>5</v>
      </c>
      <c r="AD436" s="82">
        <f>IF(Consultas!AH436='Parâmetros'!$D$1,-10,5)</f>
        <v>5</v>
      </c>
      <c r="AE436" s="82">
        <f>IF(Consultas!AI436&gt;(Consultas!F436*2),-10,0)</f>
        <v>0</v>
      </c>
      <c r="AF436" s="82" t="b">
        <f>IF(Consultas!AD436&gt;1,(IF(Consultas!AI436&gt;(Consultas!AD436),-20,4)))</f>
        <v>0</v>
      </c>
      <c r="AG436" s="82">
        <f>IF(Consultas!AG436='Parâmetros'!$E$1,0,-6)</f>
        <v>-6</v>
      </c>
      <c r="AH436" s="82">
        <f>IF(Consultas!AF436='Parâmetros'!$E$1,1,-5)</f>
        <v>-5</v>
      </c>
      <c r="AI436" s="82">
        <f>IF(Consultas!AJ436&gt;700,8,IF(Consultas!AJ436&gt;500,4,IF(Consultas!AJ436&gt;200,-4,IF(Consultas!AJ436&gt;1,-15,-20))))</f>
        <v>-20</v>
      </c>
      <c r="AJ436" s="82">
        <f>IF(Consultas!AD436='Parâmetros'!$E$10,0,IF(Consultas!AD436&gt;'Parâmetros'!$A$30,12,IF(Consultas!AD436&gt;'Parâmetros'!$A$31,6,IF(Consultas!AD436&gt;'Parâmetros'!$A$32,0,IF(Consultas!AD436&gt;'Parâmetros'!$A$33,0,IF(Consultas!AD436&gt;'Parâmetros'!$A$34,-3,IF(Consultas!AD436&gt;'Parâmetros'!$A$35,-7,-1)))))))</f>
        <v>-1</v>
      </c>
      <c r="AK436" s="82">
        <f>IF(Consultas!AO436='Parâmetros'!$D$1,3,-3)</f>
        <v>-3</v>
      </c>
      <c r="AL436" s="82">
        <f>IF(Consultas!AP436='Parâmetros'!$D$1,5,-3)</f>
        <v>-3</v>
      </c>
      <c r="AM436" s="82">
        <f>IF(Consultas!AL436="N",-6,0)</f>
        <v>0</v>
      </c>
      <c r="AN436" s="82">
        <f>IF(Consultas!AM436="N",-10,0)</f>
        <v>0</v>
      </c>
      <c r="AO436" s="82">
        <f>IF(Consultas!AN436="S",4,-2)</f>
        <v>-2</v>
      </c>
      <c r="AP436" s="39"/>
      <c r="AQ436" s="165" t="str">
        <f>IF(Consultas!F436&gt;1,(SUM(F436:AO436)),"N/A")</f>
        <v>N/A</v>
      </c>
      <c r="AR436" s="78">
        <f>IF((Consultas!AD436&gt;'Parâmetros'!$A$31),"X",AJ436+Y436+V436+AC436)</f>
        <v>-9</v>
      </c>
      <c r="AS436" s="78">
        <f>IF((Consultas!AD436&gt;'Parâmetros'!$A$31),"X",(H436+I436+J436+Q436+T436+Y436+Z436+AJ436+AN436))</f>
        <v>-23</v>
      </c>
      <c r="AT436" s="78" t="str">
        <f>IF((Consultas!AD436&lt;'Parâmetros'!$A$31),"X",(AD436+AC436+AB436))</f>
        <v>X</v>
      </c>
      <c r="AU436" s="78">
        <f t="shared" si="1"/>
        <v>-23</v>
      </c>
      <c r="AV436" s="82" t="str">
        <f>IF(AQ436="N/A","N/A",IF(AQ436&gt;5,'Parâmetros'!$A$15,(IF(AU436=AR436,'Parâmetros'!$A$17,IF(AU436=AS436,'Parâmetros'!$A$16,'Parâmetros'!$A$14)))))</f>
        <v>N/A</v>
      </c>
      <c r="AW436" s="86" t="str">
        <f>IF(AQ436="N/A","N/A",IF(AV436='Parâmetros'!$A$15,'Parâmetros'!$C$15,(IF(AV436='Parâmetros'!$A$17,'Parâmetros'!$C$17,IF(AV436='Parâmetros'!$A$16,'Parâmetros'!$C$16,IF(AV436='Parâmetros'!$A$14,'Parâmetros'!$C$12))))))</f>
        <v>N/A</v>
      </c>
      <c r="AX436" s="82" t="b">
        <f>IF(Consultas!F436&gt;1,(IF(Consultas!F436&gt;5000,"SOLICITAR PED COMPRA","N/A")))</f>
        <v>0</v>
      </c>
      <c r="AY436" s="167" t="str">
        <f>IF(AND(Consultas!M436&lt;&gt;"S", Consultas!H436="S"), "CHECAGEM REVERSA", "N/A")</f>
        <v>N/A</v>
      </c>
      <c r="AZ436" s="167" t="str">
        <f>IF(Consultas!U436="N","PRECISA CORRIGIR END DIVERGENTE","N/A")</f>
        <v>N/A</v>
      </c>
    </row>
    <row r="437" ht="12.0" customHeight="1">
      <c r="A437" s="39" t="s">
        <v>90</v>
      </c>
      <c r="B437" s="82" t="str">
        <f>Consultas!B437</f>
        <v/>
      </c>
      <c r="C437" s="82" t="str">
        <f>Consultas!D437</f>
        <v/>
      </c>
      <c r="D437" s="96" t="str">
        <f>Consultas!E437</f>
        <v/>
      </c>
      <c r="E437" s="104" t="str">
        <f>IF(Consultas!AB437&gt;0,YEAR('Parâmetros'!$B$1)-YEAR(Consultas!AB437),"NA")</f>
        <v>NA</v>
      </c>
      <c r="F437" s="82">
        <f>IF(Consultas!F437&gt;'Parâmetros'!$B$2,-8,0)</f>
        <v>0</v>
      </c>
      <c r="G437" s="82">
        <f>IF(Consultas!H437='Parâmetros'!$E$1,100,0)</f>
        <v>0</v>
      </c>
      <c r="H437" s="82">
        <f>IF(Consultas!I437='Parâmetros'!$E$1,-4,12)</f>
        <v>12</v>
      </c>
      <c r="I437" s="82">
        <f>IF(Consultas!J437='Parâmetros'!$E$1,1,-13)</f>
        <v>-13</v>
      </c>
      <c r="J437" s="82">
        <f>IF(Consultas!K437='Parâmetros'!$E$1,2,-5)</f>
        <v>-5</v>
      </c>
      <c r="K437" s="82" t="str">
        <f>IF(Consultas!L437='Parâmetros'!$D$1,"SOLIC CONTRATO DE ENTREGA","N/A")</f>
        <v>N/A</v>
      </c>
      <c r="L437" s="82">
        <f>IF(Consultas!R437='Parâmetros'!$E$1,1,-3)</f>
        <v>-3</v>
      </c>
      <c r="M437" s="82" t="b">
        <f>IF(Consultas!S437&gt;1,(IF(Consultas!S437='Parâmetros'!$E$1,-3,9)))</f>
        <v>0</v>
      </c>
      <c r="N437" s="82">
        <f>IF(Consultas!T437="S",23,0)</f>
        <v>0</v>
      </c>
      <c r="O437" s="82">
        <f>IF(Consultas!U437='Parâmetros'!$E$1,-3,3)</f>
        <v>3</v>
      </c>
      <c r="P437" s="82">
        <f>IF(Consultas!V437='Parâmetros'!$E$1,-100,2)</f>
        <v>2</v>
      </c>
      <c r="Q437" s="82">
        <f>IF(Consultas!M437='Parâmetros'!$D$1,2,-9)</f>
        <v>-9</v>
      </c>
      <c r="R437" s="82">
        <f>IF(Consultas!N437="RJ",-12,0)</f>
        <v>0</v>
      </c>
      <c r="S437" s="82">
        <f>IF(Consultas!O437="-",-3,IF(Consultas!O437=0,-6,IF(Consultas!O437=5,0,IF(Consultas!O437=10,6))))</f>
        <v>-6</v>
      </c>
      <c r="T437" s="82">
        <f>IF(Consultas!M437="S",0,(IF(Consultas!P437="S",6,0)))</f>
        <v>0</v>
      </c>
      <c r="U437" s="82">
        <f>IF(Consultas!Q437&gt;97,9,IF(Consultas!Q437&gt;75,0,-7))</f>
        <v>-7</v>
      </c>
      <c r="V437" s="82">
        <f>IF(Consultas!W437='Parâmetros'!$E$1,1,-5)</f>
        <v>-5</v>
      </c>
      <c r="W437" s="82">
        <f>IF(Consultas!X437="S",3,-3)</f>
        <v>-3</v>
      </c>
      <c r="X437" s="82">
        <f>IF(Consultas!Y437="S",0,-7)</f>
        <v>-7</v>
      </c>
      <c r="Y437" s="82">
        <f>IF(Consultas!Z437='Parâmetros'!$E$1,2,-8)</f>
        <v>-8</v>
      </c>
      <c r="Z437" s="82">
        <f>IF(Consultas!AA437='Parâmetros'!$E$1,-15,1)</f>
        <v>1</v>
      </c>
      <c r="AA437" s="147" t="s">
        <v>140</v>
      </c>
      <c r="AB437" s="82" t="str">
        <f>IF(E437="NA","NA",IF(E437&gt;'Parâmetros'!$A$9,8,IF(E437&gt;'Parâmetros'!$A$8,4,IF(E437&gt;'Parâmetros'!$A$7,0,-6))))</f>
        <v>NA</v>
      </c>
      <c r="AC437" s="82">
        <f>IF(Consultas!AC437='Parâmetros'!$E$1,0,5)</f>
        <v>5</v>
      </c>
      <c r="AD437" s="82">
        <f>IF(Consultas!AH437='Parâmetros'!$D$1,-10,5)</f>
        <v>5</v>
      </c>
      <c r="AE437" s="82">
        <f>IF(Consultas!AI437&gt;(Consultas!F437*2),-10,0)</f>
        <v>0</v>
      </c>
      <c r="AF437" s="82" t="b">
        <f>IF(Consultas!AD437&gt;1,(IF(Consultas!AI437&gt;(Consultas!AD437),-20,4)))</f>
        <v>0</v>
      </c>
      <c r="AG437" s="82">
        <f>IF(Consultas!AG437='Parâmetros'!$E$1,0,-6)</f>
        <v>-6</v>
      </c>
      <c r="AH437" s="82">
        <f>IF(Consultas!AF437='Parâmetros'!$E$1,1,-5)</f>
        <v>-5</v>
      </c>
      <c r="AI437" s="82">
        <f>IF(Consultas!AJ437&gt;700,8,IF(Consultas!AJ437&gt;500,4,IF(Consultas!AJ437&gt;200,-4,IF(Consultas!AJ437&gt;1,-15,-20))))</f>
        <v>-20</v>
      </c>
      <c r="AJ437" s="82">
        <f>IF(Consultas!AD437='Parâmetros'!$E$10,0,IF(Consultas!AD437&gt;'Parâmetros'!$A$30,12,IF(Consultas!AD437&gt;'Parâmetros'!$A$31,6,IF(Consultas!AD437&gt;'Parâmetros'!$A$32,0,IF(Consultas!AD437&gt;'Parâmetros'!$A$33,0,IF(Consultas!AD437&gt;'Parâmetros'!$A$34,-3,IF(Consultas!AD437&gt;'Parâmetros'!$A$35,-7,-1)))))))</f>
        <v>-1</v>
      </c>
      <c r="AK437" s="82">
        <f>IF(Consultas!AO437='Parâmetros'!$D$1,3,-3)</f>
        <v>-3</v>
      </c>
      <c r="AL437" s="82">
        <f>IF(Consultas!AP437='Parâmetros'!$D$1,5,-3)</f>
        <v>-3</v>
      </c>
      <c r="AM437" s="82">
        <f>IF(Consultas!AL437="N",-6,0)</f>
        <v>0</v>
      </c>
      <c r="AN437" s="82">
        <f>IF(Consultas!AM437="N",-10,0)</f>
        <v>0</v>
      </c>
      <c r="AO437" s="82">
        <f>IF(Consultas!AN437="S",4,-2)</f>
        <v>-2</v>
      </c>
      <c r="AP437" s="39"/>
      <c r="AQ437" s="165" t="str">
        <f>IF(Consultas!F437&gt;1,(SUM(F437:AO437)),"N/A")</f>
        <v>N/A</v>
      </c>
      <c r="AR437" s="78">
        <f>IF((Consultas!AD437&gt;'Parâmetros'!$A$31),"X",AJ437+Y437+V437+AC437)</f>
        <v>-9</v>
      </c>
      <c r="AS437" s="78">
        <f>IF((Consultas!AD437&gt;'Parâmetros'!$A$31),"X",(H437+I437+J437+Q437+T437+Y437+Z437+AJ437+AN437))</f>
        <v>-23</v>
      </c>
      <c r="AT437" s="78" t="str">
        <f>IF((Consultas!AD437&lt;'Parâmetros'!$A$31),"X",(AD437+AC437+AB437))</f>
        <v>X</v>
      </c>
      <c r="AU437" s="78">
        <f t="shared" si="1"/>
        <v>-23</v>
      </c>
      <c r="AV437" s="82" t="str">
        <f>IF(AQ437="N/A","N/A",IF(AQ437&gt;5,'Parâmetros'!$A$15,(IF(AU437=AR437,'Parâmetros'!$A$17,IF(AU437=AS437,'Parâmetros'!$A$16,'Parâmetros'!$A$14)))))</f>
        <v>N/A</v>
      </c>
      <c r="AW437" s="86" t="str">
        <f>IF(AQ437="N/A","N/A",IF(AV437='Parâmetros'!$A$15,'Parâmetros'!$C$15,(IF(AV437='Parâmetros'!$A$17,'Parâmetros'!$C$17,IF(AV437='Parâmetros'!$A$16,'Parâmetros'!$C$16,IF(AV437='Parâmetros'!$A$14,'Parâmetros'!$C$12))))))</f>
        <v>N/A</v>
      </c>
      <c r="AX437" s="82" t="b">
        <f>IF(Consultas!F437&gt;1,(IF(Consultas!F437&gt;5000,"SOLICITAR PED COMPRA","N/A")))</f>
        <v>0</v>
      </c>
      <c r="AY437" s="167" t="str">
        <f>IF(AND(Consultas!M437&lt;&gt;"S", Consultas!H437="S"), "CHECAGEM REVERSA", "N/A")</f>
        <v>N/A</v>
      </c>
      <c r="AZ437" s="167" t="str">
        <f>IF(Consultas!U437="N","PRECISA CORRIGIR END DIVERGENTE","N/A")</f>
        <v>N/A</v>
      </c>
    </row>
    <row r="438" ht="12.0" customHeight="1">
      <c r="A438" s="39" t="s">
        <v>90</v>
      </c>
      <c r="B438" s="82" t="str">
        <f>Consultas!B438</f>
        <v/>
      </c>
      <c r="C438" s="82" t="str">
        <f>Consultas!D438</f>
        <v/>
      </c>
      <c r="D438" s="96" t="str">
        <f>Consultas!E438</f>
        <v/>
      </c>
      <c r="E438" s="104" t="str">
        <f>IF(Consultas!AB438&gt;0,YEAR('Parâmetros'!$B$1)-YEAR(Consultas!AB438),"NA")</f>
        <v>NA</v>
      </c>
      <c r="F438" s="82">
        <f>IF(Consultas!F438&gt;'Parâmetros'!$B$2,-8,0)</f>
        <v>0</v>
      </c>
      <c r="G438" s="82">
        <f>IF(Consultas!H438='Parâmetros'!$E$1,100,0)</f>
        <v>0</v>
      </c>
      <c r="H438" s="82">
        <f>IF(Consultas!I438='Parâmetros'!$E$1,-4,12)</f>
        <v>12</v>
      </c>
      <c r="I438" s="82">
        <f>IF(Consultas!J438='Parâmetros'!$E$1,1,-13)</f>
        <v>-13</v>
      </c>
      <c r="J438" s="82">
        <f>IF(Consultas!K438='Parâmetros'!$E$1,2,-5)</f>
        <v>-5</v>
      </c>
      <c r="K438" s="82" t="str">
        <f>IF(Consultas!L438='Parâmetros'!$D$1,"SOLIC CONTRATO DE ENTREGA","N/A")</f>
        <v>N/A</v>
      </c>
      <c r="L438" s="82">
        <f>IF(Consultas!R438='Parâmetros'!$E$1,1,-3)</f>
        <v>-3</v>
      </c>
      <c r="M438" s="82" t="b">
        <f>IF(Consultas!S438&gt;1,(IF(Consultas!S438='Parâmetros'!$E$1,-3,9)))</f>
        <v>0</v>
      </c>
      <c r="N438" s="82">
        <f>IF(Consultas!T438="S",23,0)</f>
        <v>0</v>
      </c>
      <c r="O438" s="82">
        <f>IF(Consultas!U438='Parâmetros'!$E$1,-3,3)</f>
        <v>3</v>
      </c>
      <c r="P438" s="82">
        <f>IF(Consultas!V438='Parâmetros'!$E$1,-100,2)</f>
        <v>2</v>
      </c>
      <c r="Q438" s="82">
        <f>IF(Consultas!M438='Parâmetros'!$D$1,2,-9)</f>
        <v>-9</v>
      </c>
      <c r="R438" s="82">
        <f>IF(Consultas!N438="RJ",-12,0)</f>
        <v>0</v>
      </c>
      <c r="S438" s="82">
        <f>IF(Consultas!O438="-",-3,IF(Consultas!O438=0,-6,IF(Consultas!O438=5,0,IF(Consultas!O438=10,6))))</f>
        <v>-6</v>
      </c>
      <c r="T438" s="82">
        <f>IF(Consultas!M438="S",0,(IF(Consultas!P438="S",6,0)))</f>
        <v>0</v>
      </c>
      <c r="U438" s="82">
        <f>IF(Consultas!Q438&gt;97,9,IF(Consultas!Q438&gt;75,0,-7))</f>
        <v>-7</v>
      </c>
      <c r="V438" s="82">
        <f>IF(Consultas!W438='Parâmetros'!$E$1,1,-5)</f>
        <v>-5</v>
      </c>
      <c r="W438" s="82">
        <f>IF(Consultas!X438="S",3,-3)</f>
        <v>-3</v>
      </c>
      <c r="X438" s="82">
        <f>IF(Consultas!Y438="S",0,-7)</f>
        <v>-7</v>
      </c>
      <c r="Y438" s="82">
        <f>IF(Consultas!Z438='Parâmetros'!$E$1,2,-8)</f>
        <v>-8</v>
      </c>
      <c r="Z438" s="82">
        <f>IF(Consultas!AA438='Parâmetros'!$E$1,-15,1)</f>
        <v>1</v>
      </c>
      <c r="AA438" s="147" t="s">
        <v>140</v>
      </c>
      <c r="AB438" s="82" t="str">
        <f>IF(E438="NA","NA",IF(E438&gt;'Parâmetros'!$A$9,8,IF(E438&gt;'Parâmetros'!$A$8,4,IF(E438&gt;'Parâmetros'!$A$7,0,-6))))</f>
        <v>NA</v>
      </c>
      <c r="AC438" s="82">
        <f>IF(Consultas!AC438='Parâmetros'!$E$1,0,5)</f>
        <v>5</v>
      </c>
      <c r="AD438" s="82">
        <f>IF(Consultas!AH438='Parâmetros'!$D$1,-10,5)</f>
        <v>5</v>
      </c>
      <c r="AE438" s="82">
        <f>IF(Consultas!AI438&gt;(Consultas!F438*2),-10,0)</f>
        <v>0</v>
      </c>
      <c r="AF438" s="82" t="b">
        <f>IF(Consultas!AD438&gt;1,(IF(Consultas!AI438&gt;(Consultas!AD438),-20,4)))</f>
        <v>0</v>
      </c>
      <c r="AG438" s="82">
        <f>IF(Consultas!AG438='Parâmetros'!$E$1,0,-6)</f>
        <v>-6</v>
      </c>
      <c r="AH438" s="82">
        <f>IF(Consultas!AF438='Parâmetros'!$E$1,1,-5)</f>
        <v>-5</v>
      </c>
      <c r="AI438" s="82">
        <f>IF(Consultas!AJ438&gt;700,8,IF(Consultas!AJ438&gt;500,4,IF(Consultas!AJ438&gt;200,-4,IF(Consultas!AJ438&gt;1,-15,-20))))</f>
        <v>-20</v>
      </c>
      <c r="AJ438" s="82">
        <f>IF(Consultas!AD438='Parâmetros'!$E$10,0,IF(Consultas!AD438&gt;'Parâmetros'!$A$30,12,IF(Consultas!AD438&gt;'Parâmetros'!$A$31,6,IF(Consultas!AD438&gt;'Parâmetros'!$A$32,0,IF(Consultas!AD438&gt;'Parâmetros'!$A$33,0,IF(Consultas!AD438&gt;'Parâmetros'!$A$34,-3,IF(Consultas!AD438&gt;'Parâmetros'!$A$35,-7,-1)))))))</f>
        <v>-1</v>
      </c>
      <c r="AK438" s="82">
        <f>IF(Consultas!AO438='Parâmetros'!$D$1,3,-3)</f>
        <v>-3</v>
      </c>
      <c r="AL438" s="82">
        <f>IF(Consultas!AP438='Parâmetros'!$D$1,5,-3)</f>
        <v>-3</v>
      </c>
      <c r="AM438" s="82">
        <f>IF(Consultas!AL438="N",-6,0)</f>
        <v>0</v>
      </c>
      <c r="AN438" s="82">
        <f>IF(Consultas!AM438="N",-10,0)</f>
        <v>0</v>
      </c>
      <c r="AO438" s="82">
        <f>IF(Consultas!AN438="S",4,-2)</f>
        <v>-2</v>
      </c>
      <c r="AP438" s="39"/>
      <c r="AQ438" s="165" t="str">
        <f>IF(Consultas!F438&gt;1,(SUM(F438:AO438)),"N/A")</f>
        <v>N/A</v>
      </c>
      <c r="AR438" s="78">
        <f>IF((Consultas!AD438&gt;'Parâmetros'!$A$31),"X",AJ438+Y438+V438+AC438)</f>
        <v>-9</v>
      </c>
      <c r="AS438" s="78">
        <f>IF((Consultas!AD438&gt;'Parâmetros'!$A$31),"X",(H438+I438+J438+Q438+T438+Y438+Z438+AJ438+AN438))</f>
        <v>-23</v>
      </c>
      <c r="AT438" s="78" t="str">
        <f>IF((Consultas!AD438&lt;'Parâmetros'!$A$31),"X",(AD438+AC438+AB438))</f>
        <v>X</v>
      </c>
      <c r="AU438" s="78">
        <f t="shared" si="1"/>
        <v>-23</v>
      </c>
      <c r="AV438" s="82" t="str">
        <f>IF(AQ438="N/A","N/A",IF(AQ438&gt;5,'Parâmetros'!$A$15,(IF(AU438=AR438,'Parâmetros'!$A$17,IF(AU438=AS438,'Parâmetros'!$A$16,'Parâmetros'!$A$14)))))</f>
        <v>N/A</v>
      </c>
      <c r="AW438" s="86" t="str">
        <f>IF(AQ438="N/A","N/A",IF(AV438='Parâmetros'!$A$15,'Parâmetros'!$C$15,(IF(AV438='Parâmetros'!$A$17,'Parâmetros'!$C$17,IF(AV438='Parâmetros'!$A$16,'Parâmetros'!$C$16,IF(AV438='Parâmetros'!$A$14,'Parâmetros'!$C$12))))))</f>
        <v>N/A</v>
      </c>
      <c r="AX438" s="82" t="b">
        <f>IF(Consultas!F438&gt;1,(IF(Consultas!F438&gt;5000,"SOLICITAR PED COMPRA","N/A")))</f>
        <v>0</v>
      </c>
      <c r="AY438" s="167" t="str">
        <f>IF(AND(Consultas!M438&lt;&gt;"S", Consultas!H438="S"), "CHECAGEM REVERSA", "N/A")</f>
        <v>N/A</v>
      </c>
      <c r="AZ438" s="167" t="str">
        <f>IF(Consultas!U438="N","PRECISA CORRIGIR END DIVERGENTE","N/A")</f>
        <v>N/A</v>
      </c>
    </row>
    <row r="439" ht="12.0" customHeight="1">
      <c r="A439" s="39" t="s">
        <v>90</v>
      </c>
      <c r="B439" s="82" t="str">
        <f>Consultas!B439</f>
        <v/>
      </c>
      <c r="C439" s="82" t="str">
        <f>Consultas!D439</f>
        <v/>
      </c>
      <c r="D439" s="96" t="str">
        <f>Consultas!E439</f>
        <v/>
      </c>
      <c r="E439" s="104" t="str">
        <f>IF(Consultas!AB439&gt;0,YEAR('Parâmetros'!$B$1)-YEAR(Consultas!AB439),"NA")</f>
        <v>NA</v>
      </c>
      <c r="F439" s="82">
        <f>IF(Consultas!F439&gt;'Parâmetros'!$B$2,-8,0)</f>
        <v>0</v>
      </c>
      <c r="G439" s="82">
        <f>IF(Consultas!H439='Parâmetros'!$E$1,100,0)</f>
        <v>0</v>
      </c>
      <c r="H439" s="82">
        <f>IF(Consultas!I439='Parâmetros'!$E$1,-4,12)</f>
        <v>12</v>
      </c>
      <c r="I439" s="82">
        <f>IF(Consultas!J439='Parâmetros'!$E$1,1,-13)</f>
        <v>-13</v>
      </c>
      <c r="J439" s="82">
        <f>IF(Consultas!K439='Parâmetros'!$E$1,2,-5)</f>
        <v>-5</v>
      </c>
      <c r="K439" s="82" t="str">
        <f>IF(Consultas!L439='Parâmetros'!$D$1,"SOLIC CONTRATO DE ENTREGA","N/A")</f>
        <v>N/A</v>
      </c>
      <c r="L439" s="82">
        <f>IF(Consultas!R439='Parâmetros'!$E$1,1,-3)</f>
        <v>-3</v>
      </c>
      <c r="M439" s="82" t="b">
        <f>IF(Consultas!S439&gt;1,(IF(Consultas!S439='Parâmetros'!$E$1,-3,9)))</f>
        <v>0</v>
      </c>
      <c r="N439" s="82">
        <f>IF(Consultas!T439="S",23,0)</f>
        <v>0</v>
      </c>
      <c r="O439" s="82">
        <f>IF(Consultas!U439='Parâmetros'!$E$1,-3,3)</f>
        <v>3</v>
      </c>
      <c r="P439" s="82">
        <f>IF(Consultas!V439='Parâmetros'!$E$1,-100,2)</f>
        <v>2</v>
      </c>
      <c r="Q439" s="82">
        <f>IF(Consultas!M439='Parâmetros'!$D$1,2,-9)</f>
        <v>-9</v>
      </c>
      <c r="R439" s="82">
        <f>IF(Consultas!N439="RJ",-12,0)</f>
        <v>0</v>
      </c>
      <c r="S439" s="82">
        <f>IF(Consultas!O439="-",-3,IF(Consultas!O439=0,-6,IF(Consultas!O439=5,0,IF(Consultas!O439=10,6))))</f>
        <v>-6</v>
      </c>
      <c r="T439" s="82">
        <f>IF(Consultas!M439="S",0,(IF(Consultas!P439="S",6,0)))</f>
        <v>0</v>
      </c>
      <c r="U439" s="82">
        <f>IF(Consultas!Q439&gt;97,9,IF(Consultas!Q439&gt;75,0,-7))</f>
        <v>-7</v>
      </c>
      <c r="V439" s="82">
        <f>IF(Consultas!W439='Parâmetros'!$E$1,1,-5)</f>
        <v>-5</v>
      </c>
      <c r="W439" s="82">
        <f>IF(Consultas!X439="S",3,-3)</f>
        <v>-3</v>
      </c>
      <c r="X439" s="82">
        <f>IF(Consultas!Y439="S",0,-7)</f>
        <v>-7</v>
      </c>
      <c r="Y439" s="82">
        <f>IF(Consultas!Z439='Parâmetros'!$E$1,2,-8)</f>
        <v>-8</v>
      </c>
      <c r="Z439" s="82">
        <f>IF(Consultas!AA439='Parâmetros'!$E$1,-15,1)</f>
        <v>1</v>
      </c>
      <c r="AA439" s="147" t="s">
        <v>140</v>
      </c>
      <c r="AB439" s="82" t="str">
        <f>IF(E439="NA","NA",IF(E439&gt;'Parâmetros'!$A$9,8,IF(E439&gt;'Parâmetros'!$A$8,4,IF(E439&gt;'Parâmetros'!$A$7,0,-6))))</f>
        <v>NA</v>
      </c>
      <c r="AC439" s="82">
        <f>IF(Consultas!AC439='Parâmetros'!$E$1,0,5)</f>
        <v>5</v>
      </c>
      <c r="AD439" s="82">
        <f>IF(Consultas!AH439='Parâmetros'!$D$1,-10,5)</f>
        <v>5</v>
      </c>
      <c r="AE439" s="82">
        <f>IF(Consultas!AI439&gt;(Consultas!F439*2),-10,0)</f>
        <v>0</v>
      </c>
      <c r="AF439" s="82" t="b">
        <f>IF(Consultas!AD439&gt;1,(IF(Consultas!AI439&gt;(Consultas!AD439),-20,4)))</f>
        <v>0</v>
      </c>
      <c r="AG439" s="82">
        <f>IF(Consultas!AG439='Parâmetros'!$E$1,0,-6)</f>
        <v>-6</v>
      </c>
      <c r="AH439" s="82">
        <f>IF(Consultas!AF439='Parâmetros'!$E$1,1,-5)</f>
        <v>-5</v>
      </c>
      <c r="AI439" s="82">
        <f>IF(Consultas!AJ439&gt;700,8,IF(Consultas!AJ439&gt;500,4,IF(Consultas!AJ439&gt;200,-4,IF(Consultas!AJ439&gt;1,-15,-20))))</f>
        <v>-20</v>
      </c>
      <c r="AJ439" s="82">
        <f>IF(Consultas!AD439='Parâmetros'!$E$10,0,IF(Consultas!AD439&gt;'Parâmetros'!$A$30,12,IF(Consultas!AD439&gt;'Parâmetros'!$A$31,6,IF(Consultas!AD439&gt;'Parâmetros'!$A$32,0,IF(Consultas!AD439&gt;'Parâmetros'!$A$33,0,IF(Consultas!AD439&gt;'Parâmetros'!$A$34,-3,IF(Consultas!AD439&gt;'Parâmetros'!$A$35,-7,-1)))))))</f>
        <v>-1</v>
      </c>
      <c r="AK439" s="82">
        <f>IF(Consultas!AO439='Parâmetros'!$D$1,3,-3)</f>
        <v>-3</v>
      </c>
      <c r="AL439" s="82">
        <f>IF(Consultas!AP439='Parâmetros'!$D$1,5,-3)</f>
        <v>-3</v>
      </c>
      <c r="AM439" s="82">
        <f>IF(Consultas!AL439="N",-6,0)</f>
        <v>0</v>
      </c>
      <c r="AN439" s="82">
        <f>IF(Consultas!AM439="N",-10,0)</f>
        <v>0</v>
      </c>
      <c r="AO439" s="82">
        <f>IF(Consultas!AN439="S",4,-2)</f>
        <v>-2</v>
      </c>
      <c r="AP439" s="39"/>
      <c r="AQ439" s="165" t="str">
        <f>IF(Consultas!F439&gt;1,(SUM(F439:AO439)),"N/A")</f>
        <v>N/A</v>
      </c>
      <c r="AR439" s="78">
        <f>IF((Consultas!AD439&gt;'Parâmetros'!$A$31),"X",AJ439+Y439+V439+AC439)</f>
        <v>-9</v>
      </c>
      <c r="AS439" s="78">
        <f>IF((Consultas!AD439&gt;'Parâmetros'!$A$31),"X",(H439+I439+J439+Q439+T439+Y439+Z439+AJ439+AN439))</f>
        <v>-23</v>
      </c>
      <c r="AT439" s="78" t="str">
        <f>IF((Consultas!AD439&lt;'Parâmetros'!$A$31),"X",(AD439+AC439+AB439))</f>
        <v>X</v>
      </c>
      <c r="AU439" s="78">
        <f t="shared" si="1"/>
        <v>-23</v>
      </c>
      <c r="AV439" s="82" t="str">
        <f>IF(AQ439="N/A","N/A",IF(AQ439&gt;5,'Parâmetros'!$A$15,(IF(AU439=AR439,'Parâmetros'!$A$17,IF(AU439=AS439,'Parâmetros'!$A$16,'Parâmetros'!$A$14)))))</f>
        <v>N/A</v>
      </c>
      <c r="AW439" s="86" t="str">
        <f>IF(AQ439="N/A","N/A",IF(AV439='Parâmetros'!$A$15,'Parâmetros'!$C$15,(IF(AV439='Parâmetros'!$A$17,'Parâmetros'!$C$17,IF(AV439='Parâmetros'!$A$16,'Parâmetros'!$C$16,IF(AV439='Parâmetros'!$A$14,'Parâmetros'!$C$12))))))</f>
        <v>N/A</v>
      </c>
      <c r="AX439" s="82" t="b">
        <f>IF(Consultas!F439&gt;1,(IF(Consultas!F439&gt;5000,"SOLICITAR PED COMPRA","N/A")))</f>
        <v>0</v>
      </c>
      <c r="AY439" s="167" t="str">
        <f>IF(AND(Consultas!M439&lt;&gt;"S", Consultas!H439="S"), "CHECAGEM REVERSA", "N/A")</f>
        <v>N/A</v>
      </c>
      <c r="AZ439" s="167" t="str">
        <f>IF(Consultas!U439="N","PRECISA CORRIGIR END DIVERGENTE","N/A")</f>
        <v>N/A</v>
      </c>
    </row>
    <row r="440" ht="12.0" customHeight="1">
      <c r="A440" s="39" t="s">
        <v>90</v>
      </c>
      <c r="B440" s="82" t="str">
        <f>Consultas!B440</f>
        <v/>
      </c>
      <c r="C440" s="82" t="str">
        <f>Consultas!D440</f>
        <v/>
      </c>
      <c r="D440" s="96" t="str">
        <f>Consultas!E440</f>
        <v/>
      </c>
      <c r="E440" s="104" t="str">
        <f>IF(Consultas!AB440&gt;0,YEAR('Parâmetros'!$B$1)-YEAR(Consultas!AB440),"NA")</f>
        <v>NA</v>
      </c>
      <c r="F440" s="82">
        <f>IF(Consultas!F440&gt;'Parâmetros'!$B$2,-8,0)</f>
        <v>0</v>
      </c>
      <c r="G440" s="82">
        <f>IF(Consultas!H440='Parâmetros'!$E$1,100,0)</f>
        <v>0</v>
      </c>
      <c r="H440" s="82">
        <f>IF(Consultas!I440='Parâmetros'!$E$1,-4,12)</f>
        <v>12</v>
      </c>
      <c r="I440" s="82">
        <f>IF(Consultas!J440='Parâmetros'!$E$1,1,-13)</f>
        <v>-13</v>
      </c>
      <c r="J440" s="82">
        <f>IF(Consultas!K440='Parâmetros'!$E$1,2,-5)</f>
        <v>-5</v>
      </c>
      <c r="K440" s="82" t="str">
        <f>IF(Consultas!L440='Parâmetros'!$D$1,"SOLIC CONTRATO DE ENTREGA","N/A")</f>
        <v>N/A</v>
      </c>
      <c r="L440" s="82">
        <f>IF(Consultas!R440='Parâmetros'!$E$1,1,-3)</f>
        <v>-3</v>
      </c>
      <c r="M440" s="82" t="b">
        <f>IF(Consultas!S440&gt;1,(IF(Consultas!S440='Parâmetros'!$E$1,-3,9)))</f>
        <v>0</v>
      </c>
      <c r="N440" s="82">
        <f>IF(Consultas!T440="S",23,0)</f>
        <v>0</v>
      </c>
      <c r="O440" s="82">
        <f>IF(Consultas!U440='Parâmetros'!$E$1,-3,3)</f>
        <v>3</v>
      </c>
      <c r="P440" s="82">
        <f>IF(Consultas!V440='Parâmetros'!$E$1,-100,2)</f>
        <v>2</v>
      </c>
      <c r="Q440" s="82">
        <f>IF(Consultas!M440='Parâmetros'!$D$1,2,-9)</f>
        <v>-9</v>
      </c>
      <c r="R440" s="82">
        <f>IF(Consultas!N440="RJ",-12,0)</f>
        <v>0</v>
      </c>
      <c r="S440" s="82">
        <f>IF(Consultas!O440="-",-3,IF(Consultas!O440=0,-6,IF(Consultas!O440=5,0,IF(Consultas!O440=10,6))))</f>
        <v>-6</v>
      </c>
      <c r="T440" s="82">
        <f>IF(Consultas!M440="S",0,(IF(Consultas!P440="S",6,0)))</f>
        <v>0</v>
      </c>
      <c r="U440" s="82">
        <f>IF(Consultas!Q440&gt;97,9,IF(Consultas!Q440&gt;75,0,-7))</f>
        <v>-7</v>
      </c>
      <c r="V440" s="82">
        <f>IF(Consultas!W440='Parâmetros'!$E$1,1,-5)</f>
        <v>-5</v>
      </c>
      <c r="W440" s="82">
        <f>IF(Consultas!X440="S",3,-3)</f>
        <v>-3</v>
      </c>
      <c r="X440" s="82">
        <f>IF(Consultas!Y440="S",0,-7)</f>
        <v>-7</v>
      </c>
      <c r="Y440" s="82">
        <f>IF(Consultas!Z440='Parâmetros'!$E$1,2,-8)</f>
        <v>-8</v>
      </c>
      <c r="Z440" s="82">
        <f>IF(Consultas!AA440='Parâmetros'!$E$1,-15,1)</f>
        <v>1</v>
      </c>
      <c r="AA440" s="147" t="s">
        <v>140</v>
      </c>
      <c r="AB440" s="82" t="str">
        <f>IF(E440="NA","NA",IF(E440&gt;'Parâmetros'!$A$9,8,IF(E440&gt;'Parâmetros'!$A$8,4,IF(E440&gt;'Parâmetros'!$A$7,0,-6))))</f>
        <v>NA</v>
      </c>
      <c r="AC440" s="82">
        <f>IF(Consultas!AC440='Parâmetros'!$E$1,0,5)</f>
        <v>5</v>
      </c>
      <c r="AD440" s="82">
        <f>IF(Consultas!AH440='Parâmetros'!$D$1,-10,5)</f>
        <v>5</v>
      </c>
      <c r="AE440" s="82">
        <f>IF(Consultas!AI440&gt;(Consultas!F440*2),-10,0)</f>
        <v>0</v>
      </c>
      <c r="AF440" s="82" t="b">
        <f>IF(Consultas!AD440&gt;1,(IF(Consultas!AI440&gt;(Consultas!AD440),-20,4)))</f>
        <v>0</v>
      </c>
      <c r="AG440" s="82">
        <f>IF(Consultas!AG440='Parâmetros'!$E$1,0,-6)</f>
        <v>-6</v>
      </c>
      <c r="AH440" s="82">
        <f>IF(Consultas!AF440='Parâmetros'!$E$1,1,-5)</f>
        <v>-5</v>
      </c>
      <c r="AI440" s="82">
        <f>IF(Consultas!AJ440&gt;700,8,IF(Consultas!AJ440&gt;500,4,IF(Consultas!AJ440&gt;200,-4,IF(Consultas!AJ440&gt;1,-15,-20))))</f>
        <v>-20</v>
      </c>
      <c r="AJ440" s="82">
        <f>IF(Consultas!AD440='Parâmetros'!$E$10,0,IF(Consultas!AD440&gt;'Parâmetros'!$A$30,12,IF(Consultas!AD440&gt;'Parâmetros'!$A$31,6,IF(Consultas!AD440&gt;'Parâmetros'!$A$32,0,IF(Consultas!AD440&gt;'Parâmetros'!$A$33,0,IF(Consultas!AD440&gt;'Parâmetros'!$A$34,-3,IF(Consultas!AD440&gt;'Parâmetros'!$A$35,-7,-1)))))))</f>
        <v>-1</v>
      </c>
      <c r="AK440" s="82">
        <f>IF(Consultas!AO440='Parâmetros'!$D$1,3,-3)</f>
        <v>-3</v>
      </c>
      <c r="AL440" s="82">
        <f>IF(Consultas!AP440='Parâmetros'!$D$1,5,-3)</f>
        <v>-3</v>
      </c>
      <c r="AM440" s="82">
        <f>IF(Consultas!AL440="N",-6,0)</f>
        <v>0</v>
      </c>
      <c r="AN440" s="82">
        <f>IF(Consultas!AM440="N",-10,0)</f>
        <v>0</v>
      </c>
      <c r="AO440" s="82">
        <f>IF(Consultas!AN440="S",4,-2)</f>
        <v>-2</v>
      </c>
      <c r="AP440" s="39"/>
      <c r="AQ440" s="165" t="str">
        <f>IF(Consultas!F440&gt;1,(SUM(F440:AO440)),"N/A")</f>
        <v>N/A</v>
      </c>
      <c r="AR440" s="78">
        <f>IF((Consultas!AD440&gt;'Parâmetros'!$A$31),"X",AJ440+Y440+V440+AC440)</f>
        <v>-9</v>
      </c>
      <c r="AS440" s="78">
        <f>IF((Consultas!AD440&gt;'Parâmetros'!$A$31),"X",(H440+I440+J440+Q440+T440+Y440+Z440+AJ440+AN440))</f>
        <v>-23</v>
      </c>
      <c r="AT440" s="78" t="str">
        <f>IF((Consultas!AD440&lt;'Parâmetros'!$A$31),"X",(AD440+AC440+AB440))</f>
        <v>X</v>
      </c>
      <c r="AU440" s="78">
        <f t="shared" si="1"/>
        <v>-23</v>
      </c>
      <c r="AV440" s="82" t="str">
        <f>IF(AQ440="N/A","N/A",IF(AQ440&gt;5,'Parâmetros'!$A$15,(IF(AU440=AR440,'Parâmetros'!$A$17,IF(AU440=AS440,'Parâmetros'!$A$16,'Parâmetros'!$A$14)))))</f>
        <v>N/A</v>
      </c>
      <c r="AW440" s="86" t="str">
        <f>IF(AQ440="N/A","N/A",IF(AV440='Parâmetros'!$A$15,'Parâmetros'!$C$15,(IF(AV440='Parâmetros'!$A$17,'Parâmetros'!$C$17,IF(AV440='Parâmetros'!$A$16,'Parâmetros'!$C$16,IF(AV440='Parâmetros'!$A$14,'Parâmetros'!$C$12))))))</f>
        <v>N/A</v>
      </c>
      <c r="AX440" s="82" t="b">
        <f>IF(Consultas!F440&gt;1,(IF(Consultas!F440&gt;5000,"SOLICITAR PED COMPRA","N/A")))</f>
        <v>0</v>
      </c>
      <c r="AY440" s="167" t="str">
        <f>IF(AND(Consultas!M440&lt;&gt;"S", Consultas!H440="S"), "CHECAGEM REVERSA", "N/A")</f>
        <v>N/A</v>
      </c>
      <c r="AZ440" s="167" t="str">
        <f>IF(Consultas!U440="N","PRECISA CORRIGIR END DIVERGENTE","N/A")</f>
        <v>N/A</v>
      </c>
    </row>
    <row r="441" ht="12.0" customHeight="1">
      <c r="A441" s="39" t="s">
        <v>90</v>
      </c>
      <c r="B441" s="82" t="str">
        <f>Consultas!B441</f>
        <v/>
      </c>
      <c r="C441" s="82" t="str">
        <f>Consultas!D441</f>
        <v/>
      </c>
      <c r="D441" s="96" t="str">
        <f>Consultas!E441</f>
        <v/>
      </c>
      <c r="E441" s="104" t="str">
        <f>IF(Consultas!AB441&gt;0,YEAR('Parâmetros'!$B$1)-YEAR(Consultas!AB441),"NA")</f>
        <v>NA</v>
      </c>
      <c r="F441" s="82">
        <f>IF(Consultas!F441&gt;'Parâmetros'!$B$2,-8,0)</f>
        <v>0</v>
      </c>
      <c r="G441" s="82">
        <f>IF(Consultas!H441='Parâmetros'!$E$1,100,0)</f>
        <v>0</v>
      </c>
      <c r="H441" s="82">
        <f>IF(Consultas!I441='Parâmetros'!$E$1,-4,12)</f>
        <v>12</v>
      </c>
      <c r="I441" s="82">
        <f>IF(Consultas!J441='Parâmetros'!$E$1,1,-13)</f>
        <v>-13</v>
      </c>
      <c r="J441" s="82">
        <f>IF(Consultas!K441='Parâmetros'!$E$1,2,-5)</f>
        <v>-5</v>
      </c>
      <c r="K441" s="82" t="str">
        <f>IF(Consultas!L441='Parâmetros'!$D$1,"SOLIC CONTRATO DE ENTREGA","N/A")</f>
        <v>N/A</v>
      </c>
      <c r="L441" s="82">
        <f>IF(Consultas!R441='Parâmetros'!$E$1,1,-3)</f>
        <v>-3</v>
      </c>
      <c r="M441" s="82" t="b">
        <f>IF(Consultas!S441&gt;1,(IF(Consultas!S441='Parâmetros'!$E$1,-3,9)))</f>
        <v>0</v>
      </c>
      <c r="N441" s="82">
        <f>IF(Consultas!T441="S",23,0)</f>
        <v>0</v>
      </c>
      <c r="O441" s="82">
        <f>IF(Consultas!U441='Parâmetros'!$E$1,-3,3)</f>
        <v>3</v>
      </c>
      <c r="P441" s="82">
        <f>IF(Consultas!V441='Parâmetros'!$E$1,-100,2)</f>
        <v>2</v>
      </c>
      <c r="Q441" s="82">
        <f>IF(Consultas!M441='Parâmetros'!$D$1,2,-9)</f>
        <v>-9</v>
      </c>
      <c r="R441" s="82">
        <f>IF(Consultas!N441="RJ",-12,0)</f>
        <v>0</v>
      </c>
      <c r="S441" s="82">
        <f>IF(Consultas!O441="-",-3,IF(Consultas!O441=0,-6,IF(Consultas!O441=5,0,IF(Consultas!O441=10,6))))</f>
        <v>-6</v>
      </c>
      <c r="T441" s="82">
        <f>IF(Consultas!M441="S",0,(IF(Consultas!P441="S",6,0)))</f>
        <v>0</v>
      </c>
      <c r="U441" s="82">
        <f>IF(Consultas!Q441&gt;97,9,IF(Consultas!Q441&gt;75,0,-7))</f>
        <v>-7</v>
      </c>
      <c r="V441" s="82">
        <f>IF(Consultas!W441='Parâmetros'!$E$1,1,-5)</f>
        <v>-5</v>
      </c>
      <c r="W441" s="82">
        <f>IF(Consultas!X441="S",3,-3)</f>
        <v>-3</v>
      </c>
      <c r="X441" s="82">
        <f>IF(Consultas!Y441="S",0,-7)</f>
        <v>-7</v>
      </c>
      <c r="Y441" s="82">
        <f>IF(Consultas!Z441='Parâmetros'!$E$1,2,-8)</f>
        <v>-8</v>
      </c>
      <c r="Z441" s="82">
        <f>IF(Consultas!AA441='Parâmetros'!$E$1,-15,1)</f>
        <v>1</v>
      </c>
      <c r="AA441" s="147" t="s">
        <v>140</v>
      </c>
      <c r="AB441" s="82" t="str">
        <f>IF(E441="NA","NA",IF(E441&gt;'Parâmetros'!$A$9,8,IF(E441&gt;'Parâmetros'!$A$8,4,IF(E441&gt;'Parâmetros'!$A$7,0,-6))))</f>
        <v>NA</v>
      </c>
      <c r="AC441" s="82">
        <f>IF(Consultas!AC441='Parâmetros'!$E$1,0,5)</f>
        <v>5</v>
      </c>
      <c r="AD441" s="82">
        <f>IF(Consultas!AH441='Parâmetros'!$D$1,-10,5)</f>
        <v>5</v>
      </c>
      <c r="AE441" s="82">
        <f>IF(Consultas!AI441&gt;(Consultas!F441*2),-10,0)</f>
        <v>0</v>
      </c>
      <c r="AF441" s="82" t="b">
        <f>IF(Consultas!AD441&gt;1,(IF(Consultas!AI441&gt;(Consultas!AD441),-20,4)))</f>
        <v>0</v>
      </c>
      <c r="AG441" s="82">
        <f>IF(Consultas!AG441='Parâmetros'!$E$1,0,-6)</f>
        <v>-6</v>
      </c>
      <c r="AH441" s="82">
        <f>IF(Consultas!AF441='Parâmetros'!$E$1,1,-5)</f>
        <v>-5</v>
      </c>
      <c r="AI441" s="82">
        <f>IF(Consultas!AJ441&gt;700,8,IF(Consultas!AJ441&gt;500,4,IF(Consultas!AJ441&gt;200,-4,IF(Consultas!AJ441&gt;1,-15,-20))))</f>
        <v>-20</v>
      </c>
      <c r="AJ441" s="82">
        <f>IF(Consultas!AD441='Parâmetros'!$E$10,0,IF(Consultas!AD441&gt;'Parâmetros'!$A$30,12,IF(Consultas!AD441&gt;'Parâmetros'!$A$31,6,IF(Consultas!AD441&gt;'Parâmetros'!$A$32,0,IF(Consultas!AD441&gt;'Parâmetros'!$A$33,0,IF(Consultas!AD441&gt;'Parâmetros'!$A$34,-3,IF(Consultas!AD441&gt;'Parâmetros'!$A$35,-7,-1)))))))</f>
        <v>-1</v>
      </c>
      <c r="AK441" s="82">
        <f>IF(Consultas!AO441='Parâmetros'!$D$1,3,-3)</f>
        <v>-3</v>
      </c>
      <c r="AL441" s="82">
        <f>IF(Consultas!AP441='Parâmetros'!$D$1,5,-3)</f>
        <v>-3</v>
      </c>
      <c r="AM441" s="82">
        <f>IF(Consultas!AL441="N",-6,0)</f>
        <v>0</v>
      </c>
      <c r="AN441" s="82">
        <f>IF(Consultas!AM441="N",-10,0)</f>
        <v>0</v>
      </c>
      <c r="AO441" s="82">
        <f>IF(Consultas!AN441="S",4,-2)</f>
        <v>-2</v>
      </c>
      <c r="AP441" s="39"/>
      <c r="AQ441" s="165" t="str">
        <f>IF(Consultas!F441&gt;1,(SUM(F441:AO441)),"N/A")</f>
        <v>N/A</v>
      </c>
      <c r="AR441" s="78">
        <f>IF((Consultas!AD441&gt;'Parâmetros'!$A$31),"X",AJ441+Y441+V441+AC441)</f>
        <v>-9</v>
      </c>
      <c r="AS441" s="78">
        <f>IF((Consultas!AD441&gt;'Parâmetros'!$A$31),"X",(H441+I441+J441+Q441+T441+Y441+Z441+AJ441+AN441))</f>
        <v>-23</v>
      </c>
      <c r="AT441" s="78" t="str">
        <f>IF((Consultas!AD441&lt;'Parâmetros'!$A$31),"X",(AD441+AC441+AB441))</f>
        <v>X</v>
      </c>
      <c r="AU441" s="78">
        <f t="shared" si="1"/>
        <v>-23</v>
      </c>
      <c r="AV441" s="82" t="str">
        <f>IF(AQ441="N/A","N/A",IF(AQ441&gt;5,'Parâmetros'!$A$15,(IF(AU441=AR441,'Parâmetros'!$A$17,IF(AU441=AS441,'Parâmetros'!$A$16,'Parâmetros'!$A$14)))))</f>
        <v>N/A</v>
      </c>
      <c r="AW441" s="86" t="str">
        <f>IF(AQ441="N/A","N/A",IF(AV441='Parâmetros'!$A$15,'Parâmetros'!$C$15,(IF(AV441='Parâmetros'!$A$17,'Parâmetros'!$C$17,IF(AV441='Parâmetros'!$A$16,'Parâmetros'!$C$16,IF(AV441='Parâmetros'!$A$14,'Parâmetros'!$C$12))))))</f>
        <v>N/A</v>
      </c>
      <c r="AX441" s="82" t="b">
        <f>IF(Consultas!F441&gt;1,(IF(Consultas!F441&gt;5000,"SOLICITAR PED COMPRA","N/A")))</f>
        <v>0</v>
      </c>
      <c r="AY441" s="167" t="str">
        <f>IF(AND(Consultas!M441&lt;&gt;"S", Consultas!H441="S"), "CHECAGEM REVERSA", "N/A")</f>
        <v>N/A</v>
      </c>
      <c r="AZ441" s="167" t="str">
        <f>IF(Consultas!U441="N","PRECISA CORRIGIR END DIVERGENTE","N/A")</f>
        <v>N/A</v>
      </c>
    </row>
    <row r="442" ht="12.0" customHeight="1">
      <c r="A442" s="39" t="s">
        <v>90</v>
      </c>
      <c r="B442" s="82" t="str">
        <f>Consultas!B442</f>
        <v/>
      </c>
      <c r="C442" s="82" t="str">
        <f>Consultas!D442</f>
        <v/>
      </c>
      <c r="D442" s="96" t="str">
        <f>Consultas!E442</f>
        <v/>
      </c>
      <c r="E442" s="104" t="str">
        <f>IF(Consultas!AB442&gt;0,YEAR('Parâmetros'!$B$1)-YEAR(Consultas!AB442),"NA")</f>
        <v>NA</v>
      </c>
      <c r="F442" s="82">
        <f>IF(Consultas!F442&gt;'Parâmetros'!$B$2,-8,0)</f>
        <v>0</v>
      </c>
      <c r="G442" s="82">
        <f>IF(Consultas!H442='Parâmetros'!$E$1,100,0)</f>
        <v>0</v>
      </c>
      <c r="H442" s="82">
        <f>IF(Consultas!I442='Parâmetros'!$E$1,-4,12)</f>
        <v>12</v>
      </c>
      <c r="I442" s="82">
        <f>IF(Consultas!J442='Parâmetros'!$E$1,1,-13)</f>
        <v>-13</v>
      </c>
      <c r="J442" s="82">
        <f>IF(Consultas!K442='Parâmetros'!$E$1,2,-5)</f>
        <v>-5</v>
      </c>
      <c r="K442" s="82" t="str">
        <f>IF(Consultas!L442='Parâmetros'!$D$1,"SOLIC CONTRATO DE ENTREGA","N/A")</f>
        <v>N/A</v>
      </c>
      <c r="L442" s="82">
        <f>IF(Consultas!R442='Parâmetros'!$E$1,1,-3)</f>
        <v>-3</v>
      </c>
      <c r="M442" s="82" t="b">
        <f>IF(Consultas!S442&gt;1,(IF(Consultas!S442='Parâmetros'!$E$1,-3,9)))</f>
        <v>0</v>
      </c>
      <c r="N442" s="82">
        <f>IF(Consultas!T442="S",23,0)</f>
        <v>0</v>
      </c>
      <c r="O442" s="82">
        <f>IF(Consultas!U442='Parâmetros'!$E$1,-3,3)</f>
        <v>3</v>
      </c>
      <c r="P442" s="82">
        <f>IF(Consultas!V442='Parâmetros'!$E$1,-100,2)</f>
        <v>2</v>
      </c>
      <c r="Q442" s="82">
        <f>IF(Consultas!M442='Parâmetros'!$D$1,2,-9)</f>
        <v>-9</v>
      </c>
      <c r="R442" s="82">
        <f>IF(Consultas!N442="RJ",-12,0)</f>
        <v>0</v>
      </c>
      <c r="S442" s="82">
        <f>IF(Consultas!O442="-",-3,IF(Consultas!O442=0,-6,IF(Consultas!O442=5,0,IF(Consultas!O442=10,6))))</f>
        <v>-6</v>
      </c>
      <c r="T442" s="82">
        <f>IF(Consultas!M442="S",0,(IF(Consultas!P442="S",6,0)))</f>
        <v>0</v>
      </c>
      <c r="U442" s="82">
        <f>IF(Consultas!Q442&gt;97,9,IF(Consultas!Q442&gt;75,0,-7))</f>
        <v>-7</v>
      </c>
      <c r="V442" s="82">
        <f>IF(Consultas!W442='Parâmetros'!$E$1,1,-5)</f>
        <v>-5</v>
      </c>
      <c r="W442" s="82">
        <f>IF(Consultas!X442="S",3,-3)</f>
        <v>-3</v>
      </c>
      <c r="X442" s="82">
        <f>IF(Consultas!Y442="S",0,-7)</f>
        <v>-7</v>
      </c>
      <c r="Y442" s="82">
        <f>IF(Consultas!Z442='Parâmetros'!$E$1,2,-8)</f>
        <v>-8</v>
      </c>
      <c r="Z442" s="82">
        <f>IF(Consultas!AA442='Parâmetros'!$E$1,-15,1)</f>
        <v>1</v>
      </c>
      <c r="AA442" s="147" t="s">
        <v>140</v>
      </c>
      <c r="AB442" s="82" t="str">
        <f>IF(E442="NA","NA",IF(E442&gt;'Parâmetros'!$A$9,8,IF(E442&gt;'Parâmetros'!$A$8,4,IF(E442&gt;'Parâmetros'!$A$7,0,-6))))</f>
        <v>NA</v>
      </c>
      <c r="AC442" s="82">
        <f>IF(Consultas!AC442='Parâmetros'!$E$1,0,5)</f>
        <v>5</v>
      </c>
      <c r="AD442" s="82">
        <f>IF(Consultas!AH442='Parâmetros'!$D$1,-10,5)</f>
        <v>5</v>
      </c>
      <c r="AE442" s="82">
        <f>IF(Consultas!AI442&gt;(Consultas!F442*2),-10,0)</f>
        <v>0</v>
      </c>
      <c r="AF442" s="82" t="b">
        <f>IF(Consultas!AD442&gt;1,(IF(Consultas!AI442&gt;(Consultas!AD442),-20,4)))</f>
        <v>0</v>
      </c>
      <c r="AG442" s="82">
        <f>IF(Consultas!AG442='Parâmetros'!$E$1,0,-6)</f>
        <v>-6</v>
      </c>
      <c r="AH442" s="82">
        <f>IF(Consultas!AF442='Parâmetros'!$E$1,1,-5)</f>
        <v>-5</v>
      </c>
      <c r="AI442" s="82">
        <f>IF(Consultas!AJ442&gt;700,8,IF(Consultas!AJ442&gt;500,4,IF(Consultas!AJ442&gt;200,-4,IF(Consultas!AJ442&gt;1,-15,-20))))</f>
        <v>-20</v>
      </c>
      <c r="AJ442" s="82">
        <f>IF(Consultas!AD442='Parâmetros'!$E$10,0,IF(Consultas!AD442&gt;'Parâmetros'!$A$30,12,IF(Consultas!AD442&gt;'Parâmetros'!$A$31,6,IF(Consultas!AD442&gt;'Parâmetros'!$A$32,0,IF(Consultas!AD442&gt;'Parâmetros'!$A$33,0,IF(Consultas!AD442&gt;'Parâmetros'!$A$34,-3,IF(Consultas!AD442&gt;'Parâmetros'!$A$35,-7,-1)))))))</f>
        <v>-1</v>
      </c>
      <c r="AK442" s="82">
        <f>IF(Consultas!AO442='Parâmetros'!$D$1,3,-3)</f>
        <v>-3</v>
      </c>
      <c r="AL442" s="82">
        <f>IF(Consultas!AP442='Parâmetros'!$D$1,5,-3)</f>
        <v>-3</v>
      </c>
      <c r="AM442" s="82">
        <f>IF(Consultas!AL442="N",-6,0)</f>
        <v>0</v>
      </c>
      <c r="AN442" s="82">
        <f>IF(Consultas!AM442="N",-10,0)</f>
        <v>0</v>
      </c>
      <c r="AO442" s="82">
        <f>IF(Consultas!AN442="S",4,-2)</f>
        <v>-2</v>
      </c>
      <c r="AP442" s="39"/>
      <c r="AQ442" s="165" t="str">
        <f>IF(Consultas!F442&gt;1,(SUM(F442:AO442)),"N/A")</f>
        <v>N/A</v>
      </c>
      <c r="AR442" s="78">
        <f>IF((Consultas!AD442&gt;'Parâmetros'!$A$31),"X",AJ442+Y442+V442+AC442)</f>
        <v>-9</v>
      </c>
      <c r="AS442" s="78">
        <f>IF((Consultas!AD442&gt;'Parâmetros'!$A$31),"X",(H442+I442+J442+Q442+T442+Y442+Z442+AJ442+AN442))</f>
        <v>-23</v>
      </c>
      <c r="AT442" s="78" t="str">
        <f>IF((Consultas!AD442&lt;'Parâmetros'!$A$31),"X",(AD442+AC442+AB442))</f>
        <v>X</v>
      </c>
      <c r="AU442" s="78">
        <f t="shared" si="1"/>
        <v>-23</v>
      </c>
      <c r="AV442" s="82" t="str">
        <f>IF(AQ442="N/A","N/A",IF(AQ442&gt;5,'Parâmetros'!$A$15,(IF(AU442=AR442,'Parâmetros'!$A$17,IF(AU442=AS442,'Parâmetros'!$A$16,'Parâmetros'!$A$14)))))</f>
        <v>N/A</v>
      </c>
      <c r="AW442" s="86" t="str">
        <f>IF(AQ442="N/A","N/A",IF(AV442='Parâmetros'!$A$15,'Parâmetros'!$C$15,(IF(AV442='Parâmetros'!$A$17,'Parâmetros'!$C$17,IF(AV442='Parâmetros'!$A$16,'Parâmetros'!$C$16,IF(AV442='Parâmetros'!$A$14,'Parâmetros'!$C$12))))))</f>
        <v>N/A</v>
      </c>
      <c r="AX442" s="82" t="b">
        <f>IF(Consultas!F442&gt;1,(IF(Consultas!F442&gt;5000,"SOLICITAR PED COMPRA","N/A")))</f>
        <v>0</v>
      </c>
      <c r="AY442" s="167" t="str">
        <f>IF(AND(Consultas!M442&lt;&gt;"S", Consultas!H442="S"), "CHECAGEM REVERSA", "N/A")</f>
        <v>N/A</v>
      </c>
      <c r="AZ442" s="167" t="str">
        <f>IF(Consultas!U442="N","PRECISA CORRIGIR END DIVERGENTE","N/A")</f>
        <v>N/A</v>
      </c>
    </row>
    <row r="443" ht="12.0" customHeight="1">
      <c r="A443" s="39" t="s">
        <v>90</v>
      </c>
      <c r="B443" s="82" t="str">
        <f>Consultas!B443</f>
        <v/>
      </c>
      <c r="C443" s="82" t="str">
        <f>Consultas!D443</f>
        <v/>
      </c>
      <c r="D443" s="96" t="str">
        <f>Consultas!E443</f>
        <v/>
      </c>
      <c r="E443" s="104" t="str">
        <f>IF(Consultas!AB443&gt;0,YEAR('Parâmetros'!$B$1)-YEAR(Consultas!AB443),"NA")</f>
        <v>NA</v>
      </c>
      <c r="F443" s="82">
        <f>IF(Consultas!F443&gt;'Parâmetros'!$B$2,-8,0)</f>
        <v>0</v>
      </c>
      <c r="G443" s="82">
        <f>IF(Consultas!H443='Parâmetros'!$E$1,100,0)</f>
        <v>0</v>
      </c>
      <c r="H443" s="82">
        <f>IF(Consultas!I443='Parâmetros'!$E$1,-4,12)</f>
        <v>12</v>
      </c>
      <c r="I443" s="82">
        <f>IF(Consultas!J443='Parâmetros'!$E$1,1,-13)</f>
        <v>-13</v>
      </c>
      <c r="J443" s="82">
        <f>IF(Consultas!K443='Parâmetros'!$E$1,2,-5)</f>
        <v>-5</v>
      </c>
      <c r="K443" s="82" t="str">
        <f>IF(Consultas!L443='Parâmetros'!$D$1,"SOLIC CONTRATO DE ENTREGA","N/A")</f>
        <v>N/A</v>
      </c>
      <c r="L443" s="82">
        <f>IF(Consultas!R443='Parâmetros'!$E$1,1,-3)</f>
        <v>-3</v>
      </c>
      <c r="M443" s="82" t="b">
        <f>IF(Consultas!S443&gt;1,(IF(Consultas!S443='Parâmetros'!$E$1,-3,9)))</f>
        <v>0</v>
      </c>
      <c r="N443" s="82">
        <f>IF(Consultas!T443="S",23,0)</f>
        <v>0</v>
      </c>
      <c r="O443" s="82">
        <f>IF(Consultas!U443='Parâmetros'!$E$1,-3,3)</f>
        <v>3</v>
      </c>
      <c r="P443" s="82">
        <f>IF(Consultas!V443='Parâmetros'!$E$1,-100,2)</f>
        <v>2</v>
      </c>
      <c r="Q443" s="82">
        <f>IF(Consultas!M443='Parâmetros'!$D$1,2,-9)</f>
        <v>-9</v>
      </c>
      <c r="R443" s="82">
        <f>IF(Consultas!N443="RJ",-12,0)</f>
        <v>0</v>
      </c>
      <c r="S443" s="82">
        <f>IF(Consultas!O443="-",-3,IF(Consultas!O443=0,-6,IF(Consultas!O443=5,0,IF(Consultas!O443=10,6))))</f>
        <v>-6</v>
      </c>
      <c r="T443" s="82">
        <f>IF(Consultas!M443="S",0,(IF(Consultas!P443="S",6,0)))</f>
        <v>0</v>
      </c>
      <c r="U443" s="82">
        <f>IF(Consultas!Q443&gt;97,9,IF(Consultas!Q443&gt;75,0,-7))</f>
        <v>-7</v>
      </c>
      <c r="V443" s="82">
        <f>IF(Consultas!W443='Parâmetros'!$E$1,1,-5)</f>
        <v>-5</v>
      </c>
      <c r="W443" s="82">
        <f>IF(Consultas!X443="S",3,-3)</f>
        <v>-3</v>
      </c>
      <c r="X443" s="82">
        <f>IF(Consultas!Y443="S",0,-7)</f>
        <v>-7</v>
      </c>
      <c r="Y443" s="82">
        <f>IF(Consultas!Z443='Parâmetros'!$E$1,2,-8)</f>
        <v>-8</v>
      </c>
      <c r="Z443" s="82">
        <f>IF(Consultas!AA443='Parâmetros'!$E$1,-15,1)</f>
        <v>1</v>
      </c>
      <c r="AA443" s="147" t="s">
        <v>140</v>
      </c>
      <c r="AB443" s="82" t="str">
        <f>IF(E443="NA","NA",IF(E443&gt;'Parâmetros'!$A$9,8,IF(E443&gt;'Parâmetros'!$A$8,4,IF(E443&gt;'Parâmetros'!$A$7,0,-6))))</f>
        <v>NA</v>
      </c>
      <c r="AC443" s="82">
        <f>IF(Consultas!AC443='Parâmetros'!$E$1,0,5)</f>
        <v>5</v>
      </c>
      <c r="AD443" s="82">
        <f>IF(Consultas!AH443='Parâmetros'!$D$1,-10,5)</f>
        <v>5</v>
      </c>
      <c r="AE443" s="82">
        <f>IF(Consultas!AI443&gt;(Consultas!F443*2),-10,0)</f>
        <v>0</v>
      </c>
      <c r="AF443" s="82" t="b">
        <f>IF(Consultas!AD443&gt;1,(IF(Consultas!AI443&gt;(Consultas!AD443),-20,4)))</f>
        <v>0</v>
      </c>
      <c r="AG443" s="82">
        <f>IF(Consultas!AG443='Parâmetros'!$E$1,0,-6)</f>
        <v>-6</v>
      </c>
      <c r="AH443" s="82">
        <f>IF(Consultas!AF443='Parâmetros'!$E$1,1,-5)</f>
        <v>-5</v>
      </c>
      <c r="AI443" s="82">
        <f>IF(Consultas!AJ443&gt;700,8,IF(Consultas!AJ443&gt;500,4,IF(Consultas!AJ443&gt;200,-4,IF(Consultas!AJ443&gt;1,-15,-20))))</f>
        <v>-20</v>
      </c>
      <c r="AJ443" s="82">
        <f>IF(Consultas!AD443='Parâmetros'!$E$10,0,IF(Consultas!AD443&gt;'Parâmetros'!$A$30,12,IF(Consultas!AD443&gt;'Parâmetros'!$A$31,6,IF(Consultas!AD443&gt;'Parâmetros'!$A$32,0,IF(Consultas!AD443&gt;'Parâmetros'!$A$33,0,IF(Consultas!AD443&gt;'Parâmetros'!$A$34,-3,IF(Consultas!AD443&gt;'Parâmetros'!$A$35,-7,-1)))))))</f>
        <v>-1</v>
      </c>
      <c r="AK443" s="82">
        <f>IF(Consultas!AO443='Parâmetros'!$D$1,3,-3)</f>
        <v>-3</v>
      </c>
      <c r="AL443" s="82">
        <f>IF(Consultas!AP443='Parâmetros'!$D$1,5,-3)</f>
        <v>-3</v>
      </c>
      <c r="AM443" s="82">
        <f>IF(Consultas!AL443="N",-6,0)</f>
        <v>0</v>
      </c>
      <c r="AN443" s="82">
        <f>IF(Consultas!AM443="N",-10,0)</f>
        <v>0</v>
      </c>
      <c r="AO443" s="82">
        <f>IF(Consultas!AN443="S",4,-2)</f>
        <v>-2</v>
      </c>
      <c r="AP443" s="39"/>
      <c r="AQ443" s="165" t="str">
        <f>IF(Consultas!F443&gt;1,(SUM(F443:AO443)),"N/A")</f>
        <v>N/A</v>
      </c>
      <c r="AR443" s="78">
        <f>IF((Consultas!AD443&gt;'Parâmetros'!$A$31),"X",AJ443+Y443+V443+AC443)</f>
        <v>-9</v>
      </c>
      <c r="AS443" s="78">
        <f>IF((Consultas!AD443&gt;'Parâmetros'!$A$31),"X",(H443+I443+J443+Q443+T443+Y443+Z443+AJ443+AN443))</f>
        <v>-23</v>
      </c>
      <c r="AT443" s="78" t="str">
        <f>IF((Consultas!AD443&lt;'Parâmetros'!$A$31),"X",(AD443+AC443+AB443))</f>
        <v>X</v>
      </c>
      <c r="AU443" s="78">
        <f t="shared" si="1"/>
        <v>-23</v>
      </c>
      <c r="AV443" s="82" t="str">
        <f>IF(AQ443="N/A","N/A",IF(AQ443&gt;5,'Parâmetros'!$A$15,(IF(AU443=AR443,'Parâmetros'!$A$17,IF(AU443=AS443,'Parâmetros'!$A$16,'Parâmetros'!$A$14)))))</f>
        <v>N/A</v>
      </c>
      <c r="AW443" s="86" t="str">
        <f>IF(AQ443="N/A","N/A",IF(AV443='Parâmetros'!$A$15,'Parâmetros'!$C$15,(IF(AV443='Parâmetros'!$A$17,'Parâmetros'!$C$17,IF(AV443='Parâmetros'!$A$16,'Parâmetros'!$C$16,IF(AV443='Parâmetros'!$A$14,'Parâmetros'!$C$12))))))</f>
        <v>N/A</v>
      </c>
      <c r="AX443" s="82" t="b">
        <f>IF(Consultas!F443&gt;1,(IF(Consultas!F443&gt;5000,"SOLICITAR PED COMPRA","N/A")))</f>
        <v>0</v>
      </c>
      <c r="AY443" s="167" t="str">
        <f>IF(AND(Consultas!M443&lt;&gt;"S", Consultas!H443="S"), "CHECAGEM REVERSA", "N/A")</f>
        <v>N/A</v>
      </c>
      <c r="AZ443" s="167" t="str">
        <f>IF(Consultas!U443="N","PRECISA CORRIGIR END DIVERGENTE","N/A")</f>
        <v>N/A</v>
      </c>
    </row>
    <row r="444" ht="12.0" customHeight="1">
      <c r="A444" s="39" t="s">
        <v>90</v>
      </c>
      <c r="B444" s="82" t="str">
        <f>Consultas!B444</f>
        <v/>
      </c>
      <c r="C444" s="82" t="str">
        <f>Consultas!D444</f>
        <v/>
      </c>
      <c r="D444" s="96" t="str">
        <f>Consultas!E444</f>
        <v/>
      </c>
      <c r="E444" s="104" t="str">
        <f>IF(Consultas!AB444&gt;0,YEAR('Parâmetros'!$B$1)-YEAR(Consultas!AB444),"NA")</f>
        <v>NA</v>
      </c>
      <c r="F444" s="82">
        <f>IF(Consultas!F444&gt;'Parâmetros'!$B$2,-8,0)</f>
        <v>0</v>
      </c>
      <c r="G444" s="82">
        <f>IF(Consultas!H444='Parâmetros'!$E$1,100,0)</f>
        <v>0</v>
      </c>
      <c r="H444" s="82">
        <f>IF(Consultas!I444='Parâmetros'!$E$1,-4,12)</f>
        <v>12</v>
      </c>
      <c r="I444" s="82">
        <f>IF(Consultas!J444='Parâmetros'!$E$1,1,-13)</f>
        <v>-13</v>
      </c>
      <c r="J444" s="82">
        <f>IF(Consultas!K444='Parâmetros'!$E$1,2,-5)</f>
        <v>-5</v>
      </c>
      <c r="K444" s="82" t="str">
        <f>IF(Consultas!L444='Parâmetros'!$D$1,"SOLIC CONTRATO DE ENTREGA","N/A")</f>
        <v>N/A</v>
      </c>
      <c r="L444" s="82">
        <f>IF(Consultas!R444='Parâmetros'!$E$1,1,-3)</f>
        <v>-3</v>
      </c>
      <c r="M444" s="82" t="b">
        <f>IF(Consultas!S444&gt;1,(IF(Consultas!S444='Parâmetros'!$E$1,-3,9)))</f>
        <v>0</v>
      </c>
      <c r="N444" s="82">
        <f>IF(Consultas!T444="S",23,0)</f>
        <v>0</v>
      </c>
      <c r="O444" s="82">
        <f>IF(Consultas!U444='Parâmetros'!$E$1,-3,3)</f>
        <v>3</v>
      </c>
      <c r="P444" s="82">
        <f>IF(Consultas!V444='Parâmetros'!$E$1,-100,2)</f>
        <v>2</v>
      </c>
      <c r="Q444" s="82">
        <f>IF(Consultas!M444='Parâmetros'!$D$1,2,-9)</f>
        <v>-9</v>
      </c>
      <c r="R444" s="82">
        <f>IF(Consultas!N444="RJ",-12,0)</f>
        <v>0</v>
      </c>
      <c r="S444" s="82">
        <f>IF(Consultas!O444="-",-3,IF(Consultas!O444=0,-6,IF(Consultas!O444=5,0,IF(Consultas!O444=10,6))))</f>
        <v>-6</v>
      </c>
      <c r="T444" s="82">
        <f>IF(Consultas!M444="S",0,(IF(Consultas!P444="S",6,0)))</f>
        <v>0</v>
      </c>
      <c r="U444" s="82">
        <f>IF(Consultas!Q444&gt;97,9,IF(Consultas!Q444&gt;75,0,-7))</f>
        <v>-7</v>
      </c>
      <c r="V444" s="82">
        <f>IF(Consultas!W444='Parâmetros'!$E$1,1,-5)</f>
        <v>-5</v>
      </c>
      <c r="W444" s="82">
        <f>IF(Consultas!X444="S",3,-3)</f>
        <v>-3</v>
      </c>
      <c r="X444" s="82">
        <f>IF(Consultas!Y444="S",0,-7)</f>
        <v>-7</v>
      </c>
      <c r="Y444" s="82">
        <f>IF(Consultas!Z444='Parâmetros'!$E$1,2,-8)</f>
        <v>-8</v>
      </c>
      <c r="Z444" s="82">
        <f>IF(Consultas!AA444='Parâmetros'!$E$1,-15,1)</f>
        <v>1</v>
      </c>
      <c r="AA444" s="147" t="s">
        <v>140</v>
      </c>
      <c r="AB444" s="82" t="str">
        <f>IF(E444="NA","NA",IF(E444&gt;'Parâmetros'!$A$9,8,IF(E444&gt;'Parâmetros'!$A$8,4,IF(E444&gt;'Parâmetros'!$A$7,0,-6))))</f>
        <v>NA</v>
      </c>
      <c r="AC444" s="82">
        <f>IF(Consultas!AC444='Parâmetros'!$E$1,0,5)</f>
        <v>5</v>
      </c>
      <c r="AD444" s="82">
        <f>IF(Consultas!AH444='Parâmetros'!$D$1,-10,5)</f>
        <v>5</v>
      </c>
      <c r="AE444" s="82">
        <f>IF(Consultas!AI444&gt;(Consultas!F444*2),-10,0)</f>
        <v>0</v>
      </c>
      <c r="AF444" s="82" t="b">
        <f>IF(Consultas!AD444&gt;1,(IF(Consultas!AI444&gt;(Consultas!AD444),-20,4)))</f>
        <v>0</v>
      </c>
      <c r="AG444" s="82">
        <f>IF(Consultas!AG444='Parâmetros'!$E$1,0,-6)</f>
        <v>-6</v>
      </c>
      <c r="AH444" s="82">
        <f>IF(Consultas!AF444='Parâmetros'!$E$1,1,-5)</f>
        <v>-5</v>
      </c>
      <c r="AI444" s="82">
        <f>IF(Consultas!AJ444&gt;700,8,IF(Consultas!AJ444&gt;500,4,IF(Consultas!AJ444&gt;200,-4,IF(Consultas!AJ444&gt;1,-15,-20))))</f>
        <v>-20</v>
      </c>
      <c r="AJ444" s="82">
        <f>IF(Consultas!AD444='Parâmetros'!$E$10,0,IF(Consultas!AD444&gt;'Parâmetros'!$A$30,12,IF(Consultas!AD444&gt;'Parâmetros'!$A$31,6,IF(Consultas!AD444&gt;'Parâmetros'!$A$32,0,IF(Consultas!AD444&gt;'Parâmetros'!$A$33,0,IF(Consultas!AD444&gt;'Parâmetros'!$A$34,-3,IF(Consultas!AD444&gt;'Parâmetros'!$A$35,-7,-1)))))))</f>
        <v>-1</v>
      </c>
      <c r="AK444" s="82">
        <f>IF(Consultas!AO444='Parâmetros'!$D$1,3,-3)</f>
        <v>-3</v>
      </c>
      <c r="AL444" s="82">
        <f>IF(Consultas!AP444='Parâmetros'!$D$1,5,-3)</f>
        <v>-3</v>
      </c>
      <c r="AM444" s="82">
        <f>IF(Consultas!AL444="N",-6,0)</f>
        <v>0</v>
      </c>
      <c r="AN444" s="82">
        <f>IF(Consultas!AM444="N",-10,0)</f>
        <v>0</v>
      </c>
      <c r="AO444" s="82">
        <f>IF(Consultas!AN444="S",4,-2)</f>
        <v>-2</v>
      </c>
      <c r="AP444" s="39"/>
      <c r="AQ444" s="165" t="str">
        <f>IF(Consultas!F444&gt;1,(SUM(F444:AO444)),"N/A")</f>
        <v>N/A</v>
      </c>
      <c r="AR444" s="78">
        <f>IF((Consultas!AD444&gt;'Parâmetros'!$A$31),"X",AJ444+Y444+V444+AC444)</f>
        <v>-9</v>
      </c>
      <c r="AS444" s="78">
        <f>IF((Consultas!AD444&gt;'Parâmetros'!$A$31),"X",(H444+I444+J444+Q444+T444+Y444+Z444+AJ444+AN444))</f>
        <v>-23</v>
      </c>
      <c r="AT444" s="78" t="str">
        <f>IF((Consultas!AD444&lt;'Parâmetros'!$A$31),"X",(AD444+AC444+AB444))</f>
        <v>X</v>
      </c>
      <c r="AU444" s="78">
        <f t="shared" si="1"/>
        <v>-23</v>
      </c>
      <c r="AV444" s="82" t="str">
        <f>IF(AQ444="N/A","N/A",IF(AQ444&gt;5,'Parâmetros'!$A$15,(IF(AU444=AR444,'Parâmetros'!$A$17,IF(AU444=AS444,'Parâmetros'!$A$16,'Parâmetros'!$A$14)))))</f>
        <v>N/A</v>
      </c>
      <c r="AW444" s="86" t="str">
        <f>IF(AQ444="N/A","N/A",IF(AV444='Parâmetros'!$A$15,'Parâmetros'!$C$15,(IF(AV444='Parâmetros'!$A$17,'Parâmetros'!$C$17,IF(AV444='Parâmetros'!$A$16,'Parâmetros'!$C$16,IF(AV444='Parâmetros'!$A$14,'Parâmetros'!$C$12))))))</f>
        <v>N/A</v>
      </c>
      <c r="AX444" s="82" t="b">
        <f>IF(Consultas!F444&gt;1,(IF(Consultas!F444&gt;5000,"SOLICITAR PED COMPRA","N/A")))</f>
        <v>0</v>
      </c>
      <c r="AY444" s="167" t="str">
        <f>IF(AND(Consultas!M444&lt;&gt;"S", Consultas!H444="S"), "CHECAGEM REVERSA", "N/A")</f>
        <v>N/A</v>
      </c>
      <c r="AZ444" s="167" t="str">
        <f>IF(Consultas!U444="N","PRECISA CORRIGIR END DIVERGENTE","N/A")</f>
        <v>N/A</v>
      </c>
    </row>
    <row r="445" ht="12.0" customHeight="1">
      <c r="A445" s="39" t="s">
        <v>90</v>
      </c>
      <c r="B445" s="82" t="str">
        <f>Consultas!B445</f>
        <v/>
      </c>
      <c r="C445" s="82" t="str">
        <f>Consultas!D445</f>
        <v/>
      </c>
      <c r="D445" s="96" t="str">
        <f>Consultas!E445</f>
        <v/>
      </c>
      <c r="E445" s="104" t="str">
        <f>IF(Consultas!AB445&gt;0,YEAR('Parâmetros'!$B$1)-YEAR(Consultas!AB445),"NA")</f>
        <v>NA</v>
      </c>
      <c r="F445" s="82">
        <f>IF(Consultas!F445&gt;'Parâmetros'!$B$2,-8,0)</f>
        <v>0</v>
      </c>
      <c r="G445" s="82">
        <f>IF(Consultas!H445='Parâmetros'!$E$1,100,0)</f>
        <v>0</v>
      </c>
      <c r="H445" s="82">
        <f>IF(Consultas!I445='Parâmetros'!$E$1,-4,12)</f>
        <v>12</v>
      </c>
      <c r="I445" s="82">
        <f>IF(Consultas!J445='Parâmetros'!$E$1,1,-13)</f>
        <v>-13</v>
      </c>
      <c r="J445" s="82">
        <f>IF(Consultas!K445='Parâmetros'!$E$1,2,-5)</f>
        <v>-5</v>
      </c>
      <c r="K445" s="82" t="str">
        <f>IF(Consultas!L445='Parâmetros'!$D$1,"SOLIC CONTRATO DE ENTREGA","N/A")</f>
        <v>N/A</v>
      </c>
      <c r="L445" s="82">
        <f>IF(Consultas!R445='Parâmetros'!$E$1,1,-3)</f>
        <v>-3</v>
      </c>
      <c r="M445" s="82" t="b">
        <f>IF(Consultas!S445&gt;1,(IF(Consultas!S445='Parâmetros'!$E$1,-3,9)))</f>
        <v>0</v>
      </c>
      <c r="N445" s="82">
        <f>IF(Consultas!T445="S",23,0)</f>
        <v>0</v>
      </c>
      <c r="O445" s="82">
        <f>IF(Consultas!U445='Parâmetros'!$E$1,-3,3)</f>
        <v>3</v>
      </c>
      <c r="P445" s="82">
        <f>IF(Consultas!V445='Parâmetros'!$E$1,-100,2)</f>
        <v>2</v>
      </c>
      <c r="Q445" s="82">
        <f>IF(Consultas!M445='Parâmetros'!$D$1,2,-9)</f>
        <v>-9</v>
      </c>
      <c r="R445" s="82">
        <f>IF(Consultas!N445="RJ",-12,0)</f>
        <v>0</v>
      </c>
      <c r="S445" s="82">
        <f>IF(Consultas!O445="-",-3,IF(Consultas!O445=0,-6,IF(Consultas!O445=5,0,IF(Consultas!O445=10,6))))</f>
        <v>-6</v>
      </c>
      <c r="T445" s="82">
        <f>IF(Consultas!M445="S",0,(IF(Consultas!P445="S",6,0)))</f>
        <v>0</v>
      </c>
      <c r="U445" s="82">
        <f>IF(Consultas!Q445&gt;97,9,IF(Consultas!Q445&gt;75,0,-7))</f>
        <v>-7</v>
      </c>
      <c r="V445" s="82">
        <f>IF(Consultas!W445='Parâmetros'!$E$1,1,-5)</f>
        <v>-5</v>
      </c>
      <c r="W445" s="82">
        <f>IF(Consultas!X445="S",3,-3)</f>
        <v>-3</v>
      </c>
      <c r="X445" s="82">
        <f>IF(Consultas!Y445="S",0,-7)</f>
        <v>-7</v>
      </c>
      <c r="Y445" s="82">
        <f>IF(Consultas!Z445='Parâmetros'!$E$1,2,-8)</f>
        <v>-8</v>
      </c>
      <c r="Z445" s="82">
        <f>IF(Consultas!AA445='Parâmetros'!$E$1,-15,1)</f>
        <v>1</v>
      </c>
      <c r="AA445" s="147" t="s">
        <v>140</v>
      </c>
      <c r="AB445" s="82" t="str">
        <f>IF(E445="NA","NA",IF(E445&gt;'Parâmetros'!$A$9,8,IF(E445&gt;'Parâmetros'!$A$8,4,IF(E445&gt;'Parâmetros'!$A$7,0,-6))))</f>
        <v>NA</v>
      </c>
      <c r="AC445" s="82">
        <f>IF(Consultas!AC445='Parâmetros'!$E$1,0,5)</f>
        <v>5</v>
      </c>
      <c r="AD445" s="82">
        <f>IF(Consultas!AH445='Parâmetros'!$D$1,-10,5)</f>
        <v>5</v>
      </c>
      <c r="AE445" s="82">
        <f>IF(Consultas!AI445&gt;(Consultas!F445*2),-10,0)</f>
        <v>0</v>
      </c>
      <c r="AF445" s="82" t="b">
        <f>IF(Consultas!AD445&gt;1,(IF(Consultas!AI445&gt;(Consultas!AD445),-20,4)))</f>
        <v>0</v>
      </c>
      <c r="AG445" s="82">
        <f>IF(Consultas!AG445='Parâmetros'!$E$1,0,-6)</f>
        <v>-6</v>
      </c>
      <c r="AH445" s="82">
        <f>IF(Consultas!AF445='Parâmetros'!$E$1,1,-5)</f>
        <v>-5</v>
      </c>
      <c r="AI445" s="82">
        <f>IF(Consultas!AJ445&gt;700,8,IF(Consultas!AJ445&gt;500,4,IF(Consultas!AJ445&gt;200,-4,IF(Consultas!AJ445&gt;1,-15,-20))))</f>
        <v>-20</v>
      </c>
      <c r="AJ445" s="82">
        <f>IF(Consultas!AD445='Parâmetros'!$E$10,0,IF(Consultas!AD445&gt;'Parâmetros'!$A$30,12,IF(Consultas!AD445&gt;'Parâmetros'!$A$31,6,IF(Consultas!AD445&gt;'Parâmetros'!$A$32,0,IF(Consultas!AD445&gt;'Parâmetros'!$A$33,0,IF(Consultas!AD445&gt;'Parâmetros'!$A$34,-3,IF(Consultas!AD445&gt;'Parâmetros'!$A$35,-7,-1)))))))</f>
        <v>-1</v>
      </c>
      <c r="AK445" s="82">
        <f>IF(Consultas!AO445='Parâmetros'!$D$1,3,-3)</f>
        <v>-3</v>
      </c>
      <c r="AL445" s="82">
        <f>IF(Consultas!AP445='Parâmetros'!$D$1,5,-3)</f>
        <v>-3</v>
      </c>
      <c r="AM445" s="82">
        <f>IF(Consultas!AL445="N",-6,0)</f>
        <v>0</v>
      </c>
      <c r="AN445" s="82">
        <f>IF(Consultas!AM445="N",-10,0)</f>
        <v>0</v>
      </c>
      <c r="AO445" s="82">
        <f>IF(Consultas!AN445="S",4,-2)</f>
        <v>-2</v>
      </c>
      <c r="AP445" s="39"/>
      <c r="AQ445" s="165" t="str">
        <f>IF(Consultas!F445&gt;1,(SUM(F445:AO445)),"N/A")</f>
        <v>N/A</v>
      </c>
      <c r="AR445" s="78">
        <f>IF((Consultas!AD445&gt;'Parâmetros'!$A$31),"X",AJ445+Y445+V445+AC445)</f>
        <v>-9</v>
      </c>
      <c r="AS445" s="78">
        <f>IF((Consultas!AD445&gt;'Parâmetros'!$A$31),"X",(H445+I445+J445+Q445+T445+Y445+Z445+AJ445+AN445))</f>
        <v>-23</v>
      </c>
      <c r="AT445" s="78" t="str">
        <f>IF((Consultas!AD445&lt;'Parâmetros'!$A$31),"X",(AD445+AC445+AB445))</f>
        <v>X</v>
      </c>
      <c r="AU445" s="78">
        <f t="shared" si="1"/>
        <v>-23</v>
      </c>
      <c r="AV445" s="82" t="str">
        <f>IF(AQ445="N/A","N/A",IF(AQ445&gt;5,'Parâmetros'!$A$15,(IF(AU445=AR445,'Parâmetros'!$A$17,IF(AU445=AS445,'Parâmetros'!$A$16,'Parâmetros'!$A$14)))))</f>
        <v>N/A</v>
      </c>
      <c r="AW445" s="86" t="str">
        <f>IF(AQ445="N/A","N/A",IF(AV445='Parâmetros'!$A$15,'Parâmetros'!$C$15,(IF(AV445='Parâmetros'!$A$17,'Parâmetros'!$C$17,IF(AV445='Parâmetros'!$A$16,'Parâmetros'!$C$16,IF(AV445='Parâmetros'!$A$14,'Parâmetros'!$C$12))))))</f>
        <v>N/A</v>
      </c>
      <c r="AX445" s="82" t="b">
        <f>IF(Consultas!F445&gt;1,(IF(Consultas!F445&gt;5000,"SOLICITAR PED COMPRA","N/A")))</f>
        <v>0</v>
      </c>
      <c r="AY445" s="167" t="str">
        <f>IF(AND(Consultas!M445&lt;&gt;"S", Consultas!H445="S"), "CHECAGEM REVERSA", "N/A")</f>
        <v>N/A</v>
      </c>
      <c r="AZ445" s="167" t="str">
        <f>IF(Consultas!U445="N","PRECISA CORRIGIR END DIVERGENTE","N/A")</f>
        <v>N/A</v>
      </c>
    </row>
    <row r="446" ht="12.0" customHeight="1">
      <c r="A446" s="39" t="s">
        <v>90</v>
      </c>
      <c r="B446" s="82" t="str">
        <f>Consultas!B446</f>
        <v/>
      </c>
      <c r="C446" s="82" t="str">
        <f>Consultas!D446</f>
        <v/>
      </c>
      <c r="D446" s="96" t="str">
        <f>Consultas!E446</f>
        <v/>
      </c>
      <c r="E446" s="104" t="str">
        <f>IF(Consultas!AB446&gt;0,YEAR('Parâmetros'!$B$1)-YEAR(Consultas!AB446),"NA")</f>
        <v>NA</v>
      </c>
      <c r="F446" s="82">
        <f>IF(Consultas!F446&gt;'Parâmetros'!$B$2,-8,0)</f>
        <v>0</v>
      </c>
      <c r="G446" s="82">
        <f>IF(Consultas!H446='Parâmetros'!$E$1,100,0)</f>
        <v>0</v>
      </c>
      <c r="H446" s="82">
        <f>IF(Consultas!I446='Parâmetros'!$E$1,-4,12)</f>
        <v>12</v>
      </c>
      <c r="I446" s="82">
        <f>IF(Consultas!J446='Parâmetros'!$E$1,1,-13)</f>
        <v>-13</v>
      </c>
      <c r="J446" s="82">
        <f>IF(Consultas!K446='Parâmetros'!$E$1,2,-5)</f>
        <v>-5</v>
      </c>
      <c r="K446" s="82" t="str">
        <f>IF(Consultas!L446='Parâmetros'!$D$1,"SOLIC CONTRATO DE ENTREGA","N/A")</f>
        <v>N/A</v>
      </c>
      <c r="L446" s="82">
        <f>IF(Consultas!R446='Parâmetros'!$E$1,1,-3)</f>
        <v>-3</v>
      </c>
      <c r="M446" s="82" t="b">
        <f>IF(Consultas!S446&gt;1,(IF(Consultas!S446='Parâmetros'!$E$1,-3,9)))</f>
        <v>0</v>
      </c>
      <c r="N446" s="82">
        <f>IF(Consultas!T446="S",23,0)</f>
        <v>0</v>
      </c>
      <c r="O446" s="82">
        <f>IF(Consultas!U446='Parâmetros'!$E$1,-3,3)</f>
        <v>3</v>
      </c>
      <c r="P446" s="82">
        <f>IF(Consultas!V446='Parâmetros'!$E$1,-100,2)</f>
        <v>2</v>
      </c>
      <c r="Q446" s="82">
        <f>IF(Consultas!M446='Parâmetros'!$D$1,2,-9)</f>
        <v>-9</v>
      </c>
      <c r="R446" s="82">
        <f>IF(Consultas!N446="RJ",-12,0)</f>
        <v>0</v>
      </c>
      <c r="S446" s="82">
        <f>IF(Consultas!O446="-",-3,IF(Consultas!O446=0,-6,IF(Consultas!O446=5,0,IF(Consultas!O446=10,6))))</f>
        <v>-6</v>
      </c>
      <c r="T446" s="82">
        <f>IF(Consultas!M446="S",0,(IF(Consultas!P446="S",6,0)))</f>
        <v>0</v>
      </c>
      <c r="U446" s="82">
        <f>IF(Consultas!Q446&gt;97,9,IF(Consultas!Q446&gt;75,0,-7))</f>
        <v>-7</v>
      </c>
      <c r="V446" s="82">
        <f>IF(Consultas!W446='Parâmetros'!$E$1,1,-5)</f>
        <v>-5</v>
      </c>
      <c r="W446" s="82">
        <f>IF(Consultas!X446="S",3,-3)</f>
        <v>-3</v>
      </c>
      <c r="X446" s="82">
        <f>IF(Consultas!Y446="S",0,-7)</f>
        <v>-7</v>
      </c>
      <c r="Y446" s="82">
        <f>IF(Consultas!Z446='Parâmetros'!$E$1,2,-8)</f>
        <v>-8</v>
      </c>
      <c r="Z446" s="82">
        <f>IF(Consultas!AA446='Parâmetros'!$E$1,-15,1)</f>
        <v>1</v>
      </c>
      <c r="AA446" s="147" t="s">
        <v>140</v>
      </c>
      <c r="AB446" s="82" t="str">
        <f>IF(E446="NA","NA",IF(E446&gt;'Parâmetros'!$A$9,8,IF(E446&gt;'Parâmetros'!$A$8,4,IF(E446&gt;'Parâmetros'!$A$7,0,-6))))</f>
        <v>NA</v>
      </c>
      <c r="AC446" s="82">
        <f>IF(Consultas!AC446='Parâmetros'!$E$1,0,5)</f>
        <v>5</v>
      </c>
      <c r="AD446" s="82">
        <f>IF(Consultas!AH446='Parâmetros'!$D$1,-10,5)</f>
        <v>5</v>
      </c>
      <c r="AE446" s="82">
        <f>IF(Consultas!AI446&gt;(Consultas!F446*2),-10,0)</f>
        <v>0</v>
      </c>
      <c r="AF446" s="82" t="b">
        <f>IF(Consultas!AD446&gt;1,(IF(Consultas!AI446&gt;(Consultas!AD446),-20,4)))</f>
        <v>0</v>
      </c>
      <c r="AG446" s="82">
        <f>IF(Consultas!AG446='Parâmetros'!$E$1,0,-6)</f>
        <v>-6</v>
      </c>
      <c r="AH446" s="82">
        <f>IF(Consultas!AF446='Parâmetros'!$E$1,1,-5)</f>
        <v>-5</v>
      </c>
      <c r="AI446" s="82">
        <f>IF(Consultas!AJ446&gt;700,8,IF(Consultas!AJ446&gt;500,4,IF(Consultas!AJ446&gt;200,-4,IF(Consultas!AJ446&gt;1,-15,-20))))</f>
        <v>-20</v>
      </c>
      <c r="AJ446" s="82">
        <f>IF(Consultas!AD446='Parâmetros'!$E$10,0,IF(Consultas!AD446&gt;'Parâmetros'!$A$30,12,IF(Consultas!AD446&gt;'Parâmetros'!$A$31,6,IF(Consultas!AD446&gt;'Parâmetros'!$A$32,0,IF(Consultas!AD446&gt;'Parâmetros'!$A$33,0,IF(Consultas!AD446&gt;'Parâmetros'!$A$34,-3,IF(Consultas!AD446&gt;'Parâmetros'!$A$35,-7,-1)))))))</f>
        <v>-1</v>
      </c>
      <c r="AK446" s="82">
        <f>IF(Consultas!AO446='Parâmetros'!$D$1,3,-3)</f>
        <v>-3</v>
      </c>
      <c r="AL446" s="82">
        <f>IF(Consultas!AP446='Parâmetros'!$D$1,5,-3)</f>
        <v>-3</v>
      </c>
      <c r="AM446" s="82">
        <f>IF(Consultas!AL446="N",-6,0)</f>
        <v>0</v>
      </c>
      <c r="AN446" s="82">
        <f>IF(Consultas!AM446="N",-10,0)</f>
        <v>0</v>
      </c>
      <c r="AO446" s="82">
        <f>IF(Consultas!AN446="S",4,-2)</f>
        <v>-2</v>
      </c>
      <c r="AP446" s="39"/>
      <c r="AQ446" s="165" t="str">
        <f>IF(Consultas!F446&gt;1,(SUM(F446:AO446)),"N/A")</f>
        <v>N/A</v>
      </c>
      <c r="AR446" s="78">
        <f>IF((Consultas!AD446&gt;'Parâmetros'!$A$31),"X",AJ446+Y446+V446+AC446)</f>
        <v>-9</v>
      </c>
      <c r="AS446" s="78">
        <f>IF((Consultas!AD446&gt;'Parâmetros'!$A$31),"X",(H446+I446+J446+Q446+T446+Y446+Z446+AJ446+AN446))</f>
        <v>-23</v>
      </c>
      <c r="AT446" s="78" t="str">
        <f>IF((Consultas!AD446&lt;'Parâmetros'!$A$31),"X",(AD446+AC446+AB446))</f>
        <v>X</v>
      </c>
      <c r="AU446" s="78">
        <f t="shared" si="1"/>
        <v>-23</v>
      </c>
      <c r="AV446" s="82" t="str">
        <f>IF(AQ446="N/A","N/A",IF(AQ446&gt;5,'Parâmetros'!$A$15,(IF(AU446=AR446,'Parâmetros'!$A$17,IF(AU446=AS446,'Parâmetros'!$A$16,'Parâmetros'!$A$14)))))</f>
        <v>N/A</v>
      </c>
      <c r="AW446" s="86" t="str">
        <f>IF(AQ446="N/A","N/A",IF(AV446='Parâmetros'!$A$15,'Parâmetros'!$C$15,(IF(AV446='Parâmetros'!$A$17,'Parâmetros'!$C$17,IF(AV446='Parâmetros'!$A$16,'Parâmetros'!$C$16,IF(AV446='Parâmetros'!$A$14,'Parâmetros'!$C$12))))))</f>
        <v>N/A</v>
      </c>
      <c r="AX446" s="82" t="b">
        <f>IF(Consultas!F446&gt;1,(IF(Consultas!F446&gt;5000,"SOLICITAR PED COMPRA","N/A")))</f>
        <v>0</v>
      </c>
      <c r="AY446" s="167" t="str">
        <f>IF(AND(Consultas!M446&lt;&gt;"S", Consultas!H446="S"), "CHECAGEM REVERSA", "N/A")</f>
        <v>N/A</v>
      </c>
      <c r="AZ446" s="167" t="str">
        <f>IF(Consultas!U446="N","PRECISA CORRIGIR END DIVERGENTE","N/A")</f>
        <v>N/A</v>
      </c>
    </row>
    <row r="447" ht="12.0" customHeight="1">
      <c r="A447" s="39" t="s">
        <v>90</v>
      </c>
      <c r="B447" s="82" t="str">
        <f>Consultas!B447</f>
        <v/>
      </c>
      <c r="C447" s="82" t="str">
        <f>Consultas!D447</f>
        <v/>
      </c>
      <c r="D447" s="96" t="str">
        <f>Consultas!E447</f>
        <v/>
      </c>
      <c r="E447" s="104" t="str">
        <f>IF(Consultas!AB447&gt;0,YEAR('Parâmetros'!$B$1)-YEAR(Consultas!AB447),"NA")</f>
        <v>NA</v>
      </c>
      <c r="F447" s="82">
        <f>IF(Consultas!F447&gt;'Parâmetros'!$B$2,-8,0)</f>
        <v>0</v>
      </c>
      <c r="G447" s="82">
        <f>IF(Consultas!H447='Parâmetros'!$E$1,100,0)</f>
        <v>0</v>
      </c>
      <c r="H447" s="82">
        <f>IF(Consultas!I447='Parâmetros'!$E$1,-4,12)</f>
        <v>12</v>
      </c>
      <c r="I447" s="82">
        <f>IF(Consultas!J447='Parâmetros'!$E$1,1,-13)</f>
        <v>-13</v>
      </c>
      <c r="J447" s="82">
        <f>IF(Consultas!K447='Parâmetros'!$E$1,2,-5)</f>
        <v>-5</v>
      </c>
      <c r="K447" s="82" t="str">
        <f>IF(Consultas!L447='Parâmetros'!$D$1,"SOLIC CONTRATO DE ENTREGA","N/A")</f>
        <v>N/A</v>
      </c>
      <c r="L447" s="82">
        <f>IF(Consultas!R447='Parâmetros'!$E$1,1,-3)</f>
        <v>-3</v>
      </c>
      <c r="M447" s="82" t="b">
        <f>IF(Consultas!S447&gt;1,(IF(Consultas!S447='Parâmetros'!$E$1,-3,9)))</f>
        <v>0</v>
      </c>
      <c r="N447" s="82">
        <f>IF(Consultas!T447="S",23,0)</f>
        <v>0</v>
      </c>
      <c r="O447" s="82">
        <f>IF(Consultas!U447='Parâmetros'!$E$1,-3,3)</f>
        <v>3</v>
      </c>
      <c r="P447" s="82">
        <f>IF(Consultas!V447='Parâmetros'!$E$1,-100,2)</f>
        <v>2</v>
      </c>
      <c r="Q447" s="82">
        <f>IF(Consultas!M447='Parâmetros'!$D$1,2,-9)</f>
        <v>-9</v>
      </c>
      <c r="R447" s="82">
        <f>IF(Consultas!N447="RJ",-12,0)</f>
        <v>0</v>
      </c>
      <c r="S447" s="82">
        <f>IF(Consultas!O447="-",-3,IF(Consultas!O447=0,-6,IF(Consultas!O447=5,0,IF(Consultas!O447=10,6))))</f>
        <v>-6</v>
      </c>
      <c r="T447" s="82">
        <f>IF(Consultas!M447="S",0,(IF(Consultas!P447="S",6,0)))</f>
        <v>0</v>
      </c>
      <c r="U447" s="82">
        <f>IF(Consultas!Q447&gt;97,9,IF(Consultas!Q447&gt;75,0,-7))</f>
        <v>-7</v>
      </c>
      <c r="V447" s="82">
        <f>IF(Consultas!W447='Parâmetros'!$E$1,1,-5)</f>
        <v>-5</v>
      </c>
      <c r="W447" s="82">
        <f>IF(Consultas!X447="S",3,-3)</f>
        <v>-3</v>
      </c>
      <c r="X447" s="82">
        <f>IF(Consultas!Y447="S",0,-7)</f>
        <v>-7</v>
      </c>
      <c r="Y447" s="82">
        <f>IF(Consultas!Z447='Parâmetros'!$E$1,2,-8)</f>
        <v>-8</v>
      </c>
      <c r="Z447" s="82">
        <f>IF(Consultas!AA447='Parâmetros'!$E$1,-15,1)</f>
        <v>1</v>
      </c>
      <c r="AA447" s="147" t="s">
        <v>140</v>
      </c>
      <c r="AB447" s="82" t="str">
        <f>IF(E447="NA","NA",IF(E447&gt;'Parâmetros'!$A$9,8,IF(E447&gt;'Parâmetros'!$A$8,4,IF(E447&gt;'Parâmetros'!$A$7,0,-6))))</f>
        <v>NA</v>
      </c>
      <c r="AC447" s="82">
        <f>IF(Consultas!AC447='Parâmetros'!$E$1,0,5)</f>
        <v>5</v>
      </c>
      <c r="AD447" s="82">
        <f>IF(Consultas!AH447='Parâmetros'!$D$1,-10,5)</f>
        <v>5</v>
      </c>
      <c r="AE447" s="82">
        <f>IF(Consultas!AI447&gt;(Consultas!F447*2),-10,0)</f>
        <v>0</v>
      </c>
      <c r="AF447" s="82" t="b">
        <f>IF(Consultas!AD447&gt;1,(IF(Consultas!AI447&gt;(Consultas!AD447),-20,4)))</f>
        <v>0</v>
      </c>
      <c r="AG447" s="82">
        <f>IF(Consultas!AG447='Parâmetros'!$E$1,0,-6)</f>
        <v>-6</v>
      </c>
      <c r="AH447" s="82">
        <f>IF(Consultas!AF447='Parâmetros'!$E$1,1,-5)</f>
        <v>-5</v>
      </c>
      <c r="AI447" s="82">
        <f>IF(Consultas!AJ447&gt;700,8,IF(Consultas!AJ447&gt;500,4,IF(Consultas!AJ447&gt;200,-4,IF(Consultas!AJ447&gt;1,-15,-20))))</f>
        <v>-20</v>
      </c>
      <c r="AJ447" s="82">
        <f>IF(Consultas!AD447='Parâmetros'!$E$10,0,IF(Consultas!AD447&gt;'Parâmetros'!$A$30,12,IF(Consultas!AD447&gt;'Parâmetros'!$A$31,6,IF(Consultas!AD447&gt;'Parâmetros'!$A$32,0,IF(Consultas!AD447&gt;'Parâmetros'!$A$33,0,IF(Consultas!AD447&gt;'Parâmetros'!$A$34,-3,IF(Consultas!AD447&gt;'Parâmetros'!$A$35,-7,-1)))))))</f>
        <v>-1</v>
      </c>
      <c r="AK447" s="82">
        <f>IF(Consultas!AO447='Parâmetros'!$D$1,3,-3)</f>
        <v>-3</v>
      </c>
      <c r="AL447" s="82">
        <f>IF(Consultas!AP447='Parâmetros'!$D$1,5,-3)</f>
        <v>-3</v>
      </c>
      <c r="AM447" s="82">
        <f>IF(Consultas!AL447="N",-6,0)</f>
        <v>0</v>
      </c>
      <c r="AN447" s="82">
        <f>IF(Consultas!AM447="N",-10,0)</f>
        <v>0</v>
      </c>
      <c r="AO447" s="82">
        <f>IF(Consultas!AN447="S",4,-2)</f>
        <v>-2</v>
      </c>
      <c r="AP447" s="39"/>
      <c r="AQ447" s="165" t="str">
        <f>IF(Consultas!F447&gt;1,(SUM(F447:AO447)),"N/A")</f>
        <v>N/A</v>
      </c>
      <c r="AR447" s="78">
        <f>IF((Consultas!AD447&gt;'Parâmetros'!$A$31),"X",AJ447+Y447+V447+AC447)</f>
        <v>-9</v>
      </c>
      <c r="AS447" s="78">
        <f>IF((Consultas!AD447&gt;'Parâmetros'!$A$31),"X",(H447+I447+J447+Q447+T447+Y447+Z447+AJ447+AN447))</f>
        <v>-23</v>
      </c>
      <c r="AT447" s="78" t="str">
        <f>IF((Consultas!AD447&lt;'Parâmetros'!$A$31),"X",(AD447+AC447+AB447))</f>
        <v>X</v>
      </c>
      <c r="AU447" s="78">
        <f t="shared" si="1"/>
        <v>-23</v>
      </c>
      <c r="AV447" s="82" t="str">
        <f>IF(AQ447="N/A","N/A",IF(AQ447&gt;5,'Parâmetros'!$A$15,(IF(AU447=AR447,'Parâmetros'!$A$17,IF(AU447=AS447,'Parâmetros'!$A$16,'Parâmetros'!$A$14)))))</f>
        <v>N/A</v>
      </c>
      <c r="AW447" s="86" t="str">
        <f>IF(AQ447="N/A","N/A",IF(AV447='Parâmetros'!$A$15,'Parâmetros'!$C$15,(IF(AV447='Parâmetros'!$A$17,'Parâmetros'!$C$17,IF(AV447='Parâmetros'!$A$16,'Parâmetros'!$C$16,IF(AV447='Parâmetros'!$A$14,'Parâmetros'!$C$12))))))</f>
        <v>N/A</v>
      </c>
      <c r="AX447" s="82" t="b">
        <f>IF(Consultas!F447&gt;1,(IF(Consultas!F447&gt;5000,"SOLICITAR PED COMPRA","N/A")))</f>
        <v>0</v>
      </c>
      <c r="AY447" s="167" t="str">
        <f>IF(AND(Consultas!M447&lt;&gt;"S", Consultas!H447="S"), "CHECAGEM REVERSA", "N/A")</f>
        <v>N/A</v>
      </c>
      <c r="AZ447" s="167" t="str">
        <f>IF(Consultas!U447="N","PRECISA CORRIGIR END DIVERGENTE","N/A")</f>
        <v>N/A</v>
      </c>
    </row>
    <row r="448" ht="12.0" customHeight="1">
      <c r="A448" s="39" t="s">
        <v>90</v>
      </c>
      <c r="B448" s="82" t="str">
        <f>Consultas!B448</f>
        <v/>
      </c>
      <c r="C448" s="82" t="str">
        <f>Consultas!D448</f>
        <v/>
      </c>
      <c r="D448" s="96" t="str">
        <f>Consultas!E448</f>
        <v/>
      </c>
      <c r="E448" s="104" t="str">
        <f>IF(Consultas!AB448&gt;0,YEAR('Parâmetros'!$B$1)-YEAR(Consultas!AB448),"NA")</f>
        <v>NA</v>
      </c>
      <c r="F448" s="82">
        <f>IF(Consultas!F448&gt;'Parâmetros'!$B$2,-8,0)</f>
        <v>0</v>
      </c>
      <c r="G448" s="82">
        <f>IF(Consultas!H448='Parâmetros'!$E$1,100,0)</f>
        <v>0</v>
      </c>
      <c r="H448" s="82">
        <f>IF(Consultas!I448='Parâmetros'!$E$1,-4,12)</f>
        <v>12</v>
      </c>
      <c r="I448" s="82">
        <f>IF(Consultas!J448='Parâmetros'!$E$1,1,-13)</f>
        <v>-13</v>
      </c>
      <c r="J448" s="82">
        <f>IF(Consultas!K448='Parâmetros'!$E$1,2,-5)</f>
        <v>-5</v>
      </c>
      <c r="K448" s="82" t="str">
        <f>IF(Consultas!L448='Parâmetros'!$D$1,"SOLIC CONTRATO DE ENTREGA","N/A")</f>
        <v>N/A</v>
      </c>
      <c r="L448" s="82">
        <f>IF(Consultas!R448='Parâmetros'!$E$1,1,-3)</f>
        <v>-3</v>
      </c>
      <c r="M448" s="82" t="b">
        <f>IF(Consultas!S448&gt;1,(IF(Consultas!S448='Parâmetros'!$E$1,-3,9)))</f>
        <v>0</v>
      </c>
      <c r="N448" s="82">
        <f>IF(Consultas!T448="S",23,0)</f>
        <v>0</v>
      </c>
      <c r="O448" s="82">
        <f>IF(Consultas!U448='Parâmetros'!$E$1,-3,3)</f>
        <v>3</v>
      </c>
      <c r="P448" s="82">
        <f>IF(Consultas!V448='Parâmetros'!$E$1,-100,2)</f>
        <v>2</v>
      </c>
      <c r="Q448" s="82">
        <f>IF(Consultas!M448='Parâmetros'!$D$1,2,-9)</f>
        <v>-9</v>
      </c>
      <c r="R448" s="82">
        <f>IF(Consultas!N448="RJ",-12,0)</f>
        <v>0</v>
      </c>
      <c r="S448" s="82">
        <f>IF(Consultas!O448="-",-3,IF(Consultas!O448=0,-6,IF(Consultas!O448=5,0,IF(Consultas!O448=10,6))))</f>
        <v>-6</v>
      </c>
      <c r="T448" s="82">
        <f>IF(Consultas!M448="S",0,(IF(Consultas!P448="S",6,0)))</f>
        <v>0</v>
      </c>
      <c r="U448" s="82">
        <f>IF(Consultas!Q448&gt;97,9,IF(Consultas!Q448&gt;75,0,-7))</f>
        <v>-7</v>
      </c>
      <c r="V448" s="82">
        <f>IF(Consultas!W448='Parâmetros'!$E$1,1,-5)</f>
        <v>-5</v>
      </c>
      <c r="W448" s="82">
        <f>IF(Consultas!X448="S",3,-3)</f>
        <v>-3</v>
      </c>
      <c r="X448" s="82">
        <f>IF(Consultas!Y448="S",0,-7)</f>
        <v>-7</v>
      </c>
      <c r="Y448" s="82">
        <f>IF(Consultas!Z448='Parâmetros'!$E$1,2,-8)</f>
        <v>-8</v>
      </c>
      <c r="Z448" s="82">
        <f>IF(Consultas!AA448='Parâmetros'!$E$1,-15,1)</f>
        <v>1</v>
      </c>
      <c r="AA448" s="147" t="s">
        <v>140</v>
      </c>
      <c r="AB448" s="82" t="str">
        <f>IF(E448="NA","NA",IF(E448&gt;'Parâmetros'!$A$9,8,IF(E448&gt;'Parâmetros'!$A$8,4,IF(E448&gt;'Parâmetros'!$A$7,0,-6))))</f>
        <v>NA</v>
      </c>
      <c r="AC448" s="82">
        <f>IF(Consultas!AC448='Parâmetros'!$E$1,0,5)</f>
        <v>5</v>
      </c>
      <c r="AD448" s="82">
        <f>IF(Consultas!AH448='Parâmetros'!$D$1,-10,5)</f>
        <v>5</v>
      </c>
      <c r="AE448" s="82">
        <f>IF(Consultas!AI448&gt;(Consultas!F448*2),-10,0)</f>
        <v>0</v>
      </c>
      <c r="AF448" s="82" t="b">
        <f>IF(Consultas!AD448&gt;1,(IF(Consultas!AI448&gt;(Consultas!AD448),-20,4)))</f>
        <v>0</v>
      </c>
      <c r="AG448" s="82">
        <f>IF(Consultas!AG448='Parâmetros'!$E$1,0,-6)</f>
        <v>-6</v>
      </c>
      <c r="AH448" s="82">
        <f>IF(Consultas!AF448='Parâmetros'!$E$1,1,-5)</f>
        <v>-5</v>
      </c>
      <c r="AI448" s="82">
        <f>IF(Consultas!AJ448&gt;700,8,IF(Consultas!AJ448&gt;500,4,IF(Consultas!AJ448&gt;200,-4,IF(Consultas!AJ448&gt;1,-15,-20))))</f>
        <v>-20</v>
      </c>
      <c r="AJ448" s="82">
        <f>IF(Consultas!AD448='Parâmetros'!$E$10,0,IF(Consultas!AD448&gt;'Parâmetros'!$A$30,12,IF(Consultas!AD448&gt;'Parâmetros'!$A$31,6,IF(Consultas!AD448&gt;'Parâmetros'!$A$32,0,IF(Consultas!AD448&gt;'Parâmetros'!$A$33,0,IF(Consultas!AD448&gt;'Parâmetros'!$A$34,-3,IF(Consultas!AD448&gt;'Parâmetros'!$A$35,-7,-1)))))))</f>
        <v>-1</v>
      </c>
      <c r="AK448" s="82">
        <f>IF(Consultas!AO448='Parâmetros'!$D$1,3,-3)</f>
        <v>-3</v>
      </c>
      <c r="AL448" s="82">
        <f>IF(Consultas!AP448='Parâmetros'!$D$1,5,-3)</f>
        <v>-3</v>
      </c>
      <c r="AM448" s="82">
        <f>IF(Consultas!AL448="N",-6,0)</f>
        <v>0</v>
      </c>
      <c r="AN448" s="82">
        <f>IF(Consultas!AM448="N",-10,0)</f>
        <v>0</v>
      </c>
      <c r="AO448" s="82">
        <f>IF(Consultas!AN448="S",4,-2)</f>
        <v>-2</v>
      </c>
      <c r="AP448" s="39"/>
      <c r="AQ448" s="165" t="str">
        <f>IF(Consultas!F448&gt;1,(SUM(F448:AO448)),"N/A")</f>
        <v>N/A</v>
      </c>
      <c r="AR448" s="78">
        <f>IF((Consultas!AD448&gt;'Parâmetros'!$A$31),"X",AJ448+Y448+V448+AC448)</f>
        <v>-9</v>
      </c>
      <c r="AS448" s="78">
        <f>IF((Consultas!AD448&gt;'Parâmetros'!$A$31),"X",(H448+I448+J448+Q448+T448+Y448+Z448+AJ448+AN448))</f>
        <v>-23</v>
      </c>
      <c r="AT448" s="78" t="str">
        <f>IF((Consultas!AD448&lt;'Parâmetros'!$A$31),"X",(AD448+AC448+AB448))</f>
        <v>X</v>
      </c>
      <c r="AU448" s="78">
        <f t="shared" si="1"/>
        <v>-23</v>
      </c>
      <c r="AV448" s="82" t="str">
        <f>IF(AQ448="N/A","N/A",IF(AQ448&gt;5,'Parâmetros'!$A$15,(IF(AU448=AR448,'Parâmetros'!$A$17,IF(AU448=AS448,'Parâmetros'!$A$16,'Parâmetros'!$A$14)))))</f>
        <v>N/A</v>
      </c>
      <c r="AW448" s="86" t="str">
        <f>IF(AQ448="N/A","N/A",IF(AV448='Parâmetros'!$A$15,'Parâmetros'!$C$15,(IF(AV448='Parâmetros'!$A$17,'Parâmetros'!$C$17,IF(AV448='Parâmetros'!$A$16,'Parâmetros'!$C$16,IF(AV448='Parâmetros'!$A$14,'Parâmetros'!$C$12))))))</f>
        <v>N/A</v>
      </c>
      <c r="AX448" s="82" t="b">
        <f>IF(Consultas!F448&gt;1,(IF(Consultas!F448&gt;5000,"SOLICITAR PED COMPRA","N/A")))</f>
        <v>0</v>
      </c>
      <c r="AY448" s="167" t="str">
        <f>IF(AND(Consultas!M448&lt;&gt;"S", Consultas!H448="S"), "CHECAGEM REVERSA", "N/A")</f>
        <v>N/A</v>
      </c>
      <c r="AZ448" s="167" t="str">
        <f>IF(Consultas!U448="N","PRECISA CORRIGIR END DIVERGENTE","N/A")</f>
        <v>N/A</v>
      </c>
    </row>
    <row r="449" ht="12.0" customHeight="1">
      <c r="A449" s="39" t="s">
        <v>90</v>
      </c>
      <c r="B449" s="82" t="str">
        <f>Consultas!B449</f>
        <v/>
      </c>
      <c r="C449" s="82" t="str">
        <f>Consultas!D449</f>
        <v/>
      </c>
      <c r="D449" s="96" t="str">
        <f>Consultas!E449</f>
        <v/>
      </c>
      <c r="E449" s="104" t="str">
        <f>IF(Consultas!AB449&gt;0,YEAR('Parâmetros'!$B$1)-YEAR(Consultas!AB449),"NA")</f>
        <v>NA</v>
      </c>
      <c r="F449" s="82">
        <f>IF(Consultas!F449&gt;'Parâmetros'!$B$2,-8,0)</f>
        <v>0</v>
      </c>
      <c r="G449" s="82">
        <f>IF(Consultas!H449='Parâmetros'!$E$1,100,0)</f>
        <v>0</v>
      </c>
      <c r="H449" s="82">
        <f>IF(Consultas!I449='Parâmetros'!$E$1,-4,12)</f>
        <v>12</v>
      </c>
      <c r="I449" s="82">
        <f>IF(Consultas!J449='Parâmetros'!$E$1,1,-13)</f>
        <v>-13</v>
      </c>
      <c r="J449" s="82">
        <f>IF(Consultas!K449='Parâmetros'!$E$1,2,-5)</f>
        <v>-5</v>
      </c>
      <c r="K449" s="82" t="str">
        <f>IF(Consultas!L449='Parâmetros'!$D$1,"SOLIC CONTRATO DE ENTREGA","N/A")</f>
        <v>N/A</v>
      </c>
      <c r="L449" s="82">
        <f>IF(Consultas!R449='Parâmetros'!$E$1,1,-3)</f>
        <v>-3</v>
      </c>
      <c r="M449" s="82" t="b">
        <f>IF(Consultas!S449&gt;1,(IF(Consultas!S449='Parâmetros'!$E$1,-3,9)))</f>
        <v>0</v>
      </c>
      <c r="N449" s="82">
        <f>IF(Consultas!T449="S",23,0)</f>
        <v>0</v>
      </c>
      <c r="O449" s="82">
        <f>IF(Consultas!U449='Parâmetros'!$E$1,-3,3)</f>
        <v>3</v>
      </c>
      <c r="P449" s="82">
        <f>IF(Consultas!V449='Parâmetros'!$E$1,-100,2)</f>
        <v>2</v>
      </c>
      <c r="Q449" s="82">
        <f>IF(Consultas!M449='Parâmetros'!$D$1,2,-9)</f>
        <v>-9</v>
      </c>
      <c r="R449" s="82">
        <f>IF(Consultas!N449="RJ",-12,0)</f>
        <v>0</v>
      </c>
      <c r="S449" s="82">
        <f>IF(Consultas!O449="-",-3,IF(Consultas!O449=0,-6,IF(Consultas!O449=5,0,IF(Consultas!O449=10,6))))</f>
        <v>-6</v>
      </c>
      <c r="T449" s="82">
        <f>IF(Consultas!M449="S",0,(IF(Consultas!P449="S",6,0)))</f>
        <v>0</v>
      </c>
      <c r="U449" s="82">
        <f>IF(Consultas!Q449&gt;97,9,IF(Consultas!Q449&gt;75,0,-7))</f>
        <v>-7</v>
      </c>
      <c r="V449" s="82">
        <f>IF(Consultas!W449='Parâmetros'!$E$1,1,-5)</f>
        <v>-5</v>
      </c>
      <c r="W449" s="82">
        <f>IF(Consultas!X449="S",3,-3)</f>
        <v>-3</v>
      </c>
      <c r="X449" s="82">
        <f>IF(Consultas!Y449="S",0,-7)</f>
        <v>-7</v>
      </c>
      <c r="Y449" s="82">
        <f>IF(Consultas!Z449='Parâmetros'!$E$1,2,-8)</f>
        <v>-8</v>
      </c>
      <c r="Z449" s="82">
        <f>IF(Consultas!AA449='Parâmetros'!$E$1,-15,1)</f>
        <v>1</v>
      </c>
      <c r="AA449" s="147" t="s">
        <v>140</v>
      </c>
      <c r="AB449" s="82" t="str">
        <f>IF(E449="NA","NA",IF(E449&gt;'Parâmetros'!$A$9,8,IF(E449&gt;'Parâmetros'!$A$8,4,IF(E449&gt;'Parâmetros'!$A$7,0,-6))))</f>
        <v>NA</v>
      </c>
      <c r="AC449" s="82">
        <f>IF(Consultas!AC449='Parâmetros'!$E$1,0,5)</f>
        <v>5</v>
      </c>
      <c r="AD449" s="82">
        <f>IF(Consultas!AH449='Parâmetros'!$D$1,-10,5)</f>
        <v>5</v>
      </c>
      <c r="AE449" s="82">
        <f>IF(Consultas!AI449&gt;(Consultas!F449*2),-10,0)</f>
        <v>0</v>
      </c>
      <c r="AF449" s="82" t="b">
        <f>IF(Consultas!AD449&gt;1,(IF(Consultas!AI449&gt;(Consultas!AD449),-20,4)))</f>
        <v>0</v>
      </c>
      <c r="AG449" s="82">
        <f>IF(Consultas!AG449='Parâmetros'!$E$1,0,-6)</f>
        <v>-6</v>
      </c>
      <c r="AH449" s="82">
        <f>IF(Consultas!AF449='Parâmetros'!$E$1,1,-5)</f>
        <v>-5</v>
      </c>
      <c r="AI449" s="82">
        <f>IF(Consultas!AJ449&gt;700,8,IF(Consultas!AJ449&gt;500,4,IF(Consultas!AJ449&gt;200,-4,IF(Consultas!AJ449&gt;1,-15,-20))))</f>
        <v>-20</v>
      </c>
      <c r="AJ449" s="82">
        <f>IF(Consultas!AD449='Parâmetros'!$E$10,0,IF(Consultas!AD449&gt;'Parâmetros'!$A$30,12,IF(Consultas!AD449&gt;'Parâmetros'!$A$31,6,IF(Consultas!AD449&gt;'Parâmetros'!$A$32,0,IF(Consultas!AD449&gt;'Parâmetros'!$A$33,0,IF(Consultas!AD449&gt;'Parâmetros'!$A$34,-3,IF(Consultas!AD449&gt;'Parâmetros'!$A$35,-7,-1)))))))</f>
        <v>-1</v>
      </c>
      <c r="AK449" s="82">
        <f>IF(Consultas!AO449='Parâmetros'!$D$1,3,-3)</f>
        <v>-3</v>
      </c>
      <c r="AL449" s="82">
        <f>IF(Consultas!AP449='Parâmetros'!$D$1,5,-3)</f>
        <v>-3</v>
      </c>
      <c r="AM449" s="82">
        <f>IF(Consultas!AL449="N",-6,0)</f>
        <v>0</v>
      </c>
      <c r="AN449" s="82">
        <f>IF(Consultas!AM449="N",-10,0)</f>
        <v>0</v>
      </c>
      <c r="AO449" s="82">
        <f>IF(Consultas!AN449="S",4,-2)</f>
        <v>-2</v>
      </c>
      <c r="AP449" s="39"/>
      <c r="AQ449" s="165" t="str">
        <f>IF(Consultas!F449&gt;1,(SUM(F449:AO449)),"N/A")</f>
        <v>N/A</v>
      </c>
      <c r="AR449" s="78">
        <f>IF((Consultas!AD449&gt;'Parâmetros'!$A$31),"X",AJ449+Y449+V449+AC449)</f>
        <v>-9</v>
      </c>
      <c r="AS449" s="78">
        <f>IF((Consultas!AD449&gt;'Parâmetros'!$A$31),"X",(H449+I449+J449+Q449+T449+Y449+Z449+AJ449+AN449))</f>
        <v>-23</v>
      </c>
      <c r="AT449" s="78" t="str">
        <f>IF((Consultas!AD449&lt;'Parâmetros'!$A$31),"X",(AD449+AC449+AB449))</f>
        <v>X</v>
      </c>
      <c r="AU449" s="78">
        <f t="shared" si="1"/>
        <v>-23</v>
      </c>
      <c r="AV449" s="82" t="str">
        <f>IF(AQ449="N/A","N/A",IF(AQ449&gt;5,'Parâmetros'!$A$15,(IF(AU449=AR449,'Parâmetros'!$A$17,IF(AU449=AS449,'Parâmetros'!$A$16,'Parâmetros'!$A$14)))))</f>
        <v>N/A</v>
      </c>
      <c r="AW449" s="86" t="str">
        <f>IF(AQ449="N/A","N/A",IF(AV449='Parâmetros'!$A$15,'Parâmetros'!$C$15,(IF(AV449='Parâmetros'!$A$17,'Parâmetros'!$C$17,IF(AV449='Parâmetros'!$A$16,'Parâmetros'!$C$16,IF(AV449='Parâmetros'!$A$14,'Parâmetros'!$C$12))))))</f>
        <v>N/A</v>
      </c>
      <c r="AX449" s="82" t="b">
        <f>IF(Consultas!F449&gt;1,(IF(Consultas!F449&gt;5000,"SOLICITAR PED COMPRA","N/A")))</f>
        <v>0</v>
      </c>
      <c r="AY449" s="167" t="str">
        <f>IF(AND(Consultas!M449&lt;&gt;"S", Consultas!H449="S"), "CHECAGEM REVERSA", "N/A")</f>
        <v>N/A</v>
      </c>
      <c r="AZ449" s="167" t="str">
        <f>IF(Consultas!U449="N","PRECISA CORRIGIR END DIVERGENTE","N/A")</f>
        <v>N/A</v>
      </c>
    </row>
    <row r="450" ht="12.0" customHeight="1">
      <c r="A450" s="39" t="s">
        <v>90</v>
      </c>
      <c r="B450" s="82" t="str">
        <f>Consultas!B450</f>
        <v/>
      </c>
      <c r="C450" s="82" t="str">
        <f>Consultas!D450</f>
        <v/>
      </c>
      <c r="D450" s="96" t="str">
        <f>Consultas!E450</f>
        <v/>
      </c>
      <c r="E450" s="104" t="str">
        <f>IF(Consultas!AB450&gt;0,YEAR('Parâmetros'!$B$1)-YEAR(Consultas!AB450),"NA")</f>
        <v>NA</v>
      </c>
      <c r="F450" s="82">
        <f>IF(Consultas!F450&gt;'Parâmetros'!$B$2,-8,0)</f>
        <v>0</v>
      </c>
      <c r="G450" s="82">
        <f>IF(Consultas!H450='Parâmetros'!$E$1,100,0)</f>
        <v>0</v>
      </c>
      <c r="H450" s="82">
        <f>IF(Consultas!I450='Parâmetros'!$E$1,-4,12)</f>
        <v>12</v>
      </c>
      <c r="I450" s="82">
        <f>IF(Consultas!J450='Parâmetros'!$E$1,1,-13)</f>
        <v>-13</v>
      </c>
      <c r="J450" s="82">
        <f>IF(Consultas!K450='Parâmetros'!$E$1,2,-5)</f>
        <v>-5</v>
      </c>
      <c r="K450" s="82" t="str">
        <f>IF(Consultas!L450='Parâmetros'!$D$1,"SOLIC CONTRATO DE ENTREGA","N/A")</f>
        <v>N/A</v>
      </c>
      <c r="L450" s="82">
        <f>IF(Consultas!R450='Parâmetros'!$E$1,1,-3)</f>
        <v>-3</v>
      </c>
      <c r="M450" s="82" t="b">
        <f>IF(Consultas!S450&gt;1,(IF(Consultas!S450='Parâmetros'!$E$1,-3,9)))</f>
        <v>0</v>
      </c>
      <c r="N450" s="82">
        <f>IF(Consultas!T450="S",23,0)</f>
        <v>0</v>
      </c>
      <c r="O450" s="82">
        <f>IF(Consultas!U450='Parâmetros'!$E$1,-3,3)</f>
        <v>3</v>
      </c>
      <c r="P450" s="82">
        <f>IF(Consultas!V450='Parâmetros'!$E$1,-100,2)</f>
        <v>2</v>
      </c>
      <c r="Q450" s="82">
        <f>IF(Consultas!M450='Parâmetros'!$D$1,2,-9)</f>
        <v>-9</v>
      </c>
      <c r="R450" s="82">
        <f>IF(Consultas!N450="RJ",-12,0)</f>
        <v>0</v>
      </c>
      <c r="S450" s="82">
        <f>IF(Consultas!O450="-",-3,IF(Consultas!O450=0,-6,IF(Consultas!O450=5,0,IF(Consultas!O450=10,6))))</f>
        <v>-6</v>
      </c>
      <c r="T450" s="82">
        <f>IF(Consultas!M450="S",0,(IF(Consultas!P450="S",6,0)))</f>
        <v>0</v>
      </c>
      <c r="U450" s="82">
        <f>IF(Consultas!Q450&gt;97,9,IF(Consultas!Q450&gt;75,0,-7))</f>
        <v>-7</v>
      </c>
      <c r="V450" s="82">
        <f>IF(Consultas!W450='Parâmetros'!$E$1,1,-5)</f>
        <v>-5</v>
      </c>
      <c r="W450" s="82">
        <f>IF(Consultas!X450="S",3,-3)</f>
        <v>-3</v>
      </c>
      <c r="X450" s="82">
        <f>IF(Consultas!Y450="S",0,-7)</f>
        <v>-7</v>
      </c>
      <c r="Y450" s="82">
        <f>IF(Consultas!Z450='Parâmetros'!$E$1,2,-8)</f>
        <v>-8</v>
      </c>
      <c r="Z450" s="82">
        <f>IF(Consultas!AA450='Parâmetros'!$E$1,-15,1)</f>
        <v>1</v>
      </c>
      <c r="AA450" s="147" t="s">
        <v>140</v>
      </c>
      <c r="AB450" s="82" t="str">
        <f>IF(E450="NA","NA",IF(E450&gt;'Parâmetros'!$A$9,8,IF(E450&gt;'Parâmetros'!$A$8,4,IF(E450&gt;'Parâmetros'!$A$7,0,-6))))</f>
        <v>NA</v>
      </c>
      <c r="AC450" s="82">
        <f>IF(Consultas!AC450='Parâmetros'!$E$1,0,5)</f>
        <v>5</v>
      </c>
      <c r="AD450" s="82">
        <f>IF(Consultas!AH450='Parâmetros'!$D$1,-10,5)</f>
        <v>5</v>
      </c>
      <c r="AE450" s="82">
        <f>IF(Consultas!AI450&gt;(Consultas!F450*2),-10,0)</f>
        <v>0</v>
      </c>
      <c r="AF450" s="82" t="b">
        <f>IF(Consultas!AD450&gt;1,(IF(Consultas!AI450&gt;(Consultas!AD450),-20,4)))</f>
        <v>0</v>
      </c>
      <c r="AG450" s="82">
        <f>IF(Consultas!AG450='Parâmetros'!$E$1,0,-6)</f>
        <v>-6</v>
      </c>
      <c r="AH450" s="82">
        <f>IF(Consultas!AF450='Parâmetros'!$E$1,1,-5)</f>
        <v>-5</v>
      </c>
      <c r="AI450" s="82">
        <f>IF(Consultas!AJ450&gt;700,8,IF(Consultas!AJ450&gt;500,4,IF(Consultas!AJ450&gt;200,-4,IF(Consultas!AJ450&gt;1,-15,-20))))</f>
        <v>-20</v>
      </c>
      <c r="AJ450" s="82">
        <f>IF(Consultas!AD450='Parâmetros'!$E$10,0,IF(Consultas!AD450&gt;'Parâmetros'!$A$30,12,IF(Consultas!AD450&gt;'Parâmetros'!$A$31,6,IF(Consultas!AD450&gt;'Parâmetros'!$A$32,0,IF(Consultas!AD450&gt;'Parâmetros'!$A$33,0,IF(Consultas!AD450&gt;'Parâmetros'!$A$34,-3,IF(Consultas!AD450&gt;'Parâmetros'!$A$35,-7,-1)))))))</f>
        <v>-1</v>
      </c>
      <c r="AK450" s="82">
        <f>IF(Consultas!AO450='Parâmetros'!$D$1,3,-3)</f>
        <v>-3</v>
      </c>
      <c r="AL450" s="82">
        <f>IF(Consultas!AP450='Parâmetros'!$D$1,5,-3)</f>
        <v>-3</v>
      </c>
      <c r="AM450" s="82">
        <f>IF(Consultas!AL450="N",-6,0)</f>
        <v>0</v>
      </c>
      <c r="AN450" s="82">
        <f>IF(Consultas!AM450="N",-10,0)</f>
        <v>0</v>
      </c>
      <c r="AO450" s="82">
        <f>IF(Consultas!AN450="S",4,-2)</f>
        <v>-2</v>
      </c>
      <c r="AP450" s="39"/>
      <c r="AQ450" s="165" t="str">
        <f>IF(Consultas!F450&gt;1,(SUM(F450:AO450)),"N/A")</f>
        <v>N/A</v>
      </c>
      <c r="AR450" s="78">
        <f>IF((Consultas!AD450&gt;'Parâmetros'!$A$31),"X",AJ450+Y450+V450+AC450)</f>
        <v>-9</v>
      </c>
      <c r="AS450" s="78">
        <f>IF((Consultas!AD450&gt;'Parâmetros'!$A$31),"X",(H450+I450+J450+Q450+T450+Y450+Z450+AJ450+AN450))</f>
        <v>-23</v>
      </c>
      <c r="AT450" s="78" t="str">
        <f>IF((Consultas!AD450&lt;'Parâmetros'!$A$31),"X",(AD450+AC450+AB450))</f>
        <v>X</v>
      </c>
      <c r="AU450" s="78">
        <f t="shared" si="1"/>
        <v>-23</v>
      </c>
      <c r="AV450" s="82" t="str">
        <f>IF(AQ450="N/A","N/A",IF(AQ450&gt;5,'Parâmetros'!$A$15,(IF(AU450=AR450,'Parâmetros'!$A$17,IF(AU450=AS450,'Parâmetros'!$A$16,'Parâmetros'!$A$14)))))</f>
        <v>N/A</v>
      </c>
      <c r="AW450" s="86" t="str">
        <f>IF(AQ450="N/A","N/A",IF(AV450='Parâmetros'!$A$15,'Parâmetros'!$C$15,(IF(AV450='Parâmetros'!$A$17,'Parâmetros'!$C$17,IF(AV450='Parâmetros'!$A$16,'Parâmetros'!$C$16,IF(AV450='Parâmetros'!$A$14,'Parâmetros'!$C$12))))))</f>
        <v>N/A</v>
      </c>
      <c r="AX450" s="82" t="b">
        <f>IF(Consultas!F450&gt;1,(IF(Consultas!F450&gt;5000,"SOLICITAR PED COMPRA","N/A")))</f>
        <v>0</v>
      </c>
      <c r="AY450" s="167" t="str">
        <f>IF(AND(Consultas!M450&lt;&gt;"S", Consultas!H450="S"), "CHECAGEM REVERSA", "N/A")</f>
        <v>N/A</v>
      </c>
      <c r="AZ450" s="167" t="str">
        <f>IF(Consultas!U450="N","PRECISA CORRIGIR END DIVERGENTE","N/A")</f>
        <v>N/A</v>
      </c>
    </row>
    <row r="451" ht="12.0" customHeight="1">
      <c r="A451" s="39" t="s">
        <v>90</v>
      </c>
      <c r="B451" s="82" t="str">
        <f>Consultas!B451</f>
        <v/>
      </c>
      <c r="C451" s="82" t="str">
        <f>Consultas!D451</f>
        <v/>
      </c>
      <c r="D451" s="96" t="str">
        <f>Consultas!E451</f>
        <v/>
      </c>
      <c r="E451" s="104" t="str">
        <f>IF(Consultas!AB451&gt;0,YEAR('Parâmetros'!$B$1)-YEAR(Consultas!AB451),"NA")</f>
        <v>NA</v>
      </c>
      <c r="F451" s="82">
        <f>IF(Consultas!F451&gt;'Parâmetros'!$B$2,-8,0)</f>
        <v>0</v>
      </c>
      <c r="G451" s="82">
        <f>IF(Consultas!H451='Parâmetros'!$E$1,100,0)</f>
        <v>0</v>
      </c>
      <c r="H451" s="82">
        <f>IF(Consultas!I451='Parâmetros'!$E$1,-4,12)</f>
        <v>12</v>
      </c>
      <c r="I451" s="82">
        <f>IF(Consultas!J451='Parâmetros'!$E$1,1,-13)</f>
        <v>-13</v>
      </c>
      <c r="J451" s="82">
        <f>IF(Consultas!K451='Parâmetros'!$E$1,2,-5)</f>
        <v>-5</v>
      </c>
      <c r="K451" s="82" t="str">
        <f>IF(Consultas!L451='Parâmetros'!$D$1,"SOLIC CONTRATO DE ENTREGA","N/A")</f>
        <v>N/A</v>
      </c>
      <c r="L451" s="82">
        <f>IF(Consultas!R451='Parâmetros'!$E$1,1,-3)</f>
        <v>-3</v>
      </c>
      <c r="M451" s="82" t="b">
        <f>IF(Consultas!S451&gt;1,(IF(Consultas!S451='Parâmetros'!$E$1,-3,9)))</f>
        <v>0</v>
      </c>
      <c r="N451" s="82">
        <f>IF(Consultas!T451="S",23,0)</f>
        <v>0</v>
      </c>
      <c r="O451" s="82">
        <f>IF(Consultas!U451='Parâmetros'!$E$1,-3,3)</f>
        <v>3</v>
      </c>
      <c r="P451" s="82">
        <f>IF(Consultas!V451='Parâmetros'!$E$1,-100,2)</f>
        <v>2</v>
      </c>
      <c r="Q451" s="82">
        <f>IF(Consultas!M451='Parâmetros'!$D$1,2,-9)</f>
        <v>-9</v>
      </c>
      <c r="R451" s="82">
        <f>IF(Consultas!N451="RJ",-12,0)</f>
        <v>0</v>
      </c>
      <c r="S451" s="82">
        <f>IF(Consultas!O451="-",-3,IF(Consultas!O451=0,-6,IF(Consultas!O451=5,0,IF(Consultas!O451=10,6))))</f>
        <v>-6</v>
      </c>
      <c r="T451" s="82">
        <f>IF(Consultas!M451="S",0,(IF(Consultas!P451="S",6,0)))</f>
        <v>0</v>
      </c>
      <c r="U451" s="82">
        <f>IF(Consultas!Q451&gt;97,9,IF(Consultas!Q451&gt;75,0,-7))</f>
        <v>-7</v>
      </c>
      <c r="V451" s="82">
        <f>IF(Consultas!W451='Parâmetros'!$E$1,1,-5)</f>
        <v>-5</v>
      </c>
      <c r="W451" s="82">
        <f>IF(Consultas!X451="S",3,-3)</f>
        <v>-3</v>
      </c>
      <c r="X451" s="82">
        <f>IF(Consultas!Y451="S",0,-7)</f>
        <v>-7</v>
      </c>
      <c r="Y451" s="82">
        <f>IF(Consultas!Z451='Parâmetros'!$E$1,2,-8)</f>
        <v>-8</v>
      </c>
      <c r="Z451" s="82">
        <f>IF(Consultas!AA451='Parâmetros'!$E$1,-15,1)</f>
        <v>1</v>
      </c>
      <c r="AA451" s="147" t="s">
        <v>140</v>
      </c>
      <c r="AB451" s="82" t="str">
        <f>IF(E451="NA","NA",IF(E451&gt;'Parâmetros'!$A$9,8,IF(E451&gt;'Parâmetros'!$A$8,4,IF(E451&gt;'Parâmetros'!$A$7,0,-6))))</f>
        <v>NA</v>
      </c>
      <c r="AC451" s="82">
        <f>IF(Consultas!AC451='Parâmetros'!$E$1,0,5)</f>
        <v>5</v>
      </c>
      <c r="AD451" s="82">
        <f>IF(Consultas!AH451='Parâmetros'!$D$1,-10,5)</f>
        <v>5</v>
      </c>
      <c r="AE451" s="82">
        <f>IF(Consultas!AI451&gt;(Consultas!F451*2),-10,0)</f>
        <v>0</v>
      </c>
      <c r="AF451" s="82" t="b">
        <f>IF(Consultas!AD451&gt;1,(IF(Consultas!AI451&gt;(Consultas!AD451),-20,4)))</f>
        <v>0</v>
      </c>
      <c r="AG451" s="82">
        <f>IF(Consultas!AG451='Parâmetros'!$E$1,0,-6)</f>
        <v>-6</v>
      </c>
      <c r="AH451" s="82">
        <f>IF(Consultas!AF451='Parâmetros'!$E$1,1,-5)</f>
        <v>-5</v>
      </c>
      <c r="AI451" s="82">
        <f>IF(Consultas!AJ451&gt;700,8,IF(Consultas!AJ451&gt;500,4,IF(Consultas!AJ451&gt;200,-4,IF(Consultas!AJ451&gt;1,-15,-20))))</f>
        <v>-20</v>
      </c>
      <c r="AJ451" s="82">
        <f>IF(Consultas!AD451='Parâmetros'!$E$10,0,IF(Consultas!AD451&gt;'Parâmetros'!$A$30,12,IF(Consultas!AD451&gt;'Parâmetros'!$A$31,6,IF(Consultas!AD451&gt;'Parâmetros'!$A$32,0,IF(Consultas!AD451&gt;'Parâmetros'!$A$33,0,IF(Consultas!AD451&gt;'Parâmetros'!$A$34,-3,IF(Consultas!AD451&gt;'Parâmetros'!$A$35,-7,-1)))))))</f>
        <v>-1</v>
      </c>
      <c r="AK451" s="82">
        <f>IF(Consultas!AO451='Parâmetros'!$D$1,3,-3)</f>
        <v>-3</v>
      </c>
      <c r="AL451" s="82">
        <f>IF(Consultas!AP451='Parâmetros'!$D$1,5,-3)</f>
        <v>-3</v>
      </c>
      <c r="AM451" s="82">
        <f>IF(Consultas!AL451="N",-6,0)</f>
        <v>0</v>
      </c>
      <c r="AN451" s="82">
        <f>IF(Consultas!AM451="N",-10,0)</f>
        <v>0</v>
      </c>
      <c r="AO451" s="82">
        <f>IF(Consultas!AN451="S",4,-2)</f>
        <v>-2</v>
      </c>
      <c r="AP451" s="39"/>
      <c r="AQ451" s="165" t="str">
        <f>IF(Consultas!F451&gt;1,(SUM(F451:AO451)),"N/A")</f>
        <v>N/A</v>
      </c>
      <c r="AR451" s="78">
        <f>IF((Consultas!AD451&gt;'Parâmetros'!$A$31),"X",AJ451+Y451+V451+AC451)</f>
        <v>-9</v>
      </c>
      <c r="AS451" s="78">
        <f>IF((Consultas!AD451&gt;'Parâmetros'!$A$31),"X",(H451+I451+J451+Q451+T451+Y451+Z451+AJ451+AN451))</f>
        <v>-23</v>
      </c>
      <c r="AT451" s="78" t="str">
        <f>IF((Consultas!AD451&lt;'Parâmetros'!$A$31),"X",(AD451+AC451+AB451))</f>
        <v>X</v>
      </c>
      <c r="AU451" s="78">
        <f t="shared" si="1"/>
        <v>-23</v>
      </c>
      <c r="AV451" s="82" t="str">
        <f>IF(AQ451="N/A","N/A",IF(AQ451&gt;5,'Parâmetros'!$A$15,(IF(AU451=AR451,'Parâmetros'!$A$17,IF(AU451=AS451,'Parâmetros'!$A$16,'Parâmetros'!$A$14)))))</f>
        <v>N/A</v>
      </c>
      <c r="AW451" s="86" t="str">
        <f>IF(AQ451="N/A","N/A",IF(AV451='Parâmetros'!$A$15,'Parâmetros'!$C$15,(IF(AV451='Parâmetros'!$A$17,'Parâmetros'!$C$17,IF(AV451='Parâmetros'!$A$16,'Parâmetros'!$C$16,IF(AV451='Parâmetros'!$A$14,'Parâmetros'!$C$12))))))</f>
        <v>N/A</v>
      </c>
      <c r="AX451" s="82" t="b">
        <f>IF(Consultas!F451&gt;1,(IF(Consultas!F451&gt;5000,"SOLICITAR PED COMPRA","N/A")))</f>
        <v>0</v>
      </c>
      <c r="AY451" s="167" t="str">
        <f>IF(AND(Consultas!M451&lt;&gt;"S", Consultas!H451="S"), "CHECAGEM REVERSA", "N/A")</f>
        <v>N/A</v>
      </c>
      <c r="AZ451" s="167" t="str">
        <f>IF(Consultas!U451="N","PRECISA CORRIGIR END DIVERGENTE","N/A")</f>
        <v>N/A</v>
      </c>
    </row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</sheetData>
  <conditionalFormatting sqref="AQ1:AU451 AN2:AP451 AV2:AX451 AZ2:AZ451">
    <cfRule type="cellIs" dxfId="0" priority="1" operator="greaterThan">
      <formula>15</formula>
    </cfRule>
  </conditionalFormatting>
  <conditionalFormatting sqref="AQ1:AU451 AN2:AP451 AV2:AX451 AZ2:AZ451">
    <cfRule type="cellIs" dxfId="0" priority="2" operator="between">
      <formula>7</formula>
      <formula>15</formula>
    </cfRule>
  </conditionalFormatting>
  <conditionalFormatting sqref="AQ1:AU451 AN2:AP451 AV2:AX451 AZ2:AZ451">
    <cfRule type="cellIs" dxfId="0" priority="3" operator="lessThan">
      <formula>7</formula>
    </cfRule>
  </conditionalFormatting>
  <printOptions/>
  <pageMargins bottom="0.7875" footer="0.0" header="0.0" left="0.511805555555555" right="0.51180555555555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>
        <v>15.0</v>
      </c>
      <c r="B1" s="12">
        <f>NOW()</f>
        <v>46258.54642</v>
      </c>
      <c r="C1" s="16">
        <v>0.0</v>
      </c>
      <c r="D1" s="20" t="s">
        <v>22</v>
      </c>
      <c r="E1" s="24" t="s">
        <v>25</v>
      </c>
    </row>
    <row r="2">
      <c r="A2" s="28">
        <v>4.0</v>
      </c>
      <c r="B2" s="36">
        <v>21000.0</v>
      </c>
      <c r="C2" s="39"/>
      <c r="D2" s="39"/>
      <c r="E2" s="43"/>
    </row>
    <row r="3">
      <c r="A3" s="28">
        <v>5.0</v>
      </c>
      <c r="B3" s="47">
        <v>201000.0</v>
      </c>
      <c r="C3" s="39"/>
      <c r="D3" s="39"/>
      <c r="E3" s="43"/>
    </row>
    <row r="4">
      <c r="A4" s="28">
        <v>25.0</v>
      </c>
      <c r="B4" s="39"/>
      <c r="C4" s="39"/>
      <c r="D4" s="39"/>
      <c r="E4" s="43"/>
    </row>
    <row r="5">
      <c r="A5" s="51" t="s">
        <v>48</v>
      </c>
      <c r="B5" s="52" t="s">
        <v>57</v>
      </c>
      <c r="C5" s="39"/>
      <c r="D5" s="39"/>
      <c r="E5" s="43"/>
    </row>
    <row r="6">
      <c r="A6" s="56">
        <v>2.0</v>
      </c>
      <c r="B6" s="60">
        <v>-6.0</v>
      </c>
      <c r="C6" s="63"/>
      <c r="D6" s="39"/>
      <c r="E6" s="43"/>
    </row>
    <row r="7">
      <c r="A7" s="56">
        <v>5.0</v>
      </c>
      <c r="B7" s="60">
        <v>0.0</v>
      </c>
      <c r="C7" s="63"/>
      <c r="D7" s="39"/>
      <c r="E7" s="43"/>
    </row>
    <row r="8">
      <c r="A8" s="56">
        <v>15.0</v>
      </c>
      <c r="B8" s="60">
        <v>4.0</v>
      </c>
      <c r="C8" s="63"/>
      <c r="D8" s="39"/>
      <c r="E8" s="43"/>
    </row>
    <row r="9">
      <c r="A9" s="68">
        <v>30.0</v>
      </c>
      <c r="B9" s="72">
        <v>8.0</v>
      </c>
      <c r="C9" s="63"/>
      <c r="D9" s="39"/>
      <c r="E9" s="43"/>
    </row>
    <row r="10">
      <c r="A10" s="76"/>
      <c r="B10" s="82"/>
      <c r="C10" s="39"/>
      <c r="D10" s="39"/>
      <c r="E10" s="85" t="s">
        <v>80</v>
      </c>
    </row>
    <row r="12">
      <c r="A12" s="89" t="s">
        <v>86</v>
      </c>
      <c r="B12" s="39"/>
      <c r="C12" s="39" t="s">
        <v>93</v>
      </c>
      <c r="D12" s="39"/>
      <c r="E12" s="43"/>
    </row>
    <row r="13">
      <c r="A13" s="28" t="s">
        <v>94</v>
      </c>
      <c r="B13" s="39"/>
      <c r="C13" s="63" t="s">
        <v>95</v>
      </c>
      <c r="D13" s="39"/>
      <c r="E13" s="43"/>
    </row>
    <row r="14">
      <c r="A14" s="91" t="s">
        <v>96</v>
      </c>
      <c r="B14" s="93"/>
      <c r="C14" s="93" t="s">
        <v>93</v>
      </c>
      <c r="D14" s="93"/>
      <c r="E14" s="94"/>
    </row>
    <row r="15">
      <c r="A15" s="28" t="s">
        <v>102</v>
      </c>
      <c r="B15" s="39"/>
      <c r="C15" s="39" t="s">
        <v>103</v>
      </c>
      <c r="D15" s="39"/>
      <c r="E15" s="43"/>
    </row>
    <row r="16">
      <c r="A16" s="28" t="s">
        <v>76</v>
      </c>
      <c r="B16" s="39"/>
      <c r="C16" s="39" t="s">
        <v>104</v>
      </c>
      <c r="D16" s="39"/>
      <c r="E16" s="43"/>
    </row>
    <row r="17">
      <c r="A17" s="97" t="s">
        <v>74</v>
      </c>
      <c r="B17" s="99"/>
      <c r="C17" s="99" t="s">
        <v>107</v>
      </c>
      <c r="D17" s="99"/>
      <c r="E17" s="102"/>
    </row>
    <row r="18">
      <c r="A18" s="28"/>
      <c r="B18" s="39"/>
      <c r="C18" s="39"/>
      <c r="D18" s="39"/>
      <c r="E18" s="43"/>
    </row>
    <row r="19">
      <c r="A19" s="106" t="s">
        <v>108</v>
      </c>
      <c r="B19" s="39"/>
      <c r="C19" s="39"/>
      <c r="D19" s="39"/>
      <c r="E19" s="43"/>
    </row>
    <row r="20">
      <c r="A20" s="28"/>
      <c r="B20" s="39"/>
      <c r="C20" s="39"/>
      <c r="D20" s="39"/>
      <c r="E20" s="43"/>
    </row>
    <row r="21">
      <c r="A21" s="28"/>
      <c r="B21" s="109"/>
      <c r="C21" s="109"/>
      <c r="D21" s="109"/>
      <c r="E21" s="112"/>
    </row>
    <row r="22">
      <c r="A22" s="28"/>
      <c r="B22" s="39"/>
      <c r="C22" s="39"/>
      <c r="D22" s="39"/>
      <c r="E22" s="43"/>
    </row>
    <row r="23">
      <c r="A23" s="28"/>
      <c r="B23" s="39"/>
      <c r="C23" s="39"/>
      <c r="D23" s="39"/>
      <c r="E23" s="43"/>
    </row>
    <row r="24">
      <c r="A24" s="28"/>
      <c r="B24" s="39"/>
      <c r="C24" s="39"/>
      <c r="D24" s="39"/>
      <c r="E24" s="43"/>
    </row>
    <row r="25">
      <c r="A25" s="28"/>
      <c r="B25" s="39"/>
      <c r="C25" s="39"/>
      <c r="D25" s="39"/>
      <c r="E25" s="43"/>
    </row>
    <row r="26">
      <c r="A26" s="28"/>
      <c r="B26" s="39"/>
      <c r="C26" s="39"/>
      <c r="D26" s="39"/>
      <c r="E26" s="43"/>
    </row>
    <row r="27">
      <c r="A27" s="28"/>
      <c r="B27" s="39"/>
      <c r="C27" s="39"/>
      <c r="D27" s="39"/>
      <c r="E27" s="43"/>
    </row>
    <row r="28">
      <c r="A28" s="28"/>
      <c r="B28" s="116"/>
      <c r="C28" s="116"/>
      <c r="D28" s="116"/>
      <c r="E28" s="119"/>
    </row>
    <row r="29">
      <c r="A29" s="120" t="s">
        <v>121</v>
      </c>
      <c r="B29" s="39"/>
      <c r="C29" s="39"/>
      <c r="D29" s="39"/>
      <c r="E29" s="82"/>
    </row>
    <row r="30">
      <c r="A30" s="122">
        <v>1.0E7</v>
      </c>
      <c r="B30" s="63">
        <v>12.0</v>
      </c>
      <c r="C30" s="39"/>
      <c r="D30" s="39"/>
      <c r="E30" s="82"/>
    </row>
    <row r="31">
      <c r="A31" s="122">
        <v>999000.0</v>
      </c>
      <c r="B31" s="63">
        <v>6.0</v>
      </c>
      <c r="C31" s="39"/>
      <c r="D31" s="39"/>
      <c r="E31" s="82"/>
    </row>
    <row r="32">
      <c r="A32" s="122">
        <v>150000.0</v>
      </c>
      <c r="B32" s="63">
        <v>0.0</v>
      </c>
      <c r="C32" s="39"/>
      <c r="D32" s="39"/>
      <c r="E32" s="82"/>
    </row>
    <row r="33">
      <c r="A33" s="124">
        <v>90000.0</v>
      </c>
      <c r="B33" s="63">
        <v>0.0</v>
      </c>
      <c r="C33" s="39"/>
      <c r="D33" s="39"/>
      <c r="E33" s="82"/>
    </row>
    <row r="34">
      <c r="A34" s="127">
        <v>12000.0</v>
      </c>
      <c r="B34" s="63">
        <v>-3.0</v>
      </c>
      <c r="C34" s="39"/>
      <c r="D34" s="39"/>
      <c r="E34" s="82"/>
    </row>
    <row r="35">
      <c r="A35" s="130">
        <v>0.0</v>
      </c>
      <c r="B35" s="39"/>
      <c r="C35" s="39"/>
      <c r="D35" s="39"/>
      <c r="E35" s="82"/>
    </row>
  </sheetData>
  <conditionalFormatting sqref="A12">
    <cfRule type="cellIs" dxfId="0" priority="1" operator="greaterThan">
      <formula>15</formula>
    </cfRule>
  </conditionalFormatting>
  <conditionalFormatting sqref="A12">
    <cfRule type="cellIs" dxfId="0" priority="2" operator="between">
      <formula>7</formula>
      <formula>15</formula>
    </cfRule>
  </conditionalFormatting>
  <conditionalFormatting sqref="A12">
    <cfRule type="cellIs" dxfId="0" priority="3" operator="lessThan">
      <formula>7</formula>
    </cfRule>
  </conditionalFormatting>
  <conditionalFormatting sqref="A14">
    <cfRule type="cellIs" dxfId="0" priority="4" operator="greaterThan">
      <formula>15</formula>
    </cfRule>
  </conditionalFormatting>
  <conditionalFormatting sqref="A14">
    <cfRule type="cellIs" dxfId="0" priority="5" operator="between">
      <formula>7</formula>
      <formula>15</formula>
    </cfRule>
  </conditionalFormatting>
  <conditionalFormatting sqref="A14">
    <cfRule type="cellIs" dxfId="0" priority="6" operator="lessThan">
      <formula>7</formula>
    </cfRule>
  </conditionalFormatting>
  <drawing r:id="rId1"/>
</worksheet>
</file>